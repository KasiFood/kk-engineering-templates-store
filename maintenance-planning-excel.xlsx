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ℹ Instructions" sheetId="1" state="visible" r:id="rId3"/>
    <sheet name="⚙ Settings" sheetId="2" state="visible" r:id="rId4"/>
    <sheet name="📅 Annual Planner" sheetId="3" state="visible" r:id="rId5"/>
    <sheet name="📋 Work Orders" sheetId="4" state="visible" r:id="rId6"/>
    <sheet name="👥 Resources" sheetId="5" state="visible" r:id="rId7"/>
    <sheet name="📊 KPI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<sst xmlns="http://schemas.openxmlformats.org/spreadsheetml/2006/main" count="322" uniqueCount="173">
  <si>
    <t xml:space="preserve">MAINTENANCE PLANNING TOOL — USER GUIDE</t>
  </si>
  <si>
    <t xml:space="preserve">OVERVIEW</t>
  </si>
  <si>
    <t xml:space="preserve">This workbook contains 5 sheets: Instructions, Annual Planner (Gantt), Work Order Register, Resource Allocation, and KPI Summary. All sheets link together automatically.</t>
  </si>
  <si>
    <t xml:space="preserve">STEP 1 — Settings</t>
  </si>
  <si>
    <t xml:space="preserve">Go to the 'Settings' tab. Enter your facility name, planning year, total planned hours per month, and the list of technicians. These feed into the Resource sheet.</t>
  </si>
  <si>
    <t xml:space="preserve">STEP 2 — Annual Planner</t>
  </si>
  <si>
    <t xml:space="preserve">Go to '📅 Annual Planner'. Add each maintenance task: enter the Task ID, description, equipment tag, type (PM/PdM/CBM/Overhaul), responsible person, planned start week, and duration in weeks. The Gantt bars fill automatically.</t>
  </si>
  <si>
    <t xml:space="preserve">STEP 3 — Work Orders</t>
  </si>
  <si>
    <t xml:space="preserve">Go to '📋 Work Orders'. Log each work order as it is raised: WO number, linked task, equipment, priority, status, estimated and actual hours, and cost. Status dropdown controls the row colour (Planned / In Progress / Complete / Overdue / Cancelled).</t>
  </si>
  <si>
    <t xml:space="preserve">STEP 4 — Resource Allocation</t>
  </si>
  <si>
    <t xml:space="preserve">Go to '👥 Resources'. This sheet shows planned hours per technician per month, compared to their available hours. Over-allocated months are highlighted in red automatically.</t>
  </si>
  <si>
    <t xml:space="preserve">STEP 5 — KPI Summary</t>
  </si>
  <si>
    <t xml:space="preserve">Go to '📊 KPIs'. All metrics (PM Compliance, Schedule Adherence, Backlog, Cost Variance) calculate automatically from the Work Order sheet. No manual entry needed.</t>
  </si>
  <si>
    <t xml:space="preserve">COLOUR CODING</t>
  </si>
  <si>
    <t xml:space="preserve">Yellow cells = manual input required. Blue cells = auto-calculated (do not edit). Green rows = Complete. Red rows = Overdue. Orange rows = In Progress. Gantt bars: dark fill = planned window, green fill = complete.</t>
  </si>
  <si>
    <t xml:space="preserve">CONTACT</t>
  </si>
  <si>
    <t xml:space="preserve">Template by Katleho Khoarane | Mechanical Engineer | MEng Candidate — CUT | Turbomachinery · Mining · Energy | linkedin.com/in/katleho-khoarane</t>
  </si>
  <si>
    <t xml:space="preserve">SETTINGS — Edit yellow cells only</t>
  </si>
  <si>
    <t xml:space="preserve">Facility Name</t>
  </si>
  <si>
    <t xml:space="preserve">Acme Mining — Plant A</t>
  </si>
  <si>
    <t xml:space="preserve">Planning Year</t>
  </si>
  <si>
    <t xml:space="preserve">Total weeks in year</t>
  </si>
  <si>
    <t xml:space="preserve">Std hours/day</t>
  </si>
  <si>
    <t xml:space="preserve">Std working days/month</t>
  </si>
  <si>
    <t xml:space="preserve">TECHNICIANS (one per row below)</t>
  </si>
  <si>
    <t xml:space="preserve">T. Mokoena</t>
  </si>
  <si>
    <t xml:space="preserve">S. Dlamini</t>
  </si>
  <si>
    <t xml:space="preserve">R. Botha</t>
  </si>
  <si>
    <t xml:space="preserve">K. Sithole</t>
  </si>
  <si>
    <t xml:space="preserve">J. van Wyk</t>
  </si>
  <si>
    <t xml:space="preserve">A. Mahlangu</t>
  </si>
  <si>
    <t xml:space="preserve">NAMED_TECH_START</t>
  </si>
  <si>
    <t xml:space="preserve">ANNUAL MAINTENANCE PLANNER — GANTT VIEW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</si>
  <si>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</si>
  <si>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</si>
  <si>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</si>
  <si>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</si>
  <si>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</si>
  <si>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</si>
  <si>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</si>
  <si>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</si>
  <si>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</si>
  <si>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</si>
  <si>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</si>
  <si>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</si>
  <si>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Task ID</t>
  </si>
  <si>
    <t xml:space="preserve">Description</t>
  </si>
  <si>
    <t xml:space="preserve">Equipment</t>
  </si>
  <si>
    <t xml:space="preserve">Type</t>
  </si>
  <si>
    <t xml:space="preserve">Responsible</t>
  </si>
  <si>
    <t xml:space="preserve">Start
Week</t>
  </si>
  <si>
    <t xml:space="preserve">Duration
(wks)</t>
  </si>
  <si>
    <t xml:space="preserve">Status</t>
  </si>
  <si>
    <t xml:space="preserve">Priority</t>
  </si>
  <si>
    <t xml:space="preserve">T-001</t>
  </si>
  <si>
    <t xml:space="preserve">30,000hr PM — Feed Pump P-101</t>
  </si>
  <si>
    <t xml:space="preserve">P-101</t>
  </si>
  <si>
    <t xml:space="preserve">PM</t>
  </si>
  <si>
    <t xml:space="preserve">Planned</t>
  </si>
  <si>
    <t xml:space="preserve">High</t>
  </si>
  <si>
    <t xml:space="preserve">█</t>
  </si>
  <si>
    <t xml:space="preserve">T-002</t>
  </si>
  <si>
    <t xml:space="preserve">Gearbox oil change — GB-001</t>
  </si>
  <si>
    <t xml:space="preserve">GB-001</t>
  </si>
  <si>
    <t xml:space="preserve">Medium</t>
  </si>
  <si>
    <t xml:space="preserve">T-003</t>
  </si>
  <si>
    <t xml:space="preserve">Conveyor belt inspection — CV-001</t>
  </si>
  <si>
    <t xml:space="preserve">CV-001</t>
  </si>
  <si>
    <t xml:space="preserve">Inspection</t>
  </si>
  <si>
    <t xml:space="preserve">T-004</t>
  </si>
  <si>
    <t xml:space="preserve">Vibration analysis — M-101</t>
  </si>
  <si>
    <t xml:space="preserve">M-101</t>
  </si>
  <si>
    <t xml:space="preserve">PdM</t>
  </si>
  <si>
    <t xml:space="preserve">T-005</t>
  </si>
  <si>
    <t xml:space="preserve">Crusher overhaul</t>
  </si>
  <si>
    <t xml:space="preserve">Overhaul</t>
  </si>
  <si>
    <t xml:space="preserve">Critical</t>
  </si>
  <si>
    <t xml:space="preserve">T-006</t>
  </si>
  <si>
    <t xml:space="preserve">Lubrication round — all pumps</t>
  </si>
  <si>
    <t xml:space="preserve">Lubrication</t>
  </si>
  <si>
    <t xml:space="preserve">Low</t>
  </si>
  <si>
    <t xml:space="preserve">T-007</t>
  </si>
  <si>
    <t xml:space="preserve">Ball mill liner replacement</t>
  </si>
  <si>
    <t xml:space="preserve">M-102</t>
  </si>
  <si>
    <t xml:space="preserve">T-008</t>
  </si>
  <si>
    <t xml:space="preserve">Cooling fan bearing replacement</t>
  </si>
  <si>
    <t xml:space="preserve">FN-001</t>
  </si>
  <si>
    <t xml:space="preserve">T-009</t>
  </si>
  <si>
    <t xml:space="preserve">Compressor valve overhaul</t>
  </si>
  <si>
    <t xml:space="preserve">C-101</t>
  </si>
  <si>
    <t xml:space="preserve">T-010</t>
  </si>
  <si>
    <t xml:space="preserve">Tailings pump impeller check</t>
  </si>
  <si>
    <t xml:space="preserve">P-102</t>
  </si>
  <si>
    <t xml:space="preserve">T-011</t>
  </si>
  <si>
    <t xml:space="preserve">Conveyor CV-002 belt tension</t>
  </si>
  <si>
    <t xml:space="preserve">CV-002</t>
  </si>
  <si>
    <t xml:space="preserve">T-012</t>
  </si>
  <si>
    <t xml:space="preserve">Gearbox GB-002 oil analysis</t>
  </si>
  <si>
    <t xml:space="preserve">GB-002</t>
  </si>
  <si>
    <t xml:space="preserve">T-013</t>
  </si>
  <si>
    <t xml:space="preserve">Motor alignment check — M-101</t>
  </si>
  <si>
    <t xml:space="preserve">T-014</t>
  </si>
  <si>
    <t xml:space="preserve">Annual safety valve test</t>
  </si>
  <si>
    <t xml:space="preserve">T-015</t>
  </si>
  <si>
    <t xml:space="preserve">Year-end full facility inspection</t>
  </si>
  <si>
    <t xml:space="preserve">ALL</t>
  </si>
  <si>
    <t xml:space="preserve">LEGEND — Task Type:</t>
  </si>
  <si>
    <t xml:space="preserve">  PM</t>
  </si>
  <si>
    <t xml:space="preserve">  PdM</t>
  </si>
  <si>
    <t xml:space="preserve">  CBM</t>
  </si>
  <si>
    <t xml:space="preserve">  Overhaul</t>
  </si>
  <si>
    <t xml:space="preserve">  Inspection</t>
  </si>
  <si>
    <t xml:space="preserve">  Lubrication</t>
  </si>
  <si>
    <t xml:space="preserve">  Calibration</t>
  </si>
  <si>
    <t xml:space="preserve">WORK ORDER REGISTER</t>
  </si>
  <si>
    <t xml:space="preserve">► Yellow cells = manual input  |  Blue cells = auto-calculated  |  Status dropdown controls row colour</t>
  </si>
  <si>
    <t xml:space="preserve">WO Number</t>
  </si>
  <si>
    <t xml:space="preserve">Assigned To</t>
  </si>
  <si>
    <t xml:space="preserve">Planned Date</t>
  </si>
  <si>
    <t xml:space="preserve">Completion Date</t>
  </si>
  <si>
    <t xml:space="preserve">Est. Hours</t>
  </si>
  <si>
    <t xml:space="preserve">Actual Hours</t>
  </si>
  <si>
    <t xml:space="preserve">Est. Cost (R)</t>
  </si>
  <si>
    <t xml:space="preserve">WO-2025-001</t>
  </si>
  <si>
    <t xml:space="preserve">WO-2025-002</t>
  </si>
  <si>
    <t xml:space="preserve">Gearbox oil change GB-001</t>
  </si>
  <si>
    <t xml:space="preserve">WO-2025-003</t>
  </si>
  <si>
    <t xml:space="preserve">Conveyor belt inspection CV-001</t>
  </si>
  <si>
    <t xml:space="preserve">WO-2025-004</t>
  </si>
  <si>
    <t xml:space="preserve">Vibration analysis M-101</t>
  </si>
  <si>
    <t xml:space="preserve">WO-2025-005</t>
  </si>
  <si>
    <t xml:space="preserve">WO-2025-006</t>
  </si>
  <si>
    <t xml:space="preserve">WO-2025-007</t>
  </si>
  <si>
    <t xml:space="preserve">WO-2025-008</t>
  </si>
  <si>
    <t xml:space="preserve">WO-2025-009</t>
  </si>
  <si>
    <t xml:space="preserve">WO-2025-010</t>
  </si>
  <si>
    <t xml:space="preserve">TOTALS</t>
  </si>
  <si>
    <t xml:space="preserve">RESOURCE ALLOCATION — Hours per Technician per Month</t>
  </si>
  <si>
    <t xml:space="preserve">Technician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</si>
  <si>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</si>
  <si>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</si>
  <si>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</si>
  <si>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</si>
  <si>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</si>
  <si>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</si>
  <si>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</si>
  <si>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</si>
  <si>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</si>
  <si>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</si>
  <si>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</si>
  <si>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</si>
  <si>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</t>
  </si>
  <si>
    <t xml:space="preserve">  Available hrs</t>
  </si>
  <si>
    <t xml:space="preserve">KPI SUMMARY — Auto-calculated from Work Order Register</t>
  </si>
  <si>
    <t xml:space="preserve">PM COMPLIANCE</t>
  </si>
  <si>
    <t xml:space="preserve">% of planned WOs completed on time</t>
  </si>
  <si>
    <t xml:space="preserve">Target: ≥ 85%</t>
  </si>
  <si>
    <t xml:space="preserve">SCHEDULE ADHERENCE</t>
  </si>
  <si>
    <t xml:space="preserve">WOs completed vs total WOs raised</t>
  </si>
  <si>
    <t xml:space="preserve">Target: ≥ 90%</t>
  </si>
  <si>
    <t xml:space="preserve">TOTAL WORK ORDERS</t>
  </si>
  <si>
    <t xml:space="preserve">All WOs in the register</t>
  </si>
  <si>
    <t xml:space="preserve">OPEN WORK ORDERS</t>
  </si>
  <si>
    <t xml:space="preserve">WOs with status = Planned or In Progress</t>
  </si>
  <si>
    <t xml:space="preserve">OVERDUE WORK ORDERS</t>
  </si>
  <si>
    <t xml:space="preserve">WOs with status = Overdue</t>
  </si>
  <si>
    <t xml:space="preserve">Target: 0</t>
  </si>
  <si>
    <t xml:space="preserve">BACKLOG HOURS</t>
  </si>
  <si>
    <t xml:space="preserve">Est. hours on open + overdue WOs</t>
  </si>
  <si>
    <t xml:space="preserve">TOTAL EST. COST</t>
  </si>
  <si>
    <t xml:space="preserve">Sum of all estimated costs (R)</t>
  </si>
  <si>
    <t xml:space="preserve">CRITICAL WOs OPEN</t>
  </si>
  <si>
    <t xml:space="preserve">Priority = Critical AND status ≠ Complete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</si>
</sst>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m\-yy"/>
    <numFmt numFmtId="166" formatCode="General"/>
    <numFmt numFmtId="167" formatCode="0"/>
    <numFmt numFmtId="168" formatCode="0.0%"/>
    <numFmt numFmtId="169" formatCode="0.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E8A020"/>
      <name val="Arial"/>
      <family val="0"/>
      <charset val="1"/>
    </font>
    <font>
      <b val="true"/>
      <sz val="9"/>
      <color rgb="FFE8A020"/>
      <name val="Arial"/>
      <family val="0"/>
      <charset val="1"/>
    </font>
    <font>
      <sz val="9"/>
      <color rgb="FF1A1A2E"/>
      <name val="Arial"/>
      <family val="0"/>
      <charset val="1"/>
    </font>
    <font>
      <b val="true"/>
      <sz val="12"/>
      <color rgb="FFE8A02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8"/>
      <color rgb="FF717D7E"/>
      <name val="Arial"/>
      <family val="0"/>
      <charset val="1"/>
    </font>
    <font>
      <b val="true"/>
      <sz val="8"/>
      <color rgb="FFE8A020"/>
      <name val="Arial"/>
      <family val="0"/>
      <charset val="1"/>
    </font>
    <font>
      <b val="true"/>
      <sz val="7"/>
      <color rgb="FFD5D8DC"/>
      <name val="Arial"/>
      <family val="0"/>
      <charset val="1"/>
    </font>
    <font>
      <sz val="6"/>
      <color rgb="FF1F618D"/>
      <name val="Arial"/>
      <family val="0"/>
      <charset val="1"/>
    </font>
    <font>
      <sz val="6"/>
      <color rgb="FF1E8449"/>
      <name val="Arial"/>
      <family val="0"/>
      <charset val="1"/>
    </font>
    <font>
      <sz val="6"/>
      <color rgb="FF6C3483"/>
      <name val="Arial"/>
      <family val="0"/>
      <charset val="1"/>
    </font>
    <font>
      <sz val="6"/>
      <color rgb="FFA04000"/>
      <name val="Arial"/>
      <family val="0"/>
      <charset val="1"/>
    </font>
    <font>
      <sz val="6"/>
      <color rgb="FFB7950B"/>
      <name val="Arial"/>
      <family val="0"/>
      <charset val="1"/>
    </font>
    <font>
      <b val="true"/>
      <sz val="8"/>
      <color rgb="FF1A1A2E"/>
      <name val="Arial"/>
      <family val="0"/>
      <charset val="1"/>
    </font>
    <font>
      <sz val="8"/>
      <color rgb="FFFFFFFF"/>
      <name val="Arial"/>
      <family val="0"/>
      <charset val="1"/>
    </font>
    <font>
      <sz val="9"/>
      <color rgb="FF1F618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color rgb="FFE8A020"/>
      <name val="Arial"/>
      <family val="0"/>
      <charset val="1"/>
    </font>
    <font>
      <b val="true"/>
      <sz val="9"/>
      <color rgb="FF1A1A2E"/>
      <name val="Arial"/>
      <family val="0"/>
      <charset val="1"/>
    </font>
    <font>
      <i val="true"/>
      <sz val="9"/>
      <color rgb="FF717D7E"/>
      <name val="Arial"/>
      <family val="0"/>
      <charset val="1"/>
    </font>
    <font>
      <sz val="9"/>
      <color rgb="FF717D7E"/>
      <name val="Arial"/>
      <family val="0"/>
      <charset val="1"/>
    </font>
    <font>
      <b val="true"/>
      <sz val="14"/>
      <color rgb="FF1F618D"/>
      <name val="Arial"/>
      <family val="0"/>
      <charset val="1"/>
    </font>
    <font>
      <i val="true"/>
      <sz val="9"/>
      <color rgb="FF1E8449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F2F3F4"/>
        <bgColor rgb="FFFFF9E6"/>
      </patternFill>
    </fill>
    <fill>
      <patternFill patternType="solid">
        <fgColor rgb="FF16213E"/>
        <bgColor rgb="FF1A1A2E"/>
      </patternFill>
    </fill>
    <fill>
      <patternFill patternType="solid">
        <fgColor rgb="FFFFF9E6"/>
        <bgColor rgb="FFFFFFFF"/>
      </patternFill>
    </fill>
    <fill>
      <patternFill patternType="solid">
        <fgColor rgb="FF1E2D40"/>
        <bgColor rgb="FF16213E"/>
      </patternFill>
    </fill>
    <fill>
      <patternFill patternType="solid">
        <fgColor rgb="FF1F618D"/>
        <bgColor rgb="FF117A65"/>
      </patternFill>
    </fill>
    <fill>
      <patternFill patternType="solid">
        <fgColor rgb="FFFFFFFF"/>
        <bgColor rgb="FFFFF9E6"/>
      </patternFill>
    </fill>
    <fill>
      <patternFill patternType="solid">
        <fgColor rgb="FF1E8449"/>
        <bgColor rgb="FF117A65"/>
      </patternFill>
    </fill>
    <fill>
      <patternFill patternType="solid">
        <fgColor rgb="FF6C3483"/>
        <bgColor rgb="FF993366"/>
      </patternFill>
    </fill>
    <fill>
      <patternFill patternType="solid">
        <fgColor rgb="FFA04000"/>
        <bgColor rgb="FF993366"/>
      </patternFill>
    </fill>
    <fill>
      <patternFill patternType="solid">
        <fgColor rgb="FFB7950B"/>
        <bgColor rgb="FFE8A020"/>
      </patternFill>
    </fill>
    <fill>
      <patternFill patternType="solid">
        <fgColor rgb="FF117A65"/>
        <bgColor rgb="FF008080"/>
      </patternFill>
    </fill>
    <fill>
      <patternFill patternType="solid">
        <fgColor rgb="FF717D7E"/>
        <bgColor rgb="FF666699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E8A020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E8E8E8"/>
      </left>
      <right style="thin">
        <color rgb="FFE8E8E8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1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5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5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5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950B"/>
      <rgbColor rgb="FF800080"/>
      <rgbColor rgb="FF117A65"/>
      <rgbColor rgb="FFCCCCCC"/>
      <rgbColor rgb="FF717D7E"/>
      <rgbColor rgb="FF9999FF"/>
      <rgbColor rgb="FF6C3483"/>
      <rgbColor rgb="FFFFF9E6"/>
      <rgbColor rgb="FFD6EAF8"/>
      <rgbColor rgb="FF660066"/>
      <rgbColor rgb="FFFF8080"/>
      <rgbColor rgb="FF1F618D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3F4"/>
      <rgbColor rgb="FFD5F5E3"/>
      <rgbColor rgb="FFE8E8E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8A020"/>
      <rgbColor rgb="FFFF6600"/>
      <rgbColor rgb="FF666699"/>
      <rgbColor rgb="FF969696"/>
      <rgbColor rgb="FF16213E"/>
      <rgbColor rgb="FF1E8449"/>
      <rgbColor rgb="FF003300"/>
      <rgbColor rgb="FF1A1A2E"/>
      <rgbColor rgb="FFA04000"/>
      <rgbColor rgb="FF993366"/>
      <rgbColor rgb="FF333399"/>
      <rgbColor rgb="FF1E2D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17D7E"/>
    <pageSetUpPr fitToPage="false"/>
  </sheetPr>
  <dimension ref="B1:C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70"/>
    <col collapsed="false" customWidth="true" hidden="false" outlineLevel="0" max="4" min="4" style="0" width="3"/>
  </cols>
  <sheetData>
    <row r="1" customFormat="false" ht="7.5" hidden="false" customHeight="true" outlineLevel="0" collapsed="false"/>
    <row r="2" customFormat="false" ht="42" hidden="false" customHeight="true" outlineLevel="0" collapsed="false">
      <c r="B2" s="1" t="s">
        <v>0</v>
      </c>
      <c r="C2" s="1"/>
    </row>
    <row r="4" customFormat="false" ht="9.75" hidden="false" customHeight="true" outlineLevel="0" collapsed="false"/>
    <row r="5" customFormat="false" ht="19.5" hidden="false" customHeight="true" outlineLevel="0" collapsed="false">
      <c r="B5" s="2" t="s">
        <v>1</v>
      </c>
    </row>
    <row r="6" customFormat="false" ht="51.75" hidden="false" customHeight="true" outlineLevel="0" collapsed="false">
      <c r="B6" s="3"/>
      <c r="C6" s="4" t="s">
        <v>2</v>
      </c>
    </row>
    <row r="7" customFormat="false" ht="9.75" hidden="false" customHeight="true" outlineLevel="0" collapsed="false"/>
    <row r="8" customFormat="false" ht="19.5" hidden="false" customHeight="true" outlineLevel="0" collapsed="false">
      <c r="B8" s="2" t="s">
        <v>3</v>
      </c>
    </row>
    <row r="9" customFormat="false" ht="51.75" hidden="false" customHeight="true" outlineLevel="0" collapsed="false">
      <c r="B9" s="3"/>
      <c r="C9" s="4" t="s">
        <v>4</v>
      </c>
    </row>
    <row r="10" customFormat="false" ht="9.75" hidden="false" customHeight="true" outlineLevel="0" collapsed="false"/>
    <row r="11" customFormat="false" ht="19.5" hidden="false" customHeight="true" outlineLevel="0" collapsed="false">
      <c r="B11" s="2" t="s">
        <v>5</v>
      </c>
    </row>
    <row r="12" customFormat="false" ht="51.75" hidden="false" customHeight="true" outlineLevel="0" collapsed="false">
      <c r="B12" s="3"/>
      <c r="C12" s="4" t="s">
        <v>6</v>
      </c>
    </row>
    <row r="13" customFormat="false" ht="9.75" hidden="false" customHeight="true" outlineLevel="0" collapsed="false"/>
    <row r="14" customFormat="false" ht="19.5" hidden="false" customHeight="true" outlineLevel="0" collapsed="false">
      <c r="B14" s="2" t="s">
        <v>7</v>
      </c>
    </row>
    <row r="15" customFormat="false" ht="51.75" hidden="false" customHeight="true" outlineLevel="0" collapsed="false">
      <c r="B15" s="3"/>
      <c r="C15" s="4" t="s">
        <v>8</v>
      </c>
    </row>
    <row r="16" customFormat="false" ht="9.75" hidden="false" customHeight="true" outlineLevel="0" collapsed="false"/>
    <row r="17" customFormat="false" ht="19.5" hidden="false" customHeight="true" outlineLevel="0" collapsed="false">
      <c r="B17" s="2" t="s">
        <v>9</v>
      </c>
    </row>
    <row r="18" customFormat="false" ht="51.75" hidden="false" customHeight="true" outlineLevel="0" collapsed="false">
      <c r="B18" s="3"/>
      <c r="C18" s="4" t="s">
        <v>10</v>
      </c>
    </row>
    <row r="19" customFormat="false" ht="9.75" hidden="false" customHeight="true" outlineLevel="0" collapsed="false"/>
    <row r="20" customFormat="false" ht="19.5" hidden="false" customHeight="true" outlineLevel="0" collapsed="false">
      <c r="B20" s="2" t="s">
        <v>11</v>
      </c>
    </row>
    <row r="21" customFormat="false" ht="51.75" hidden="false" customHeight="true" outlineLevel="0" collapsed="false">
      <c r="B21" s="3"/>
      <c r="C21" s="4" t="s">
        <v>12</v>
      </c>
    </row>
    <row r="22" customFormat="false" ht="9.75" hidden="false" customHeight="true" outlineLevel="0" collapsed="false"/>
    <row r="23" customFormat="false" ht="19.5" hidden="false" customHeight="true" outlineLevel="0" collapsed="false">
      <c r="B23" s="2" t="s">
        <v>13</v>
      </c>
    </row>
    <row r="24" customFormat="false" ht="51.75" hidden="false" customHeight="true" outlineLevel="0" collapsed="false">
      <c r="B24" s="3"/>
      <c r="C24" s="4" t="s">
        <v>14</v>
      </c>
    </row>
    <row r="25" customFormat="false" ht="9.75" hidden="false" customHeight="true" outlineLevel="0" collapsed="false"/>
    <row r="26" customFormat="false" ht="19.5" hidden="false" customHeight="true" outlineLevel="0" collapsed="false">
      <c r="B26" s="2" t="s">
        <v>15</v>
      </c>
    </row>
    <row r="27" customFormat="false" ht="51.75" hidden="false" customHeight="true" outlineLevel="0" collapsed="false">
      <c r="B27" s="3"/>
      <c r="C27" s="4" t="s">
        <v>16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04000"/>
    <pageSetUpPr fitToPage="false"/>
  </sheetPr>
  <dimension ref="B2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24"/>
    <col collapsed="false" customWidth="true" hidden="false" outlineLevel="0" max="4" min="4" style="0" width="3"/>
  </cols>
  <sheetData>
    <row r="2" customFormat="false" ht="36" hidden="false" customHeight="true" outlineLevel="0" collapsed="false">
      <c r="B2" s="5" t="s">
        <v>17</v>
      </c>
      <c r="C2" s="5"/>
    </row>
    <row r="3" customFormat="false" ht="7.5" hidden="false" customHeight="true" outlineLevel="0" collapsed="false"/>
    <row r="4" customFormat="false" ht="19.5" hidden="false" customHeight="true" outlineLevel="0" collapsed="false">
      <c r="B4" s="6" t="s">
        <v>18</v>
      </c>
      <c r="C4" s="7" t="s">
        <v>19</v>
      </c>
    </row>
    <row r="5" customFormat="false" ht="19.5" hidden="false" customHeight="true" outlineLevel="0" collapsed="false">
      <c r="B5" s="6" t="s">
        <v>20</v>
      </c>
      <c r="C5" s="7" t="n">
        <v>2025</v>
      </c>
    </row>
    <row r="6" customFormat="false" ht="19.5" hidden="false" customHeight="true" outlineLevel="0" collapsed="false">
      <c r="B6" s="6" t="s">
        <v>21</v>
      </c>
      <c r="C6" s="7" t="n">
        <v>52</v>
      </c>
    </row>
    <row r="7" customFormat="false" ht="19.5" hidden="false" customHeight="true" outlineLevel="0" collapsed="false">
      <c r="B7" s="6" t="s">
        <v>22</v>
      </c>
      <c r="C7" s="7" t="n">
        <v>8</v>
      </c>
    </row>
    <row r="8" customFormat="false" ht="19.5" hidden="false" customHeight="true" outlineLevel="0" collapsed="false">
      <c r="B8" s="6" t="s">
        <v>23</v>
      </c>
      <c r="C8" s="7" t="n">
        <v>22</v>
      </c>
    </row>
    <row r="9" customFormat="false" ht="9.75" hidden="false" customHeight="true" outlineLevel="0" collapsed="false"/>
    <row r="10" customFormat="false" ht="19.5" hidden="false" customHeight="true" outlineLevel="0" collapsed="false">
      <c r="B10" s="6" t="s">
        <v>24</v>
      </c>
    </row>
    <row r="11" customFormat="false" ht="18" hidden="false" customHeight="true" outlineLevel="0" collapsed="false">
      <c r="B11" s="8" t="s">
        <v>25</v>
      </c>
    </row>
    <row r="12" customFormat="false" ht="18" hidden="false" customHeight="true" outlineLevel="0" collapsed="false">
      <c r="B12" s="8" t="s">
        <v>26</v>
      </c>
    </row>
    <row r="13" customFormat="false" ht="18" hidden="false" customHeight="true" outlineLevel="0" collapsed="false">
      <c r="B13" s="8" t="s">
        <v>27</v>
      </c>
    </row>
    <row r="14" customFormat="false" ht="18" hidden="false" customHeight="true" outlineLevel="0" collapsed="false">
      <c r="B14" s="8" t="s">
        <v>28</v>
      </c>
    </row>
    <row r="15" customFormat="false" ht="18" hidden="false" customHeight="true" outlineLevel="0" collapsed="false">
      <c r="B15" s="8" t="s">
        <v>29</v>
      </c>
    </row>
    <row r="16" customFormat="false" ht="18" hidden="false" customHeight="true" outlineLevel="0" collapsed="false">
      <c r="B16" s="8" t="s">
        <v>30</v>
      </c>
    </row>
    <row r="19" customFormat="false" ht="15" hidden="false" customHeight="false" outlineLevel="0" collapsed="false">
      <c r="B19" s="9" t="s">
        <v>31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A020"/>
    <pageSetUpPr fitToPage="false"/>
  </sheetPr>
  <dimension ref="A1:BJ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4" topLeftCell="J5" activePane="bottomRight" state="frozen"/>
      <selection pane="topLeft" activeCell="A1" activeCellId="0" sqref="A1"/>
      <selection pane="topRight" activeCell="J1" activeCellId="0" sqref="J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9" min="3" style="0" width="12"/>
    <col collapsed="false" customWidth="true" hidden="false" outlineLevel="0" max="10" min="10" style="0" width="10"/>
    <col collapsed="false" customWidth="true" hidden="false" outlineLevel="0" max="62" min="11" style="0" width="2.8"/>
  </cols>
  <sheetData>
    <row r="1" customFormat="false" ht="7.5" hidden="false" customHeight="true" outlineLevel="0" collapsed="false"/>
    <row r="2" customFormat="false" ht="36" hidden="false" customHeight="true" outlineLevel="0" collapsed="false">
      <c r="A2" s="10"/>
      <c r="B2" s="1" t="s">
        <v>32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 customFormat="false" ht="7.5" hidden="false" customHeight="true" outlineLevel="0" collapsed="false">
      <c r="K3" s="11" t="s">
        <v>33</v>
      </c>
      <c r="L3" s="11"/>
      <c r="M3" s="11"/>
      <c r="N3" s="11"/>
      <c r="O3" s="12" t="s">
        <v>34</v>
      </c>
      <c r="P3" s="12"/>
      <c r="Q3" s="12"/>
      <c r="R3" s="12"/>
      <c r="S3" s="11" t="s">
        <v>35</v>
      </c>
      <c r="T3" s="11"/>
      <c r="U3" s="11"/>
      <c r="V3" s="11"/>
      <c r="W3" s="11"/>
      <c r="X3" s="12" t="s">
        <v>36</v>
      </c>
      <c r="Y3" s="12"/>
      <c r="Z3" s="12"/>
      <c r="AA3" s="12"/>
      <c r="AB3" s="11" t="s">
        <v>37</v>
      </c>
      <c r="AC3" s="11"/>
      <c r="AD3" s="11"/>
      <c r="AE3" s="11"/>
      <c r="AF3" s="12" t="s">
        <v>38</v>
      </c>
      <c r="AG3" s="12"/>
      <c r="AH3" s="12"/>
      <c r="AI3" s="12"/>
      <c r="AJ3" s="11" t="s">
        <v>39</v>
      </c>
      <c r="AK3" s="11"/>
      <c r="AL3" s="11"/>
      <c r="AM3" s="11"/>
      <c r="AN3" s="11"/>
      <c r="AO3" s="12" t="s">
        <v>40</v>
      </c>
      <c r="AP3" s="12"/>
      <c r="AQ3" s="12"/>
      <c r="AR3" s="12"/>
      <c r="AS3" s="11" t="s">
        <v>41</v>
      </c>
      <c r="AT3" s="11"/>
      <c r="AU3" s="11"/>
      <c r="AV3" s="11"/>
      <c r="AW3" s="12" t="s">
        <v>42</v>
      </c>
      <c r="AX3" s="12"/>
      <c r="AY3" s="12"/>
      <c r="AZ3" s="12"/>
      <c r="BA3" s="12"/>
      <c r="BB3" s="11" t="s">
        <v>43</v>
      </c>
      <c r="BC3" s="11"/>
      <c r="BD3" s="11"/>
      <c r="BE3" s="11"/>
      <c r="BF3" s="12" t="s">
        <v>44</v>
      </c>
      <c r="BG3" s="12"/>
      <c r="BH3" s="12"/>
      <c r="BI3" s="12"/>
      <c r="BJ3" s="12"/>
    </row>
    <row r="4" customFormat="false" ht="21.75" hidden="false" customHeight="true" outlineLevel="0" collapsed="false">
      <c r="B4" s="13" t="s">
        <v>45</v>
      </c>
      <c r="C4" s="13" t="s">
        <v>46</v>
      </c>
      <c r="D4" s="13" t="s">
        <v>47</v>
      </c>
      <c r="E4" s="13" t="s">
        <v>48</v>
      </c>
      <c r="F4" s="13" t="s">
        <v>49</v>
      </c>
      <c r="G4" s="13" t="s">
        <v>50</v>
      </c>
      <c r="H4" s="13" t="s">
        <v>51</v>
      </c>
      <c r="I4" s="13" t="s">
        <v>52</v>
      </c>
      <c r="J4" s="13" t="s">
        <v>53</v>
      </c>
      <c r="K4" s="14" t="n">
        <v>1</v>
      </c>
      <c r="L4" s="14" t="n">
        <v>2</v>
      </c>
      <c r="M4" s="14" t="n">
        <v>3</v>
      </c>
      <c r="N4" s="14" t="n">
        <v>4</v>
      </c>
      <c r="O4" s="14" t="n">
        <v>5</v>
      </c>
      <c r="P4" s="14" t="n">
        <v>6</v>
      </c>
      <c r="Q4" s="14" t="n">
        <v>7</v>
      </c>
      <c r="R4" s="14" t="n">
        <v>8</v>
      </c>
      <c r="S4" s="14" t="n">
        <v>9</v>
      </c>
      <c r="T4" s="14" t="n">
        <v>10</v>
      </c>
      <c r="U4" s="14" t="n">
        <v>11</v>
      </c>
      <c r="V4" s="14" t="n">
        <v>12</v>
      </c>
      <c r="W4" s="14" t="n">
        <v>13</v>
      </c>
      <c r="X4" s="14" t="n">
        <v>14</v>
      </c>
      <c r="Y4" s="14" t="n">
        <v>15</v>
      </c>
      <c r="Z4" s="14" t="n">
        <v>16</v>
      </c>
      <c r="AA4" s="14" t="n">
        <v>17</v>
      </c>
      <c r="AB4" s="14" t="n">
        <v>18</v>
      </c>
      <c r="AC4" s="14" t="n">
        <v>19</v>
      </c>
      <c r="AD4" s="14" t="n">
        <v>20</v>
      </c>
      <c r="AE4" s="14" t="n">
        <v>21</v>
      </c>
      <c r="AF4" s="14" t="n">
        <v>22</v>
      </c>
      <c r="AG4" s="14" t="n">
        <v>23</v>
      </c>
      <c r="AH4" s="14" t="n">
        <v>24</v>
      </c>
      <c r="AI4" s="14" t="n">
        <v>25</v>
      </c>
      <c r="AJ4" s="14" t="n">
        <v>26</v>
      </c>
      <c r="AK4" s="14" t="n">
        <v>27</v>
      </c>
      <c r="AL4" s="14" t="n">
        <v>28</v>
      </c>
      <c r="AM4" s="14" t="n">
        <v>29</v>
      </c>
      <c r="AN4" s="14" t="n">
        <v>30</v>
      </c>
      <c r="AO4" s="14" t="n">
        <v>31</v>
      </c>
      <c r="AP4" s="14" t="n">
        <v>32</v>
      </c>
      <c r="AQ4" s="14" t="n">
        <v>33</v>
      </c>
      <c r="AR4" s="14" t="n">
        <v>34</v>
      </c>
      <c r="AS4" s="14" t="n">
        <v>35</v>
      </c>
      <c r="AT4" s="14" t="n">
        <v>36</v>
      </c>
      <c r="AU4" s="14" t="n">
        <v>37</v>
      </c>
      <c r="AV4" s="14" t="n">
        <v>38</v>
      </c>
      <c r="AW4" s="14" t="n">
        <v>39</v>
      </c>
      <c r="AX4" s="14" t="n">
        <v>40</v>
      </c>
      <c r="AY4" s="14" t="n">
        <v>41</v>
      </c>
      <c r="AZ4" s="14" t="n">
        <v>42</v>
      </c>
      <c r="BA4" s="14" t="n">
        <v>43</v>
      </c>
      <c r="BB4" s="14" t="n">
        <v>44</v>
      </c>
      <c r="BC4" s="14" t="n">
        <v>45</v>
      </c>
      <c r="BD4" s="14" t="n">
        <v>46</v>
      </c>
      <c r="BE4" s="14" t="n">
        <v>47</v>
      </c>
      <c r="BF4" s="14" t="n">
        <v>48</v>
      </c>
      <c r="BG4" s="14" t="n">
        <v>49</v>
      </c>
      <c r="BH4" s="14" t="n">
        <v>50</v>
      </c>
      <c r="BI4" s="14" t="n">
        <v>51</v>
      </c>
      <c r="BJ4" s="14" t="n">
        <v>52</v>
      </c>
    </row>
    <row r="5" customFormat="false" ht="18" hidden="false" customHeight="true" outlineLevel="0" collapsed="false">
      <c r="B5" s="7" t="s">
        <v>54</v>
      </c>
      <c r="C5" s="8" t="s">
        <v>55</v>
      </c>
      <c r="D5" s="7" t="s">
        <v>56</v>
      </c>
      <c r="E5" s="7" t="s">
        <v>57</v>
      </c>
      <c r="F5" s="8" t="s">
        <v>25</v>
      </c>
      <c r="G5" s="7" t="n">
        <v>1</v>
      </c>
      <c r="H5" s="7" t="n">
        <v>1</v>
      </c>
      <c r="I5" s="7" t="s">
        <v>58</v>
      </c>
      <c r="J5" s="7" t="s">
        <v>59</v>
      </c>
      <c r="K5" s="15" t="s">
        <v>60</v>
      </c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</row>
    <row r="6" customFormat="false" ht="18" hidden="false" customHeight="true" outlineLevel="0" collapsed="false">
      <c r="B6" s="7" t="s">
        <v>61</v>
      </c>
      <c r="C6" s="8" t="s">
        <v>62</v>
      </c>
      <c r="D6" s="7" t="s">
        <v>63</v>
      </c>
      <c r="E6" s="7" t="s">
        <v>57</v>
      </c>
      <c r="F6" s="8" t="s">
        <v>26</v>
      </c>
      <c r="G6" s="7" t="n">
        <v>2</v>
      </c>
      <c r="H6" s="7" t="n">
        <v>1</v>
      </c>
      <c r="I6" s="7" t="s">
        <v>58</v>
      </c>
      <c r="J6" s="7" t="s">
        <v>64</v>
      </c>
      <c r="K6" s="17"/>
      <c r="L6" s="15" t="s">
        <v>60</v>
      </c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</row>
    <row r="7" customFormat="false" ht="18" hidden="false" customHeight="true" outlineLevel="0" collapsed="false">
      <c r="B7" s="7" t="s">
        <v>65</v>
      </c>
      <c r="C7" s="8" t="s">
        <v>66</v>
      </c>
      <c r="D7" s="7" t="s">
        <v>67</v>
      </c>
      <c r="E7" s="7" t="s">
        <v>68</v>
      </c>
      <c r="F7" s="8" t="s">
        <v>27</v>
      </c>
      <c r="G7" s="7" t="n">
        <v>3</v>
      </c>
      <c r="H7" s="7" t="n">
        <v>1</v>
      </c>
      <c r="I7" s="7" t="s">
        <v>58</v>
      </c>
      <c r="J7" s="7" t="s">
        <v>59</v>
      </c>
      <c r="K7" s="16"/>
      <c r="L7" s="16"/>
      <c r="M7" s="18" t="s">
        <v>60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</row>
    <row r="8" customFormat="false" ht="18" hidden="false" customHeight="true" outlineLevel="0" collapsed="false">
      <c r="B8" s="7" t="s">
        <v>69</v>
      </c>
      <c r="C8" s="8" t="s">
        <v>70</v>
      </c>
      <c r="D8" s="7" t="s">
        <v>71</v>
      </c>
      <c r="E8" s="7" t="s">
        <v>72</v>
      </c>
      <c r="F8" s="8" t="s">
        <v>28</v>
      </c>
      <c r="G8" s="7" t="n">
        <v>4</v>
      </c>
      <c r="H8" s="7" t="n">
        <v>1</v>
      </c>
      <c r="I8" s="7" t="s">
        <v>58</v>
      </c>
      <c r="J8" s="7" t="s">
        <v>59</v>
      </c>
      <c r="K8" s="17"/>
      <c r="L8" s="17"/>
      <c r="M8" s="17"/>
      <c r="N8" s="19" t="s">
        <v>60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</row>
    <row r="9" customFormat="false" ht="18" hidden="false" customHeight="true" outlineLevel="0" collapsed="false">
      <c r="B9" s="7" t="s">
        <v>73</v>
      </c>
      <c r="C9" s="8" t="s">
        <v>74</v>
      </c>
      <c r="D9" s="7" t="s">
        <v>71</v>
      </c>
      <c r="E9" s="7" t="s">
        <v>75</v>
      </c>
      <c r="F9" s="8" t="s">
        <v>25</v>
      </c>
      <c r="G9" s="7" t="n">
        <v>5</v>
      </c>
      <c r="H9" s="7" t="n">
        <v>4</v>
      </c>
      <c r="I9" s="7" t="s">
        <v>58</v>
      </c>
      <c r="J9" s="7" t="s">
        <v>76</v>
      </c>
      <c r="K9" s="16"/>
      <c r="L9" s="16"/>
      <c r="M9" s="16"/>
      <c r="N9" s="16"/>
      <c r="O9" s="20" t="s">
        <v>60</v>
      </c>
      <c r="P9" s="20" t="s">
        <v>60</v>
      </c>
      <c r="Q9" s="20" t="s">
        <v>60</v>
      </c>
      <c r="R9" s="20" t="s">
        <v>60</v>
      </c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</row>
    <row r="10" customFormat="false" ht="18" hidden="false" customHeight="true" outlineLevel="0" collapsed="false">
      <c r="B10" s="7" t="s">
        <v>77</v>
      </c>
      <c r="C10" s="8" t="s">
        <v>78</v>
      </c>
      <c r="D10" s="7" t="s">
        <v>56</v>
      </c>
      <c r="E10" s="7" t="s">
        <v>79</v>
      </c>
      <c r="F10" s="8" t="s">
        <v>29</v>
      </c>
      <c r="G10" s="7" t="n">
        <v>1</v>
      </c>
      <c r="H10" s="7" t="n">
        <v>1</v>
      </c>
      <c r="I10" s="7" t="s">
        <v>58</v>
      </c>
      <c r="J10" s="7" t="s">
        <v>80</v>
      </c>
      <c r="K10" s="21" t="s">
        <v>60</v>
      </c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</row>
    <row r="11" customFormat="false" ht="18" hidden="false" customHeight="true" outlineLevel="0" collapsed="false">
      <c r="B11" s="7" t="s">
        <v>81</v>
      </c>
      <c r="C11" s="8" t="s">
        <v>82</v>
      </c>
      <c r="D11" s="7" t="s">
        <v>83</v>
      </c>
      <c r="E11" s="7" t="s">
        <v>75</v>
      </c>
      <c r="F11" s="8" t="s">
        <v>30</v>
      </c>
      <c r="G11" s="7" t="n">
        <v>12</v>
      </c>
      <c r="H11" s="7" t="n">
        <v>3</v>
      </c>
      <c r="I11" s="7" t="s">
        <v>58</v>
      </c>
      <c r="J11" s="7" t="s">
        <v>76</v>
      </c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20" t="s">
        <v>60</v>
      </c>
      <c r="W11" s="20" t="s">
        <v>60</v>
      </c>
      <c r="X11" s="20" t="s">
        <v>60</v>
      </c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</row>
    <row r="12" customFormat="false" ht="18" hidden="false" customHeight="true" outlineLevel="0" collapsed="false">
      <c r="B12" s="7" t="s">
        <v>84</v>
      </c>
      <c r="C12" s="8" t="s">
        <v>85</v>
      </c>
      <c r="D12" s="7" t="s">
        <v>86</v>
      </c>
      <c r="E12" s="7" t="s">
        <v>57</v>
      </c>
      <c r="F12" s="8" t="s">
        <v>27</v>
      </c>
      <c r="G12" s="7" t="n">
        <v>8</v>
      </c>
      <c r="H12" s="7" t="n">
        <v>1</v>
      </c>
      <c r="I12" s="7" t="s">
        <v>58</v>
      </c>
      <c r="J12" s="7" t="s">
        <v>64</v>
      </c>
      <c r="K12" s="17"/>
      <c r="L12" s="17"/>
      <c r="M12" s="17"/>
      <c r="N12" s="17"/>
      <c r="O12" s="17"/>
      <c r="P12" s="17"/>
      <c r="Q12" s="17"/>
      <c r="R12" s="15" t="s">
        <v>60</v>
      </c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</row>
    <row r="13" customFormat="false" ht="18" hidden="false" customHeight="true" outlineLevel="0" collapsed="false">
      <c r="B13" s="7" t="s">
        <v>87</v>
      </c>
      <c r="C13" s="8" t="s">
        <v>88</v>
      </c>
      <c r="D13" s="7" t="s">
        <v>89</v>
      </c>
      <c r="E13" s="7" t="s">
        <v>75</v>
      </c>
      <c r="F13" s="8" t="s">
        <v>26</v>
      </c>
      <c r="G13" s="7" t="n">
        <v>16</v>
      </c>
      <c r="H13" s="7" t="n">
        <v>2</v>
      </c>
      <c r="I13" s="7" t="s">
        <v>58</v>
      </c>
      <c r="J13" s="7" t="s">
        <v>59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20" t="s">
        <v>60</v>
      </c>
      <c r="AA13" s="20" t="s">
        <v>60</v>
      </c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</row>
    <row r="14" customFormat="false" ht="18" hidden="false" customHeight="true" outlineLevel="0" collapsed="false">
      <c r="B14" s="7" t="s">
        <v>90</v>
      </c>
      <c r="C14" s="8" t="s">
        <v>91</v>
      </c>
      <c r="D14" s="7" t="s">
        <v>92</v>
      </c>
      <c r="E14" s="7" t="s">
        <v>68</v>
      </c>
      <c r="F14" s="8" t="s">
        <v>28</v>
      </c>
      <c r="G14" s="7" t="n">
        <v>20</v>
      </c>
      <c r="H14" s="7" t="n">
        <v>1</v>
      </c>
      <c r="I14" s="7" t="s">
        <v>58</v>
      </c>
      <c r="J14" s="7" t="s">
        <v>64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8" t="s">
        <v>60</v>
      </c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</row>
    <row r="15" customFormat="false" ht="18" hidden="false" customHeight="true" outlineLevel="0" collapsed="false">
      <c r="B15" s="7" t="s">
        <v>93</v>
      </c>
      <c r="C15" s="8" t="s">
        <v>94</v>
      </c>
      <c r="D15" s="7" t="s">
        <v>95</v>
      </c>
      <c r="E15" s="7" t="s">
        <v>57</v>
      </c>
      <c r="F15" s="8" t="s">
        <v>29</v>
      </c>
      <c r="G15" s="7" t="n">
        <v>24</v>
      </c>
      <c r="H15" s="7" t="n">
        <v>1</v>
      </c>
      <c r="I15" s="7" t="s">
        <v>58</v>
      </c>
      <c r="J15" s="7" t="s">
        <v>80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5" t="s">
        <v>60</v>
      </c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</row>
    <row r="16" customFormat="false" ht="18" hidden="false" customHeight="true" outlineLevel="0" collapsed="false">
      <c r="B16" s="7" t="s">
        <v>96</v>
      </c>
      <c r="C16" s="8" t="s">
        <v>97</v>
      </c>
      <c r="D16" s="7" t="s">
        <v>98</v>
      </c>
      <c r="E16" s="7" t="s">
        <v>72</v>
      </c>
      <c r="F16" s="8" t="s">
        <v>25</v>
      </c>
      <c r="G16" s="7" t="n">
        <v>26</v>
      </c>
      <c r="H16" s="7" t="n">
        <v>1</v>
      </c>
      <c r="I16" s="7" t="s">
        <v>58</v>
      </c>
      <c r="J16" s="7" t="s">
        <v>64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9" t="s">
        <v>60</v>
      </c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</row>
    <row r="17" customFormat="false" ht="18" hidden="false" customHeight="true" outlineLevel="0" collapsed="false">
      <c r="B17" s="7" t="s">
        <v>99</v>
      </c>
      <c r="C17" s="8" t="s">
        <v>100</v>
      </c>
      <c r="D17" s="7" t="s">
        <v>71</v>
      </c>
      <c r="E17" s="7" t="s">
        <v>68</v>
      </c>
      <c r="F17" s="8" t="s">
        <v>30</v>
      </c>
      <c r="G17" s="7" t="n">
        <v>30</v>
      </c>
      <c r="H17" s="7" t="n">
        <v>1</v>
      </c>
      <c r="I17" s="7" t="s">
        <v>58</v>
      </c>
      <c r="J17" s="7" t="s">
        <v>59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8" t="s">
        <v>60</v>
      </c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</row>
    <row r="18" customFormat="false" ht="18" hidden="false" customHeight="true" outlineLevel="0" collapsed="false">
      <c r="B18" s="7" t="s">
        <v>101</v>
      </c>
      <c r="C18" s="8" t="s">
        <v>102</v>
      </c>
      <c r="D18" s="7" t="s">
        <v>89</v>
      </c>
      <c r="E18" s="7" t="s">
        <v>68</v>
      </c>
      <c r="F18" s="8" t="s">
        <v>26</v>
      </c>
      <c r="G18" s="7" t="n">
        <v>40</v>
      </c>
      <c r="H18" s="7" t="n">
        <v>1</v>
      </c>
      <c r="I18" s="7" t="s">
        <v>58</v>
      </c>
      <c r="J18" s="7" t="s">
        <v>76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8" t="s">
        <v>60</v>
      </c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</row>
    <row r="19" customFormat="false" ht="18" hidden="false" customHeight="true" outlineLevel="0" collapsed="false">
      <c r="B19" s="7" t="s">
        <v>103</v>
      </c>
      <c r="C19" s="8" t="s">
        <v>104</v>
      </c>
      <c r="D19" s="7" t="s">
        <v>105</v>
      </c>
      <c r="E19" s="7" t="s">
        <v>68</v>
      </c>
      <c r="F19" s="8" t="s">
        <v>25</v>
      </c>
      <c r="G19" s="7" t="n">
        <v>50</v>
      </c>
      <c r="H19" s="7" t="n">
        <v>2</v>
      </c>
      <c r="I19" s="7" t="s">
        <v>58</v>
      </c>
      <c r="J19" s="7" t="s">
        <v>76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8" t="s">
        <v>60</v>
      </c>
      <c r="BI19" s="18" t="s">
        <v>60</v>
      </c>
      <c r="BJ19" s="16"/>
    </row>
    <row r="20" customFormat="false" ht="18" hidden="false" customHeight="true" outlineLevel="0" collapsed="false">
      <c r="B20" s="22"/>
      <c r="C20" s="22"/>
      <c r="D20" s="22"/>
      <c r="E20" s="22"/>
      <c r="F20" s="22"/>
      <c r="G20" s="22"/>
      <c r="H20" s="22"/>
      <c r="I20" s="22"/>
      <c r="J20" s="22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</row>
    <row r="21" customFormat="false" ht="18" hidden="false" customHeight="true" outlineLevel="0" collapsed="false">
      <c r="B21" s="22"/>
      <c r="C21" s="22"/>
      <c r="D21" s="22"/>
      <c r="E21" s="22"/>
      <c r="F21" s="22"/>
      <c r="G21" s="22"/>
      <c r="H21" s="22"/>
      <c r="I21" s="22"/>
      <c r="J21" s="22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</row>
    <row r="22" customFormat="false" ht="18" hidden="false" customHeight="true" outlineLevel="0" collapsed="false">
      <c r="B22" s="22"/>
      <c r="C22" s="22"/>
      <c r="D22" s="22"/>
      <c r="E22" s="22"/>
      <c r="F22" s="22"/>
      <c r="G22" s="22"/>
      <c r="H22" s="22"/>
      <c r="I22" s="22"/>
      <c r="J22" s="22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</row>
    <row r="23" customFormat="false" ht="18" hidden="false" customHeight="true" outlineLevel="0" collapsed="false">
      <c r="B23" s="22"/>
      <c r="C23" s="22"/>
      <c r="D23" s="22"/>
      <c r="E23" s="22"/>
      <c r="F23" s="22"/>
      <c r="G23" s="22"/>
      <c r="H23" s="22"/>
      <c r="I23" s="22"/>
      <c r="J23" s="22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</row>
    <row r="24" customFormat="false" ht="18" hidden="false" customHeight="true" outlineLevel="0" collapsed="false">
      <c r="B24" s="22"/>
      <c r="C24" s="22"/>
      <c r="D24" s="22"/>
      <c r="E24" s="22"/>
      <c r="F24" s="22"/>
      <c r="G24" s="22"/>
      <c r="H24" s="22"/>
      <c r="I24" s="22"/>
      <c r="J24" s="22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</row>
    <row r="25" customFormat="false" ht="18" hidden="false" customHeight="true" outlineLevel="0" collapsed="false">
      <c r="B25" s="22"/>
      <c r="C25" s="22"/>
      <c r="D25" s="22"/>
      <c r="E25" s="22"/>
      <c r="F25" s="22"/>
      <c r="G25" s="22"/>
      <c r="H25" s="22"/>
      <c r="I25" s="22"/>
      <c r="J25" s="22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</row>
    <row r="26" customFormat="false" ht="18" hidden="false" customHeight="true" outlineLevel="0" collapsed="false">
      <c r="B26" s="22"/>
      <c r="C26" s="22"/>
      <c r="D26" s="22"/>
      <c r="E26" s="22"/>
      <c r="F26" s="22"/>
      <c r="G26" s="22"/>
      <c r="H26" s="22"/>
      <c r="I26" s="22"/>
      <c r="J26" s="22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</row>
    <row r="27" customFormat="false" ht="18" hidden="false" customHeight="true" outlineLevel="0" collapsed="false">
      <c r="B27" s="22"/>
      <c r="C27" s="22"/>
      <c r="D27" s="22"/>
      <c r="E27" s="22"/>
      <c r="F27" s="22"/>
      <c r="G27" s="22"/>
      <c r="H27" s="22"/>
      <c r="I27" s="22"/>
      <c r="J27" s="22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</row>
    <row r="28" customFormat="false" ht="18" hidden="false" customHeight="true" outlineLevel="0" collapsed="false">
      <c r="B28" s="22"/>
      <c r="C28" s="22"/>
      <c r="D28" s="22"/>
      <c r="E28" s="22"/>
      <c r="F28" s="22"/>
      <c r="G28" s="22"/>
      <c r="H28" s="22"/>
      <c r="I28" s="22"/>
      <c r="J28" s="22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</row>
    <row r="29" customFormat="false" ht="18" hidden="false" customHeight="true" outlineLevel="0" collapsed="false">
      <c r="B29" s="22"/>
      <c r="C29" s="22"/>
      <c r="D29" s="22"/>
      <c r="E29" s="22"/>
      <c r="F29" s="22"/>
      <c r="G29" s="22"/>
      <c r="H29" s="22"/>
      <c r="I29" s="22"/>
      <c r="J29" s="22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</row>
    <row r="30" customFormat="false" ht="18" hidden="false" customHeight="true" outlineLevel="0" collapsed="false">
      <c r="B30" s="22"/>
      <c r="C30" s="22"/>
      <c r="D30" s="22"/>
      <c r="E30" s="22"/>
      <c r="F30" s="22"/>
      <c r="G30" s="22"/>
      <c r="H30" s="22"/>
      <c r="I30" s="22"/>
      <c r="J30" s="22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</row>
    <row r="31" customFormat="false" ht="18" hidden="false" customHeight="true" outlineLevel="0" collapsed="false">
      <c r="B31" s="22"/>
      <c r="C31" s="22"/>
      <c r="D31" s="22"/>
      <c r="E31" s="22"/>
      <c r="F31" s="22"/>
      <c r="G31" s="22"/>
      <c r="H31" s="22"/>
      <c r="I31" s="22"/>
      <c r="J31" s="22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</row>
    <row r="32" customFormat="false" ht="18" hidden="false" customHeight="true" outlineLevel="0" collapsed="false">
      <c r="B32" s="22"/>
      <c r="C32" s="22"/>
      <c r="D32" s="22"/>
      <c r="E32" s="22"/>
      <c r="F32" s="22"/>
      <c r="G32" s="22"/>
      <c r="H32" s="22"/>
      <c r="I32" s="22"/>
      <c r="J32" s="22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</row>
    <row r="33" customFormat="false" ht="18" hidden="false" customHeight="true" outlineLevel="0" collapsed="false">
      <c r="B33" s="22"/>
      <c r="C33" s="22"/>
      <c r="D33" s="22"/>
      <c r="E33" s="22"/>
      <c r="F33" s="22"/>
      <c r="G33" s="22"/>
      <c r="H33" s="22"/>
      <c r="I33" s="22"/>
      <c r="J33" s="22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</row>
    <row r="34" customFormat="false" ht="18" hidden="false" customHeight="true" outlineLevel="0" collapsed="false">
      <c r="B34" s="22"/>
      <c r="C34" s="22"/>
      <c r="D34" s="22"/>
      <c r="E34" s="22"/>
      <c r="F34" s="22"/>
      <c r="G34" s="22"/>
      <c r="H34" s="22"/>
      <c r="I34" s="22"/>
      <c r="J34" s="22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</row>
    <row r="35" customFormat="false" ht="18" hidden="false" customHeight="true" outlineLevel="0" collapsed="false">
      <c r="B35" s="22"/>
      <c r="C35" s="22"/>
      <c r="D35" s="22"/>
      <c r="E35" s="22"/>
      <c r="F35" s="22"/>
      <c r="G35" s="22"/>
      <c r="H35" s="22"/>
      <c r="I35" s="22"/>
      <c r="J35" s="22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</row>
    <row r="36" customFormat="false" ht="18" hidden="false" customHeight="true" outlineLevel="0" collapsed="false">
      <c r="B36" s="22"/>
      <c r="C36" s="22"/>
      <c r="D36" s="22"/>
      <c r="E36" s="22"/>
      <c r="F36" s="22"/>
      <c r="G36" s="22"/>
      <c r="H36" s="22"/>
      <c r="I36" s="22"/>
      <c r="J36" s="22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</row>
    <row r="37" customFormat="false" ht="18" hidden="false" customHeight="true" outlineLevel="0" collapsed="false">
      <c r="B37" s="22"/>
      <c r="C37" s="22"/>
      <c r="D37" s="22"/>
      <c r="E37" s="22"/>
      <c r="F37" s="22"/>
      <c r="G37" s="22"/>
      <c r="H37" s="22"/>
      <c r="I37" s="22"/>
      <c r="J37" s="22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</row>
    <row r="38" customFormat="false" ht="18" hidden="false" customHeight="true" outlineLevel="0" collapsed="false">
      <c r="B38" s="22"/>
      <c r="C38" s="22"/>
      <c r="D38" s="22"/>
      <c r="E38" s="22"/>
      <c r="F38" s="22"/>
      <c r="G38" s="22"/>
      <c r="H38" s="22"/>
      <c r="I38" s="22"/>
      <c r="J38" s="22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</row>
    <row r="39" customFormat="false" ht="18" hidden="false" customHeight="true" outlineLevel="0" collapsed="false">
      <c r="B39" s="22"/>
      <c r="C39" s="22"/>
      <c r="D39" s="22"/>
      <c r="E39" s="22"/>
      <c r="F39" s="22"/>
      <c r="G39" s="22"/>
      <c r="H39" s="22"/>
      <c r="I39" s="22"/>
      <c r="J39" s="22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</row>
    <row r="40" customFormat="false" ht="18" hidden="false" customHeight="true" outlineLevel="0" collapsed="false">
      <c r="B40" s="22"/>
      <c r="C40" s="22"/>
      <c r="D40" s="22"/>
      <c r="E40" s="22"/>
      <c r="F40" s="22"/>
      <c r="G40" s="22"/>
      <c r="H40" s="22"/>
      <c r="I40" s="22"/>
      <c r="J40" s="22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</row>
    <row r="41" customFormat="false" ht="18" hidden="false" customHeight="true" outlineLevel="0" collapsed="false">
      <c r="B41" s="22"/>
      <c r="C41" s="22"/>
      <c r="D41" s="22"/>
      <c r="E41" s="22"/>
      <c r="F41" s="22"/>
      <c r="G41" s="22"/>
      <c r="H41" s="22"/>
      <c r="I41" s="22"/>
      <c r="J41" s="22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</row>
    <row r="42" customFormat="false" ht="18" hidden="false" customHeight="true" outlineLevel="0" collapsed="false">
      <c r="B42" s="22"/>
      <c r="C42" s="22"/>
      <c r="D42" s="22"/>
      <c r="E42" s="22"/>
      <c r="F42" s="22"/>
      <c r="G42" s="22"/>
      <c r="H42" s="22"/>
      <c r="I42" s="22"/>
      <c r="J42" s="22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</row>
    <row r="43" customFormat="false" ht="18" hidden="false" customHeight="true" outlineLevel="0" collapsed="false">
      <c r="B43" s="22"/>
      <c r="C43" s="22"/>
      <c r="D43" s="22"/>
      <c r="E43" s="22"/>
      <c r="F43" s="22"/>
      <c r="G43" s="22"/>
      <c r="H43" s="22"/>
      <c r="I43" s="22"/>
      <c r="J43" s="22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</row>
    <row r="44" customFormat="false" ht="18" hidden="false" customHeight="true" outlineLevel="0" collapsed="false">
      <c r="B44" s="22"/>
      <c r="C44" s="22"/>
      <c r="D44" s="22"/>
      <c r="E44" s="22"/>
      <c r="F44" s="22"/>
      <c r="G44" s="22"/>
      <c r="H44" s="22"/>
      <c r="I44" s="22"/>
      <c r="J44" s="22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</row>
    <row r="45" customFormat="false" ht="18" hidden="false" customHeight="true" outlineLevel="0" collapsed="false">
      <c r="B45" s="22"/>
      <c r="C45" s="22"/>
      <c r="D45" s="22"/>
      <c r="E45" s="22"/>
      <c r="F45" s="22"/>
      <c r="G45" s="22"/>
      <c r="H45" s="22"/>
      <c r="I45" s="22"/>
      <c r="J45" s="22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</row>
    <row r="46" customFormat="false" ht="18" hidden="false" customHeight="true" outlineLevel="0" collapsed="false">
      <c r="B46" s="22"/>
      <c r="C46" s="22"/>
      <c r="D46" s="22"/>
      <c r="E46" s="22"/>
      <c r="F46" s="22"/>
      <c r="G46" s="22"/>
      <c r="H46" s="22"/>
      <c r="I46" s="22"/>
      <c r="J46" s="22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</row>
    <row r="47" customFormat="false" ht="18" hidden="false" customHeight="true" outlineLevel="0" collapsed="false">
      <c r="B47" s="22"/>
      <c r="C47" s="22"/>
      <c r="D47" s="22"/>
      <c r="E47" s="22"/>
      <c r="F47" s="22"/>
      <c r="G47" s="22"/>
      <c r="H47" s="22"/>
      <c r="I47" s="22"/>
      <c r="J47" s="22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</row>
    <row r="48" customFormat="false" ht="18" hidden="false" customHeight="true" outlineLevel="0" collapsed="false">
      <c r="B48" s="22"/>
      <c r="C48" s="22"/>
      <c r="D48" s="22"/>
      <c r="E48" s="22"/>
      <c r="F48" s="22"/>
      <c r="G48" s="22"/>
      <c r="H48" s="22"/>
      <c r="I48" s="22"/>
      <c r="J48" s="22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</row>
    <row r="49" customFormat="false" ht="18" hidden="false" customHeight="true" outlineLevel="0" collapsed="false">
      <c r="B49" s="22"/>
      <c r="C49" s="22"/>
      <c r="D49" s="22"/>
      <c r="E49" s="22"/>
      <c r="F49" s="22"/>
      <c r="G49" s="22"/>
      <c r="H49" s="22"/>
      <c r="I49" s="22"/>
      <c r="J49" s="22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</row>
    <row r="50" customFormat="false" ht="18" hidden="false" customHeight="true" outlineLevel="0" collapsed="false">
      <c r="B50" s="22"/>
      <c r="C50" s="22"/>
      <c r="D50" s="22"/>
      <c r="E50" s="22"/>
      <c r="F50" s="22"/>
      <c r="G50" s="22"/>
      <c r="H50" s="22"/>
      <c r="I50" s="22"/>
      <c r="J50" s="22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</row>
    <row r="51" customFormat="false" ht="18" hidden="false" customHeight="true" outlineLevel="0" collapsed="false">
      <c r="B51" s="22"/>
      <c r="C51" s="22"/>
      <c r="D51" s="22"/>
      <c r="E51" s="22"/>
      <c r="F51" s="22"/>
      <c r="G51" s="22"/>
      <c r="H51" s="22"/>
      <c r="I51" s="22"/>
      <c r="J51" s="22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</row>
    <row r="52" customFormat="false" ht="18" hidden="false" customHeight="true" outlineLevel="0" collapsed="false">
      <c r="B52" s="22"/>
      <c r="C52" s="22"/>
      <c r="D52" s="22"/>
      <c r="E52" s="22"/>
      <c r="F52" s="22"/>
      <c r="G52" s="22"/>
      <c r="H52" s="22"/>
      <c r="I52" s="22"/>
      <c r="J52" s="22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</row>
    <row r="53" customFormat="false" ht="18" hidden="false" customHeight="true" outlineLevel="0" collapsed="false">
      <c r="B53" s="22"/>
      <c r="C53" s="22"/>
      <c r="D53" s="22"/>
      <c r="E53" s="22"/>
      <c r="F53" s="22"/>
      <c r="G53" s="22"/>
      <c r="H53" s="22"/>
      <c r="I53" s="22"/>
      <c r="J53" s="22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</row>
    <row r="54" customFormat="false" ht="18" hidden="false" customHeight="true" outlineLevel="0" collapsed="false">
      <c r="B54" s="22"/>
      <c r="C54" s="22"/>
      <c r="D54" s="22"/>
      <c r="E54" s="22"/>
      <c r="F54" s="22"/>
      <c r="G54" s="22"/>
      <c r="H54" s="22"/>
      <c r="I54" s="22"/>
      <c r="J54" s="22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</row>
    <row r="56" customFormat="false" ht="9.75" hidden="false" customHeight="true" outlineLevel="0" collapsed="false"/>
    <row r="57" customFormat="false" ht="18" hidden="false" customHeight="true" outlineLevel="0" collapsed="false">
      <c r="B57" s="23" t="s">
        <v>106</v>
      </c>
      <c r="C57" s="24" t="s">
        <v>107</v>
      </c>
      <c r="D57" s="25" t="s">
        <v>108</v>
      </c>
      <c r="E57" s="26" t="s">
        <v>109</v>
      </c>
      <c r="F57" s="27" t="s">
        <v>110</v>
      </c>
      <c r="G57" s="28" t="s">
        <v>111</v>
      </c>
      <c r="H57" s="29" t="s">
        <v>112</v>
      </c>
      <c r="I57" s="30" t="s">
        <v>113</v>
      </c>
    </row>
  </sheetData>
  <mergeCells count="13">
    <mergeCell ref="B2:BJ2"/>
    <mergeCell ref="K3:N3"/>
    <mergeCell ref="O3:R3"/>
    <mergeCell ref="S3:W3"/>
    <mergeCell ref="X3:AA3"/>
    <mergeCell ref="AB3:AE3"/>
    <mergeCell ref="AF3:AI3"/>
    <mergeCell ref="AJ3:AN3"/>
    <mergeCell ref="AO3:AR3"/>
    <mergeCell ref="AS3:AV3"/>
    <mergeCell ref="AW3:BA3"/>
    <mergeCell ref="BB3:BE3"/>
    <mergeCell ref="BF3:BJ3"/>
  </mergeCells>
  <dataValidations count="3">
    <dataValidation allowBlank="true" errorStyle="stop" operator="between" showDropDown="false" showErrorMessage="false" showInputMessage="false" sqref="E5:E104" type="list">
      <formula1>"PM,PdM,CBM,Overhaul,Inspection,Lubrication,Calibration"</formula1>
      <formula2>0</formula2>
    </dataValidation>
    <dataValidation allowBlank="true" errorStyle="stop" operator="between" showDropDown="false" showErrorMessage="false" showInputMessage="false" sqref="I5:I104" type="list">
      <formula1>"Planned,In Progress,Complete,Overdue,Cancelled"</formula1>
      <formula2>0</formula2>
    </dataValidation>
    <dataValidation allowBlank="true" errorStyle="stop" operator="between" showDropDown="false" showErrorMessage="false" showInputMessage="false" sqref="J5:J104" type="list">
      <formula1>"Critical,High,Medium,Low"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18D"/>
    <pageSetUpPr fitToPage="false"/>
  </sheetPr>
  <dimension ref="A1:N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8" min="6" style="0" width="12"/>
    <col collapsed="false" customWidth="true" hidden="false" outlineLevel="0" max="10" min="9" style="0" width="13"/>
    <col collapsed="false" customWidth="true" hidden="false" outlineLevel="0" max="12" min="11" style="0" width="14"/>
    <col collapsed="false" customWidth="true" hidden="false" outlineLevel="0" max="13" min="13" style="0" width="18"/>
    <col collapsed="false" customWidth="true" hidden="false" outlineLevel="0" max="14" min="14" style="0" width="1"/>
  </cols>
  <sheetData>
    <row r="1" customFormat="false" ht="7.5" hidden="false" customHeight="true" outlineLevel="0" collapsed="false"/>
    <row r="2" customFormat="false" ht="36" hidden="false" customHeight="true" outlineLevel="0" collapsed="false">
      <c r="A2" s="10"/>
      <c r="B2" s="1" t="s">
        <v>114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0"/>
    </row>
    <row r="3" customFormat="false" ht="18" hidden="false" customHeight="true" outlineLevel="0" collapsed="false">
      <c r="B3" s="31" t="s">
        <v>115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</row>
    <row r="4" customFormat="false" ht="27.75" hidden="false" customHeight="true" outlineLevel="0" collapsed="false">
      <c r="B4" s="32" t="s">
        <v>116</v>
      </c>
      <c r="C4" s="32" t="s">
        <v>45</v>
      </c>
      <c r="D4" s="32" t="s">
        <v>46</v>
      </c>
      <c r="E4" s="32" t="s">
        <v>47</v>
      </c>
      <c r="F4" s="32" t="s">
        <v>53</v>
      </c>
      <c r="G4" s="32" t="s">
        <v>52</v>
      </c>
      <c r="H4" s="32" t="s">
        <v>117</v>
      </c>
      <c r="I4" s="32" t="s">
        <v>118</v>
      </c>
      <c r="J4" s="32" t="s">
        <v>119</v>
      </c>
      <c r="K4" s="32" t="s">
        <v>120</v>
      </c>
      <c r="L4" s="32" t="s">
        <v>121</v>
      </c>
      <c r="M4" s="32" t="s">
        <v>122</v>
      </c>
    </row>
    <row r="5" customFormat="false" ht="18" hidden="false" customHeight="true" outlineLevel="0" collapsed="false">
      <c r="B5" s="7" t="s">
        <v>123</v>
      </c>
      <c r="C5" s="7" t="s">
        <v>54</v>
      </c>
      <c r="D5" s="8" t="s">
        <v>55</v>
      </c>
      <c r="E5" s="7" t="s">
        <v>56</v>
      </c>
      <c r="F5" s="7" t="s">
        <v>59</v>
      </c>
      <c r="G5" s="33" t="s">
        <v>58</v>
      </c>
      <c r="H5" s="8" t="s">
        <v>25</v>
      </c>
      <c r="I5" s="34"/>
      <c r="J5" s="34"/>
      <c r="K5" s="7" t="n">
        <v>8</v>
      </c>
      <c r="L5" s="35" t="n">
        <v>0</v>
      </c>
      <c r="M5" s="35" t="n">
        <v>3500</v>
      </c>
    </row>
    <row r="6" customFormat="false" ht="18" hidden="false" customHeight="true" outlineLevel="0" collapsed="false">
      <c r="B6" s="7" t="s">
        <v>124</v>
      </c>
      <c r="C6" s="7" t="s">
        <v>61</v>
      </c>
      <c r="D6" s="8" t="s">
        <v>125</v>
      </c>
      <c r="E6" s="7" t="s">
        <v>63</v>
      </c>
      <c r="F6" s="7" t="s">
        <v>64</v>
      </c>
      <c r="G6" s="33" t="s">
        <v>58</v>
      </c>
      <c r="H6" s="8" t="s">
        <v>26</v>
      </c>
      <c r="I6" s="34"/>
      <c r="J6" s="34"/>
      <c r="K6" s="7" t="n">
        <v>4</v>
      </c>
      <c r="L6" s="35" t="n">
        <v>0</v>
      </c>
      <c r="M6" s="35" t="n">
        <v>800</v>
      </c>
    </row>
    <row r="7" customFormat="false" ht="18" hidden="false" customHeight="true" outlineLevel="0" collapsed="false">
      <c r="B7" s="7" t="s">
        <v>126</v>
      </c>
      <c r="C7" s="7" t="s">
        <v>65</v>
      </c>
      <c r="D7" s="8" t="s">
        <v>127</v>
      </c>
      <c r="E7" s="7" t="s">
        <v>67</v>
      </c>
      <c r="F7" s="7" t="s">
        <v>59</v>
      </c>
      <c r="G7" s="33" t="s">
        <v>58</v>
      </c>
      <c r="H7" s="8" t="s">
        <v>27</v>
      </c>
      <c r="I7" s="34"/>
      <c r="J7" s="34"/>
      <c r="K7" s="7" t="n">
        <v>6</v>
      </c>
      <c r="L7" s="35" t="n">
        <v>0</v>
      </c>
      <c r="M7" s="35" t="n">
        <v>1200</v>
      </c>
    </row>
    <row r="8" customFormat="false" ht="18" hidden="false" customHeight="true" outlineLevel="0" collapsed="false">
      <c r="B8" s="7" t="s">
        <v>128</v>
      </c>
      <c r="C8" s="7" t="s">
        <v>69</v>
      </c>
      <c r="D8" s="8" t="s">
        <v>129</v>
      </c>
      <c r="E8" s="7" t="s">
        <v>71</v>
      </c>
      <c r="F8" s="7" t="s">
        <v>59</v>
      </c>
      <c r="G8" s="33" t="s">
        <v>58</v>
      </c>
      <c r="H8" s="8" t="s">
        <v>28</v>
      </c>
      <c r="I8" s="34"/>
      <c r="J8" s="34"/>
      <c r="K8" s="7" t="n">
        <v>3</v>
      </c>
      <c r="L8" s="35" t="n">
        <v>0</v>
      </c>
      <c r="M8" s="35" t="n">
        <v>500</v>
      </c>
    </row>
    <row r="9" customFormat="false" ht="18" hidden="false" customHeight="true" outlineLevel="0" collapsed="false">
      <c r="B9" s="7" t="s">
        <v>130</v>
      </c>
      <c r="C9" s="7" t="s">
        <v>73</v>
      </c>
      <c r="D9" s="8" t="s">
        <v>74</v>
      </c>
      <c r="E9" s="7" t="s">
        <v>71</v>
      </c>
      <c r="F9" s="7" t="s">
        <v>76</v>
      </c>
      <c r="G9" s="33" t="s">
        <v>58</v>
      </c>
      <c r="H9" s="8" t="s">
        <v>25</v>
      </c>
      <c r="I9" s="34"/>
      <c r="J9" s="34"/>
      <c r="K9" s="7" t="n">
        <v>80</v>
      </c>
      <c r="L9" s="35" t="n">
        <v>0</v>
      </c>
      <c r="M9" s="35" t="n">
        <v>45000</v>
      </c>
    </row>
    <row r="10" customFormat="false" ht="18" hidden="false" customHeight="true" outlineLevel="0" collapsed="false">
      <c r="B10" s="7" t="s">
        <v>131</v>
      </c>
      <c r="C10" s="7" t="s">
        <v>77</v>
      </c>
      <c r="D10" s="8" t="s">
        <v>78</v>
      </c>
      <c r="E10" s="7" t="s">
        <v>56</v>
      </c>
      <c r="F10" s="7" t="s">
        <v>80</v>
      </c>
      <c r="G10" s="33" t="s">
        <v>58</v>
      </c>
      <c r="H10" s="8" t="s">
        <v>29</v>
      </c>
      <c r="I10" s="34"/>
      <c r="J10" s="34"/>
      <c r="K10" s="7" t="n">
        <v>4</v>
      </c>
      <c r="L10" s="35" t="n">
        <v>0</v>
      </c>
      <c r="M10" s="35" t="n">
        <v>300</v>
      </c>
    </row>
    <row r="11" customFormat="false" ht="18" hidden="false" customHeight="true" outlineLevel="0" collapsed="false">
      <c r="B11" s="7" t="s">
        <v>132</v>
      </c>
      <c r="C11" s="7" t="s">
        <v>81</v>
      </c>
      <c r="D11" s="8" t="s">
        <v>82</v>
      </c>
      <c r="E11" s="7" t="s">
        <v>83</v>
      </c>
      <c r="F11" s="7" t="s">
        <v>76</v>
      </c>
      <c r="G11" s="33" t="s">
        <v>58</v>
      </c>
      <c r="H11" s="8" t="s">
        <v>30</v>
      </c>
      <c r="I11" s="34"/>
      <c r="J11" s="34"/>
      <c r="K11" s="7" t="n">
        <v>60</v>
      </c>
      <c r="L11" s="35" t="n">
        <v>0</v>
      </c>
      <c r="M11" s="35" t="n">
        <v>38000</v>
      </c>
    </row>
    <row r="12" customFormat="false" ht="18" hidden="false" customHeight="true" outlineLevel="0" collapsed="false">
      <c r="B12" s="7" t="s">
        <v>133</v>
      </c>
      <c r="C12" s="7" t="s">
        <v>84</v>
      </c>
      <c r="D12" s="8" t="s">
        <v>85</v>
      </c>
      <c r="E12" s="7" t="s">
        <v>86</v>
      </c>
      <c r="F12" s="7" t="s">
        <v>64</v>
      </c>
      <c r="G12" s="33" t="s">
        <v>58</v>
      </c>
      <c r="H12" s="8" t="s">
        <v>27</v>
      </c>
      <c r="I12" s="34"/>
      <c r="J12" s="34"/>
      <c r="K12" s="7" t="n">
        <v>8</v>
      </c>
      <c r="L12" s="35" t="n">
        <v>0</v>
      </c>
      <c r="M12" s="35" t="n">
        <v>2200</v>
      </c>
    </row>
    <row r="13" customFormat="false" ht="18" hidden="false" customHeight="true" outlineLevel="0" collapsed="false">
      <c r="B13" s="7" t="s">
        <v>134</v>
      </c>
      <c r="C13" s="7" t="s">
        <v>87</v>
      </c>
      <c r="D13" s="8" t="s">
        <v>88</v>
      </c>
      <c r="E13" s="7" t="s">
        <v>89</v>
      </c>
      <c r="F13" s="7" t="s">
        <v>59</v>
      </c>
      <c r="G13" s="33" t="s">
        <v>58</v>
      </c>
      <c r="H13" s="8" t="s">
        <v>26</v>
      </c>
      <c r="I13" s="34"/>
      <c r="J13" s="34"/>
      <c r="K13" s="7" t="n">
        <v>16</v>
      </c>
      <c r="L13" s="35" t="n">
        <v>0</v>
      </c>
      <c r="M13" s="35" t="n">
        <v>9500</v>
      </c>
    </row>
    <row r="14" customFormat="false" ht="18" hidden="false" customHeight="true" outlineLevel="0" collapsed="false">
      <c r="B14" s="7" t="s">
        <v>135</v>
      </c>
      <c r="C14" s="7" t="s">
        <v>90</v>
      </c>
      <c r="D14" s="8" t="s">
        <v>91</v>
      </c>
      <c r="E14" s="7" t="s">
        <v>92</v>
      </c>
      <c r="F14" s="7" t="s">
        <v>64</v>
      </c>
      <c r="G14" s="33" t="s">
        <v>58</v>
      </c>
      <c r="H14" s="8" t="s">
        <v>28</v>
      </c>
      <c r="I14" s="34"/>
      <c r="J14" s="34"/>
      <c r="K14" s="7" t="n">
        <v>6</v>
      </c>
      <c r="L14" s="35" t="n">
        <v>0</v>
      </c>
      <c r="M14" s="35" t="n">
        <v>1800</v>
      </c>
    </row>
    <row r="15" customFormat="false" ht="18" hidden="false" customHeight="true" outlineLevel="0" collapsed="false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customFormat="false" ht="18" hidden="false" customHeight="true" outlineLevel="0" collapsed="false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customFormat="false" ht="18" hidden="false" customHeight="true" outlineLevel="0" collapsed="false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customFormat="false" ht="18" hidden="false" customHeight="true" outlineLevel="0" collapsed="false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customFormat="false" ht="18" hidden="false" customHeight="true" outlineLevel="0" collapsed="false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customFormat="false" ht="18" hidden="false" customHeight="true" outlineLevel="0" collapsed="false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customFormat="false" ht="18" hidden="false" customHeight="true" outlineLevel="0" collapsed="false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customFormat="false" ht="18" hidden="false" customHeight="true" outlineLevel="0" collapsed="false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customFormat="false" ht="18" hidden="false" customHeight="true" outlineLevel="0" collapsed="false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 customFormat="false" ht="18" hidden="false" customHeight="true" outlineLevel="0" collapsed="false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 customFormat="false" ht="18" hidden="false" customHeight="true" outlineLevel="0" collapsed="false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customFormat="false" ht="18" hidden="false" customHeight="true" outlineLevel="0" collapsed="false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customFormat="false" ht="18" hidden="false" customHeight="true" outlineLevel="0" collapsed="false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customFormat="false" ht="18" hidden="false" customHeight="true" outlineLevel="0" collapsed="false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customFormat="false" ht="18" hidden="false" customHeight="true" outlineLevel="0" collapsed="false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customFormat="false" ht="18" hidden="false" customHeight="true" outlineLevel="0" collapsed="false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customFormat="false" ht="18" hidden="false" customHeight="true" outlineLevel="0" collapsed="false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 customFormat="false" ht="18" hidden="false" customHeight="true" outlineLevel="0" collapsed="false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customFormat="false" ht="18" hidden="false" customHeight="true" outlineLevel="0" collapsed="false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customFormat="false" ht="18" hidden="false" customHeight="true" outlineLevel="0" collapsed="false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customFormat="false" ht="18" hidden="false" customHeight="true" outlineLevel="0" collapsed="false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customFormat="false" ht="18" hidden="false" customHeight="true" outlineLevel="0" collapsed="false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customFormat="false" ht="18" hidden="false" customHeight="true" outlineLevel="0" collapsed="false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customFormat="false" ht="18" hidden="false" customHeight="true" outlineLevel="0" collapsed="false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customFormat="false" ht="18" hidden="false" customHeight="true" outlineLevel="0" collapsed="false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customFormat="false" ht="18" hidden="false" customHeight="true" outlineLevel="0" collapsed="false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customFormat="false" ht="18" hidden="false" customHeight="true" outlineLevel="0" collapsed="false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customFormat="false" ht="18" hidden="false" customHeight="true" outlineLevel="0" collapsed="false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customFormat="false" ht="18" hidden="false" customHeight="true" outlineLevel="0" collapsed="false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customFormat="false" ht="18" hidden="false" customHeight="true" outlineLevel="0" collapsed="false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customFormat="false" ht="18" hidden="false" customHeight="true" outlineLevel="0" collapsed="false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</row>
    <row r="46" customFormat="false" ht="18" hidden="false" customHeight="true" outlineLevel="0" collapsed="false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customFormat="false" ht="18" hidden="false" customHeight="true" outlineLevel="0" collapsed="false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</row>
    <row r="48" customFormat="false" ht="18" hidden="false" customHeight="true" outlineLevel="0" collapsed="false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</row>
    <row r="49" customFormat="false" ht="18" hidden="false" customHeight="true" outlineLevel="0" collapsed="false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customFormat="false" ht="18" hidden="false" customHeight="true" outlineLevel="0" collapsed="false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</row>
    <row r="51" customFormat="false" ht="18" hidden="false" customHeight="true" outlineLevel="0" collapsed="false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</row>
    <row r="52" customFormat="false" ht="18" hidden="false" customHeight="true" outlineLevel="0" collapsed="false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</row>
    <row r="53" customFormat="false" ht="18" hidden="false" customHeight="true" outlineLevel="0" collapsed="false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</row>
    <row r="54" customFormat="false" ht="18" hidden="false" customHeight="true" outlineLevel="0" collapsed="false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</row>
    <row r="55" customFormat="false" ht="18" hidden="false" customHeight="true" outlineLevel="0" collapsed="false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</row>
    <row r="56" customFormat="false" ht="18" hidden="false" customHeight="true" outlineLevel="0" collapsed="false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</row>
    <row r="57" customFormat="false" ht="18" hidden="false" customHeight="true" outlineLevel="0" collapsed="false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</row>
    <row r="58" customFormat="false" ht="18" hidden="false" customHeight="true" outlineLevel="0" collapsed="false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</row>
    <row r="59" customFormat="false" ht="18" hidden="false" customHeight="true" outlineLevel="0" collapsed="false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</row>
    <row r="60" customFormat="false" ht="18" hidden="false" customHeight="true" outlineLevel="0" collapsed="false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 customFormat="false" ht="18" hidden="false" customHeight="true" outlineLevel="0" collapsed="false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 customFormat="false" ht="18" hidden="false" customHeight="true" outlineLevel="0" collapsed="false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 customFormat="false" ht="18" hidden="false" customHeight="true" outlineLevel="0" collapsed="false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</row>
    <row r="64" customFormat="false" ht="18" hidden="false" customHeight="true" outlineLevel="0" collapsed="false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</row>
    <row r="65" customFormat="false" ht="18" hidden="false" customHeight="true" outlineLevel="0" collapsed="false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</row>
    <row r="66" customFormat="false" ht="18" hidden="false" customHeight="true" outlineLevel="0" collapsed="false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</row>
    <row r="67" customFormat="false" ht="18" hidden="false" customHeight="true" outlineLevel="0" collapsed="false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</row>
    <row r="68" customFormat="false" ht="18" hidden="false" customHeight="true" outlineLevel="0" collapsed="false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</row>
    <row r="69" customFormat="false" ht="18" hidden="false" customHeight="true" outlineLevel="0" collapsed="false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</row>
    <row r="70" customFormat="false" ht="18" hidden="false" customHeight="true" outlineLevel="0" collapsed="false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</row>
    <row r="71" customFormat="false" ht="18" hidden="false" customHeight="true" outlineLevel="0" collapsed="false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</row>
    <row r="72" customFormat="false" ht="18" hidden="false" customHeight="true" outlineLevel="0" collapsed="false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</row>
    <row r="73" customFormat="false" ht="18" hidden="false" customHeight="true" outlineLevel="0" collapsed="false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</row>
    <row r="74" customFormat="false" ht="18" hidden="false" customHeight="true" outlineLevel="0" collapsed="false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</row>
    <row r="75" customFormat="false" ht="18" hidden="false" customHeight="true" outlineLevel="0" collapsed="false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</row>
    <row r="76" customFormat="false" ht="18" hidden="false" customHeight="true" outlineLevel="0" collapsed="false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</row>
    <row r="77" customFormat="false" ht="18" hidden="false" customHeight="true" outlineLevel="0" collapsed="false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</row>
    <row r="78" customFormat="false" ht="18" hidden="false" customHeight="true" outlineLevel="0" collapsed="false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</row>
    <row r="79" customFormat="false" ht="18" hidden="false" customHeight="true" outlineLevel="0" collapsed="false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 customFormat="false" ht="18" hidden="false" customHeight="true" outlineLevel="0" collapsed="false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 customFormat="false" ht="18" hidden="false" customHeight="true" outlineLevel="0" collapsed="false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 customFormat="false" ht="18" hidden="false" customHeight="true" outlineLevel="0" collapsed="false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</row>
    <row r="83" customFormat="false" ht="18" hidden="false" customHeight="true" outlineLevel="0" collapsed="false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</row>
    <row r="84" customFormat="false" ht="18" hidden="false" customHeight="true" outlineLevel="0" collapsed="false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</row>
    <row r="85" customFormat="false" ht="18" hidden="false" customHeight="true" outlineLevel="0" collapsed="false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</row>
    <row r="86" customFormat="false" ht="18" hidden="false" customHeight="true" outlineLevel="0" collapsed="false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</row>
    <row r="87" customFormat="false" ht="18" hidden="false" customHeight="true" outlineLevel="0" collapsed="false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</row>
    <row r="88" customFormat="false" ht="18" hidden="false" customHeight="true" outlineLevel="0" collapsed="false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</row>
    <row r="89" customFormat="false" ht="18" hidden="false" customHeight="true" outlineLevel="0" collapsed="false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</row>
    <row r="90" customFormat="false" ht="18" hidden="false" customHeight="true" outlineLevel="0" collapsed="false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</row>
    <row r="91" customFormat="false" ht="18" hidden="false" customHeight="true" outlineLevel="0" collapsed="false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</row>
    <row r="92" customFormat="false" ht="18" hidden="false" customHeight="true" outlineLevel="0" collapsed="false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</row>
    <row r="93" customFormat="false" ht="18" hidden="false" customHeight="true" outlineLevel="0" collapsed="false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</row>
    <row r="94" customFormat="false" ht="18" hidden="false" customHeight="true" outlineLevel="0" collapsed="false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</row>
    <row r="95" customFormat="false" ht="18" hidden="false" customHeight="true" outlineLevel="0" collapsed="false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</row>
    <row r="96" customFormat="false" ht="18" hidden="false" customHeight="true" outlineLevel="0" collapsed="false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</row>
    <row r="97" customFormat="false" ht="18" hidden="false" customHeight="true" outlineLevel="0" collapsed="false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</row>
    <row r="98" customFormat="false" ht="18" hidden="false" customHeight="true" outlineLevel="0" collapsed="false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</row>
    <row r="99" customFormat="false" ht="18" hidden="false" customHeight="true" outlineLevel="0" collapsed="false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 customFormat="false" ht="18" hidden="false" customHeight="true" outlineLevel="0" collapsed="false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 customFormat="false" ht="18" hidden="false" customHeight="true" outlineLevel="0" collapsed="false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</row>
    <row r="102" customFormat="false" ht="18" hidden="false" customHeight="true" outlineLevel="0" collapsed="false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</row>
    <row r="103" customFormat="false" ht="18" hidden="false" customHeight="true" outlineLevel="0" collapsed="false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</row>
    <row r="104" customFormat="false" ht="18" hidden="false" customHeight="true" outlineLevel="0" collapsed="false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</row>
    <row r="105" customFormat="false" ht="21.75" hidden="false" customHeight="true" outlineLevel="0" collapsed="false">
      <c r="B105" s="36" t="s">
        <v>136</v>
      </c>
      <c r="C105" s="36"/>
      <c r="D105" s="36"/>
      <c r="E105" s="36"/>
      <c r="F105" s="36"/>
      <c r="G105" s="36"/>
      <c r="H105" s="36"/>
      <c r="I105" s="36"/>
      <c r="J105" s="36"/>
      <c r="K105" s="37" t="n">
        <f aca="false">SUM(K5:K104)</f>
        <v>195</v>
      </c>
      <c r="L105" s="37" t="n">
        <f aca="false">SUM(L5:L104)</f>
        <v>0</v>
      </c>
      <c r="M105" s="37" t="n">
        <f aca="false">SUM(M5:M104)</f>
        <v>102800</v>
      </c>
    </row>
  </sheetData>
  <mergeCells count="3">
    <mergeCell ref="B2:M2"/>
    <mergeCell ref="B3:M3"/>
    <mergeCell ref="B105:J105"/>
  </mergeCells>
  <dataValidations count="2">
    <dataValidation allowBlank="true" errorStyle="stop" operator="between" showDropDown="false" showErrorMessage="false" showInputMessage="false" sqref="G5:G104" type="list">
      <formula1>"Planned,In Progress,Complete,Overdue,Cancelled"</formula1>
      <formula2>0</formula2>
    </dataValidation>
    <dataValidation allowBlank="true" errorStyle="stop" operator="between" showDropDown="false" showErrorMessage="false" showInputMessage="false" sqref="F5:F104" type="list">
      <formula1>"Critical,High,Medium,Low"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8449"/>
    <pageSetUpPr fitToPage="false"/>
  </sheetPr>
  <dimension ref="A2:P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14" min="3" style="0" width="9"/>
    <col collapsed="false" customWidth="true" hidden="false" outlineLevel="0" max="15" min="15" style="0" width="11"/>
    <col collapsed="false" customWidth="true" hidden="false" outlineLevel="0" max="16" min="16" style="0" width="3"/>
  </cols>
  <sheetData>
    <row r="2" customFormat="false" ht="36" hidden="false" customHeight="true" outlineLevel="0" collapsed="false">
      <c r="A2" s="10"/>
      <c r="B2" s="38" t="s">
        <v>137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3" customFormat="false" ht="7.5" hidden="false" customHeight="true" outlineLevel="0" collapsed="false"/>
    <row r="4" customFormat="false" ht="21.75" hidden="false" customHeight="true" outlineLevel="0" collapsed="false">
      <c r="B4" s="13" t="s">
        <v>138</v>
      </c>
      <c r="C4" s="13" t="s">
        <v>139</v>
      </c>
      <c r="D4" s="13" t="s">
        <v>140</v>
      </c>
      <c r="E4" s="13" t="s">
        <v>141</v>
      </c>
      <c r="F4" s="13" t="s">
        <v>142</v>
      </c>
      <c r="G4" s="13" t="s">
        <v>143</v>
      </c>
      <c r="H4" s="13" t="s">
        <v>144</v>
      </c>
      <c r="I4" s="13" t="s">
        <v>145</v>
      </c>
      <c r="J4" s="13" t="s">
        <v>146</v>
      </c>
      <c r="K4" s="13" t="s">
        <v>147</v>
      </c>
      <c r="L4" s="13" t="s">
        <v>148</v>
      </c>
      <c r="M4" s="13" t="s">
        <v>149</v>
      </c>
      <c r="N4" s="13" t="s">
        <v>150</v>
      </c>
      <c r="O4" s="13" t="s">
        <v>151</v>
      </c>
    </row>
    <row r="5" customFormat="false" ht="18" hidden="false" customHeight="true" outlineLevel="0" collapsed="false">
      <c r="B5" s="6" t="s">
        <v>25</v>
      </c>
      <c r="C5" s="39" t="n">
        <v>0</v>
      </c>
      <c r="D5" s="39" t="n">
        <v>0</v>
      </c>
      <c r="E5" s="39" t="n">
        <v>0</v>
      </c>
      <c r="F5" s="39" t="n">
        <v>0</v>
      </c>
      <c r="G5" s="39" t="n">
        <v>0</v>
      </c>
      <c r="H5" s="39" t="n">
        <v>0</v>
      </c>
      <c r="I5" s="39" t="n">
        <v>0</v>
      </c>
      <c r="J5" s="39" t="n">
        <v>0</v>
      </c>
      <c r="K5" s="39" t="n">
        <v>0</v>
      </c>
      <c r="L5" s="39" t="n">
        <v>0</v>
      </c>
      <c r="M5" s="39" t="n">
        <v>0</v>
      </c>
      <c r="N5" s="39" t="n">
        <v>0</v>
      </c>
      <c r="O5" s="40" t="n">
        <f aca="false">SUM(C5:N5)</f>
        <v>0</v>
      </c>
    </row>
    <row r="6" customFormat="false" ht="18" hidden="false" customHeight="true" outlineLevel="0" collapsed="false">
      <c r="B6" s="41" t="s">
        <v>152</v>
      </c>
      <c r="C6" s="42" t="n">
        <v>176</v>
      </c>
      <c r="D6" s="42" t="n">
        <v>176</v>
      </c>
      <c r="E6" s="42" t="n">
        <v>176</v>
      </c>
      <c r="F6" s="42" t="n">
        <v>176</v>
      </c>
      <c r="G6" s="42" t="n">
        <v>176</v>
      </c>
      <c r="H6" s="42" t="n">
        <v>176</v>
      </c>
      <c r="I6" s="42" t="n">
        <v>176</v>
      </c>
      <c r="J6" s="42" t="n">
        <v>176</v>
      </c>
      <c r="K6" s="42" t="n">
        <v>176</v>
      </c>
      <c r="L6" s="42" t="n">
        <v>176</v>
      </c>
      <c r="M6" s="42" t="n">
        <v>176</v>
      </c>
      <c r="N6" s="42" t="n">
        <v>176</v>
      </c>
      <c r="O6" s="43" t="n">
        <f aca="false">176*12</f>
        <v>2112</v>
      </c>
    </row>
    <row r="7" customFormat="false" ht="7.5" hidden="false" customHeight="true" outlineLevel="0" collapsed="false"/>
    <row r="8" customFormat="false" ht="18" hidden="false" customHeight="true" outlineLevel="0" collapsed="false">
      <c r="B8" s="44" t="s">
        <v>26</v>
      </c>
      <c r="C8" s="39" t="n">
        <v>0</v>
      </c>
      <c r="D8" s="39" t="n">
        <v>0</v>
      </c>
      <c r="E8" s="39" t="n">
        <v>0</v>
      </c>
      <c r="F8" s="39" t="n">
        <v>0</v>
      </c>
      <c r="G8" s="39" t="n">
        <v>0</v>
      </c>
      <c r="H8" s="39" t="n">
        <v>0</v>
      </c>
      <c r="I8" s="39" t="n">
        <v>0</v>
      </c>
      <c r="J8" s="39" t="n">
        <v>0</v>
      </c>
      <c r="K8" s="39" t="n">
        <v>0</v>
      </c>
      <c r="L8" s="39" t="n">
        <v>0</v>
      </c>
      <c r="M8" s="39" t="n">
        <v>0</v>
      </c>
      <c r="N8" s="39" t="n">
        <v>0</v>
      </c>
      <c r="O8" s="40" t="n">
        <f aca="false">SUM(C8:N8)</f>
        <v>0</v>
      </c>
    </row>
    <row r="9" customFormat="false" ht="18" hidden="false" customHeight="true" outlineLevel="0" collapsed="false">
      <c r="B9" s="41" t="s">
        <v>152</v>
      </c>
      <c r="C9" s="42" t="n">
        <v>176</v>
      </c>
      <c r="D9" s="42" t="n">
        <v>176</v>
      </c>
      <c r="E9" s="42" t="n">
        <v>176</v>
      </c>
      <c r="F9" s="42" t="n">
        <v>176</v>
      </c>
      <c r="G9" s="42" t="n">
        <v>176</v>
      </c>
      <c r="H9" s="42" t="n">
        <v>176</v>
      </c>
      <c r="I9" s="42" t="n">
        <v>176</v>
      </c>
      <c r="J9" s="42" t="n">
        <v>176</v>
      </c>
      <c r="K9" s="42" t="n">
        <v>176</v>
      </c>
      <c r="L9" s="42" t="n">
        <v>176</v>
      </c>
      <c r="M9" s="42" t="n">
        <v>176</v>
      </c>
      <c r="N9" s="42" t="n">
        <v>176</v>
      </c>
      <c r="O9" s="43" t="n">
        <f aca="false">176*12</f>
        <v>2112</v>
      </c>
    </row>
    <row r="10" customFormat="false" ht="7.5" hidden="false" customHeight="true" outlineLevel="0" collapsed="false"/>
    <row r="11" customFormat="false" ht="18" hidden="false" customHeight="true" outlineLevel="0" collapsed="false">
      <c r="B11" s="6" t="s">
        <v>27</v>
      </c>
      <c r="C11" s="39" t="n">
        <v>0</v>
      </c>
      <c r="D11" s="39" t="n">
        <v>0</v>
      </c>
      <c r="E11" s="39" t="n">
        <v>0</v>
      </c>
      <c r="F11" s="39" t="n">
        <v>0</v>
      </c>
      <c r="G11" s="39" t="n">
        <v>0</v>
      </c>
      <c r="H11" s="39" t="n">
        <v>0</v>
      </c>
      <c r="I11" s="39" t="n">
        <v>0</v>
      </c>
      <c r="J11" s="39" t="n">
        <v>0</v>
      </c>
      <c r="K11" s="39" t="n">
        <v>0</v>
      </c>
      <c r="L11" s="39" t="n">
        <v>0</v>
      </c>
      <c r="M11" s="39" t="n">
        <v>0</v>
      </c>
      <c r="N11" s="39" t="n">
        <v>0</v>
      </c>
      <c r="O11" s="40" t="n">
        <f aca="false">SUM(C11:N11)</f>
        <v>0</v>
      </c>
    </row>
    <row r="12" customFormat="false" ht="18" hidden="false" customHeight="true" outlineLevel="0" collapsed="false">
      <c r="B12" s="41" t="s">
        <v>152</v>
      </c>
      <c r="C12" s="42" t="n">
        <v>176</v>
      </c>
      <c r="D12" s="42" t="n">
        <v>176</v>
      </c>
      <c r="E12" s="42" t="n">
        <v>176</v>
      </c>
      <c r="F12" s="42" t="n">
        <v>176</v>
      </c>
      <c r="G12" s="42" t="n">
        <v>176</v>
      </c>
      <c r="H12" s="42" t="n">
        <v>176</v>
      </c>
      <c r="I12" s="42" t="n">
        <v>176</v>
      </c>
      <c r="J12" s="42" t="n">
        <v>176</v>
      </c>
      <c r="K12" s="42" t="n">
        <v>176</v>
      </c>
      <c r="L12" s="42" t="n">
        <v>176</v>
      </c>
      <c r="M12" s="42" t="n">
        <v>176</v>
      </c>
      <c r="N12" s="42" t="n">
        <v>176</v>
      </c>
      <c r="O12" s="43" t="n">
        <f aca="false">176*12</f>
        <v>2112</v>
      </c>
    </row>
    <row r="13" customFormat="false" ht="7.5" hidden="false" customHeight="true" outlineLevel="0" collapsed="false"/>
    <row r="14" customFormat="false" ht="18" hidden="false" customHeight="true" outlineLevel="0" collapsed="false">
      <c r="B14" s="44" t="s">
        <v>28</v>
      </c>
      <c r="C14" s="39" t="n">
        <v>0</v>
      </c>
      <c r="D14" s="39" t="n">
        <v>0</v>
      </c>
      <c r="E14" s="39" t="n">
        <v>0</v>
      </c>
      <c r="F14" s="39" t="n">
        <v>0</v>
      </c>
      <c r="G14" s="39" t="n">
        <v>0</v>
      </c>
      <c r="H14" s="39" t="n">
        <v>0</v>
      </c>
      <c r="I14" s="39" t="n">
        <v>0</v>
      </c>
      <c r="J14" s="39" t="n">
        <v>0</v>
      </c>
      <c r="K14" s="39" t="n">
        <v>0</v>
      </c>
      <c r="L14" s="39" t="n">
        <v>0</v>
      </c>
      <c r="M14" s="39" t="n">
        <v>0</v>
      </c>
      <c r="N14" s="39" t="n">
        <v>0</v>
      </c>
      <c r="O14" s="40" t="n">
        <f aca="false">SUM(C14:N14)</f>
        <v>0</v>
      </c>
    </row>
    <row r="15" customFormat="false" ht="18" hidden="false" customHeight="true" outlineLevel="0" collapsed="false">
      <c r="B15" s="41" t="s">
        <v>152</v>
      </c>
      <c r="C15" s="42" t="n">
        <v>176</v>
      </c>
      <c r="D15" s="42" t="n">
        <v>176</v>
      </c>
      <c r="E15" s="42" t="n">
        <v>176</v>
      </c>
      <c r="F15" s="42" t="n">
        <v>176</v>
      </c>
      <c r="G15" s="42" t="n">
        <v>176</v>
      </c>
      <c r="H15" s="42" t="n">
        <v>176</v>
      </c>
      <c r="I15" s="42" t="n">
        <v>176</v>
      </c>
      <c r="J15" s="42" t="n">
        <v>176</v>
      </c>
      <c r="K15" s="42" t="n">
        <v>176</v>
      </c>
      <c r="L15" s="42" t="n">
        <v>176</v>
      </c>
      <c r="M15" s="42" t="n">
        <v>176</v>
      </c>
      <c r="N15" s="42" t="n">
        <v>176</v>
      </c>
      <c r="O15" s="43" t="n">
        <f aca="false">176*12</f>
        <v>2112</v>
      </c>
    </row>
    <row r="16" customFormat="false" ht="7.5" hidden="false" customHeight="true" outlineLevel="0" collapsed="false"/>
    <row r="17" customFormat="false" ht="18" hidden="false" customHeight="true" outlineLevel="0" collapsed="false">
      <c r="B17" s="6" t="s">
        <v>29</v>
      </c>
      <c r="C17" s="39" t="n">
        <v>0</v>
      </c>
      <c r="D17" s="39" t="n">
        <v>0</v>
      </c>
      <c r="E17" s="39" t="n">
        <v>0</v>
      </c>
      <c r="F17" s="39" t="n">
        <v>0</v>
      </c>
      <c r="G17" s="39" t="n">
        <v>0</v>
      </c>
      <c r="H17" s="39" t="n">
        <v>0</v>
      </c>
      <c r="I17" s="39" t="n">
        <v>0</v>
      </c>
      <c r="J17" s="39" t="n">
        <v>0</v>
      </c>
      <c r="K17" s="39" t="n">
        <v>0</v>
      </c>
      <c r="L17" s="39" t="n">
        <v>0</v>
      </c>
      <c r="M17" s="39" t="n">
        <v>0</v>
      </c>
      <c r="N17" s="39" t="n">
        <v>0</v>
      </c>
      <c r="O17" s="40" t="n">
        <f aca="false">SUM(C17:N17)</f>
        <v>0</v>
      </c>
    </row>
    <row r="18" customFormat="false" ht="18" hidden="false" customHeight="true" outlineLevel="0" collapsed="false">
      <c r="B18" s="41" t="s">
        <v>152</v>
      </c>
      <c r="C18" s="42" t="n">
        <v>176</v>
      </c>
      <c r="D18" s="42" t="n">
        <v>176</v>
      </c>
      <c r="E18" s="42" t="n">
        <v>176</v>
      </c>
      <c r="F18" s="42" t="n">
        <v>176</v>
      </c>
      <c r="G18" s="42" t="n">
        <v>176</v>
      </c>
      <c r="H18" s="42" t="n">
        <v>176</v>
      </c>
      <c r="I18" s="42" t="n">
        <v>176</v>
      </c>
      <c r="J18" s="42" t="n">
        <v>176</v>
      </c>
      <c r="K18" s="42" t="n">
        <v>176</v>
      </c>
      <c r="L18" s="42" t="n">
        <v>176</v>
      </c>
      <c r="M18" s="42" t="n">
        <v>176</v>
      </c>
      <c r="N18" s="42" t="n">
        <v>176</v>
      </c>
      <c r="O18" s="43" t="n">
        <f aca="false">176*12</f>
        <v>2112</v>
      </c>
    </row>
    <row r="19" customFormat="false" ht="7.5" hidden="false" customHeight="true" outlineLevel="0" collapsed="false"/>
    <row r="20" customFormat="false" ht="18" hidden="false" customHeight="true" outlineLevel="0" collapsed="false">
      <c r="B20" s="44" t="s">
        <v>30</v>
      </c>
      <c r="C20" s="39" t="n">
        <v>0</v>
      </c>
      <c r="D20" s="39" t="n">
        <v>0</v>
      </c>
      <c r="E20" s="39" t="n">
        <v>0</v>
      </c>
      <c r="F20" s="39" t="n">
        <v>0</v>
      </c>
      <c r="G20" s="39" t="n">
        <v>0</v>
      </c>
      <c r="H20" s="39" t="n">
        <v>0</v>
      </c>
      <c r="I20" s="39" t="n">
        <v>0</v>
      </c>
      <c r="J20" s="39" t="n">
        <v>0</v>
      </c>
      <c r="K20" s="39" t="n">
        <v>0</v>
      </c>
      <c r="L20" s="39" t="n">
        <v>0</v>
      </c>
      <c r="M20" s="39" t="n">
        <v>0</v>
      </c>
      <c r="N20" s="39" t="n">
        <v>0</v>
      </c>
      <c r="O20" s="40" t="n">
        <f aca="false">SUM(C20:N20)</f>
        <v>0</v>
      </c>
    </row>
    <row r="21" customFormat="false" ht="18" hidden="false" customHeight="true" outlineLevel="0" collapsed="false">
      <c r="B21" s="41" t="s">
        <v>152</v>
      </c>
      <c r="C21" s="42" t="n">
        <v>176</v>
      </c>
      <c r="D21" s="42" t="n">
        <v>176</v>
      </c>
      <c r="E21" s="42" t="n">
        <v>176</v>
      </c>
      <c r="F21" s="42" t="n">
        <v>176</v>
      </c>
      <c r="G21" s="42" t="n">
        <v>176</v>
      </c>
      <c r="H21" s="42" t="n">
        <v>176</v>
      </c>
      <c r="I21" s="42" t="n">
        <v>176</v>
      </c>
      <c r="J21" s="42" t="n">
        <v>176</v>
      </c>
      <c r="K21" s="42" t="n">
        <v>176</v>
      </c>
      <c r="L21" s="42" t="n">
        <v>176</v>
      </c>
      <c r="M21" s="42" t="n">
        <v>176</v>
      </c>
      <c r="N21" s="42" t="n">
        <v>176</v>
      </c>
      <c r="O21" s="43" t="n">
        <f aca="false">176*12</f>
        <v>2112</v>
      </c>
    </row>
    <row r="22" customFormat="false" ht="7.5" hidden="false" customHeight="true" outlineLevel="0" collapsed="false"/>
  </sheetData>
  <mergeCells count="1">
    <mergeCell ref="B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C3483"/>
    <pageSetUpPr fitToPage="false"/>
  </sheetPr>
  <dimension ref="A2:M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5" min="3" style="0" width="18"/>
    <col collapsed="false" customWidth="true" hidden="false" outlineLevel="0" max="6" min="6" style="0" width="3"/>
  </cols>
  <sheetData>
    <row r="2" customFormat="false" ht="36" hidden="false" customHeight="true" outlineLevel="0" collapsed="false">
      <c r="A2" s="10"/>
      <c r="B2" s="38" t="s">
        <v>153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</row>
    <row r="3" customFormat="false" ht="9.75" hidden="false" customHeight="true" outlineLevel="0" collapsed="false"/>
    <row r="4" customFormat="false" ht="9.75" hidden="false" customHeight="true" outlineLevel="0" collapsed="false"/>
    <row r="5" customFormat="false" ht="21.75" hidden="false" customHeight="true" outlineLevel="0" collapsed="false">
      <c r="B5" s="45" t="s">
        <v>154</v>
      </c>
      <c r="C5" s="46" t="s">
        <v>155</v>
      </c>
      <c r="D5" s="47" t="n">
        <f aca="false">IFERROR(COUNTIFS('📋 Work Orders'!G5:G104,"Complete")/COUNTA('📋 Work Orders'!B5:B104),0)</f>
        <v>0</v>
      </c>
      <c r="E5" s="48" t="s">
        <v>156</v>
      </c>
    </row>
    <row r="6" customFormat="false" ht="9.75" hidden="false" customHeight="true" outlineLevel="0" collapsed="false"/>
    <row r="7" customFormat="false" ht="21.75" hidden="false" customHeight="true" outlineLevel="0" collapsed="false">
      <c r="B7" s="45" t="s">
        <v>157</v>
      </c>
      <c r="C7" s="46" t="s">
        <v>158</v>
      </c>
      <c r="D7" s="47" t="n">
        <f aca="false">IFERROR(COUNTIF('📋 Work Orders'!G5:G104,"Complete")/COUNTA('📋 Work Orders'!B5:B104),0)</f>
        <v>0</v>
      </c>
      <c r="E7" s="48" t="s">
        <v>159</v>
      </c>
    </row>
    <row r="8" customFormat="false" ht="9.75" hidden="false" customHeight="true" outlineLevel="0" collapsed="false"/>
    <row r="9" customFormat="false" ht="21.75" hidden="false" customHeight="true" outlineLevel="0" collapsed="false">
      <c r="B9" s="45" t="s">
        <v>160</v>
      </c>
      <c r="C9" s="46" t="s">
        <v>161</v>
      </c>
      <c r="D9" s="49" t="n">
        <f aca="false">COUNTA('📋 Work Orders'!B5:B104)</f>
        <v>10</v>
      </c>
      <c r="E9" s="48"/>
    </row>
    <row r="10" customFormat="false" ht="9.75" hidden="false" customHeight="true" outlineLevel="0" collapsed="false"/>
    <row r="11" customFormat="false" ht="21.75" hidden="false" customHeight="true" outlineLevel="0" collapsed="false">
      <c r="B11" s="45" t="s">
        <v>162</v>
      </c>
      <c r="C11" s="46" t="s">
        <v>163</v>
      </c>
      <c r="D11" s="49" t="n">
        <f aca="false">COUNTIFS('📋 Work Orders'!G5:G104,"Planned")+COUNTIFS('📋 Work Orders'!G5:G104,"In Progress")</f>
        <v>10</v>
      </c>
      <c r="E11" s="48"/>
    </row>
    <row r="12" customFormat="false" ht="9.75" hidden="false" customHeight="true" outlineLevel="0" collapsed="false"/>
    <row r="13" customFormat="false" ht="21.75" hidden="false" customHeight="true" outlineLevel="0" collapsed="false">
      <c r="B13" s="45" t="s">
        <v>164</v>
      </c>
      <c r="C13" s="46" t="s">
        <v>165</v>
      </c>
      <c r="D13" s="49" t="n">
        <f aca="false">COUNTIF('📋 Work Orders'!G5:G104,"Overdue")</f>
        <v>0</v>
      </c>
      <c r="E13" s="48" t="s">
        <v>166</v>
      </c>
    </row>
    <row r="14" customFormat="false" ht="9.75" hidden="false" customHeight="true" outlineLevel="0" collapsed="false"/>
    <row r="15" customFormat="false" ht="21.75" hidden="false" customHeight="true" outlineLevel="0" collapsed="false">
      <c r="B15" s="45" t="s">
        <v>167</v>
      </c>
      <c r="C15" s="46" t="s">
        <v>168</v>
      </c>
      <c r="D15" s="50" t="n">
        <f aca="false">SUMPRODUCT((('📋 Work Orders'!G5:G104="Planned")+('📋 Work Orders'!G5:G104="Overdue")&gt;0)*'📋 Work Orders'!K5:K104)</f>
        <v>195</v>
      </c>
      <c r="E15" s="48"/>
    </row>
    <row r="16" customFormat="false" ht="9.75" hidden="false" customHeight="true" outlineLevel="0" collapsed="false"/>
    <row r="17" customFormat="false" ht="21.75" hidden="false" customHeight="true" outlineLevel="0" collapsed="false">
      <c r="B17" s="45" t="s">
        <v>169</v>
      </c>
      <c r="C17" s="46" t="s">
        <v>170</v>
      </c>
      <c r="D17" s="51" t="n">
        <f aca="false">'📋 Work Orders'!M105</f>
        <v>102800</v>
      </c>
      <c r="E17" s="48"/>
    </row>
    <row r="18" customFormat="false" ht="9.75" hidden="false" customHeight="true" outlineLevel="0" collapsed="false"/>
    <row r="19" customFormat="false" ht="21.75" hidden="false" customHeight="true" outlineLevel="0" collapsed="false">
      <c r="B19" s="45" t="s">
        <v>171</v>
      </c>
      <c r="C19" s="46" t="s">
        <v>172</v>
      </c>
      <c r="D19" s="49" t="n">
        <f aca="false">COUNTIFS('📋 Work Orders'!F5:F104,"Critical",'📋 Work Orders'!G5:G104,"&lt;&gt;Complete")</f>
        <v>2</v>
      </c>
      <c r="E19" s="48" t="s">
        <v>166</v>
      </c>
    </row>
  </sheetData>
  <mergeCells count="1">
    <mergeCell ref="B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2026-06-10T20:35:09Z</dcterms:created>
  <dc:creator>openpyxl</dc:creator>
  <dc:description/>
  <dc:language>en-US</dc:language>
  <cp:lastModifiedBy/>
  <dcterms:modified xsi:type="dcterms:W3CDTF">2026-06-10T20:35:09Z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