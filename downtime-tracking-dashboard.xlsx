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ℹ Instructions" sheetId="1" state="visible" r:id="rId3"/>
    <sheet name="📊 Dashboard" sheetId="2" state="visible" r:id="rId4"/>
    <sheet name="📋 Downtime Log" sheetId="3" state="visible" r:id="rId5"/>
    <sheet name="⚙ Equipment Register" sheetId="4" state="visible" r:id="rId6"/>
    <sheet name="Calculations" sheetId="5" state="hidden"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<sst xmlns="http://schemas.openxmlformats.org/spreadsheetml/2006/main" count="184" uniqueCount="134">
  <si>
    <t xml:space="preserve">HOW TO USE THIS DASHBOARD</t>
  </si>
  <si>
    <t xml:space="preserve">STEP 1</t>
  </si>
  <si>
    <t xml:space="preserve">  Equipment Register</t>
  </si>
  <si>
    <t xml:space="preserve">Go to the '⚙ Equipment Register' sheet and list all your equipment. Fill in the Equipment Tag (e.g. P-101), name, area, category, criticality, and planned uptime hours per year. The Tag must be used consistently in the log.</t>
  </si>
  <si>
    <t xml:space="preserve">STEP 2</t>
  </si>
  <si>
    <t xml:space="preserve">  Log Each Breakdown</t>
  </si>
  <si>
    <t xml:space="preserve">Go to '📋 Downtime Log'. Fill in date, equipment tag, name, shift, start and end time of the breakdown. Downtime hours are calculated automatically. Select Failure Mode from the dropdown. Write a brief root cause and action taken.</t>
  </si>
  <si>
    <t xml:space="preserve">STEP 3</t>
  </si>
  <si>
    <t xml:space="preserve">  View the Dashboard</t>
  </si>
  <si>
    <t xml:space="preserve">Go to '📊 Dashboard'. All KPIs, Pareto charts, and the monthly trend table update automatically from your log data. No manual entry required.</t>
  </si>
  <si>
    <t xml:space="preserve">STEP 4</t>
  </si>
  <si>
    <t xml:space="preserve">  KPI Definitions</t>
  </si>
  <si>
    <t xml:space="preserve">OEE = Availability × Performance × Quality (approx). MTBF = (Planned hrs - Downtime) ÷ Incidents. MTTR = Total Downtime ÷ Incidents. Availability = (Planned hrs - Downtime) ÷ Planned hrs.</t>
  </si>
  <si>
    <t xml:space="preserve">STEP 5</t>
  </si>
  <si>
    <t xml:space="preserve">  Customise</t>
  </si>
  <si>
    <t xml:space="preserve">Change equipment names, tags, and planned hours in the Equipment Register. Add more rows in the Downtime Log as needed (copy the formula in column H). The Calculations sheet updates automatically — do not edit it.</t>
  </si>
  <si>
    <t xml:space="preserve">NOTE</t>
  </si>
  <si>
    <t xml:space="preserve">  Failure Mode Dropdowns</t>
  </si>
  <si>
    <t xml:space="preserve">Failure modes available: Mechanical, Electrical, Hydraulic, Pneumatic, Lubrication, Wear, Corrosion, Vibration, Overheating, Operator Error, Unknown. Contact us if you need custom categories.</t>
  </si>
  <si>
    <t xml:space="preserve">SUPPORT</t>
  </si>
  <si>
    <t xml:space="preserve">  Contact</t>
  </si>
  <si>
    <t xml:space="preserve">Template designed by Katleho Khoarane | Mechanical Engineer | Bloemfontein, ZA | linkedin.com/in/katleho-khoarane</t>
  </si>
  <si>
    <t xml:space="preserve">DOWNTIME TRACKING DASHBOARD</t>
  </si>
  <si>
    <t xml:space="preserve">OEE</t>
  </si>
  <si>
    <t xml:space="preserve">MTBF (hrs)</t>
  </si>
  <si>
    <t xml:space="preserve">MTTR (hrs)</t>
  </si>
  <si>
    <t xml:space="preserve">Availability %</t>
  </si>
  <si>
    <t xml:space="preserve">Downtime hrs</t>
  </si>
  <si>
    <t xml:space="preserve"># Incidents</t>
  </si>
  <si>
    <t xml:space="preserve">Overall Equip. Effectiveness</t>
  </si>
  <si>
    <t xml:space="preserve">Mean Time Between Failures</t>
  </si>
  <si>
    <t xml:space="preserve">Mean Time To Repair</t>
  </si>
  <si>
    <t xml:space="preserve">Total uptime / available time</t>
  </si>
  <si>
    <t xml:space="preserve">Total downtime this period</t>
  </si>
  <si>
    <t xml:space="preserve">Total events logged</t>
  </si>
  <si>
    <t xml:space="preserve">DOWNTIME BY EQUIPMENT</t>
  </si>
  <si>
    <t xml:space="preserve">DOWNTIME BY FAILURE MODE</t>
  </si>
  <si>
    <t xml:space="preserve">Equipment</t>
  </si>
  <si>
    <t xml:space="preserve">% of Total</t>
  </si>
  <si>
    <t xml:space="preserve">Failure Mode</t>
  </si>
  <si>
    <t xml:space="preserve">TOP 10 INCIDENTS (by Downtime)</t>
  </si>
  <si>
    <t xml:space="preserve">MONTHLY TREND — Downtime Hours</t>
  </si>
  <si>
    <t xml:space="preserve">Date</t>
  </si>
  <si>
    <t xml:space="preserve">Month</t>
  </si>
  <si>
    <t xml:space="preserve">MTBF</t>
  </si>
  <si>
    <t xml:space="preserve">MTTR</t>
  </si>
  <si>
    <t xml:space="preserve">DOWNTIME LOG — Enter each breakdown event below</t>
  </si>
  <si>
    <t xml:space="preserve">► Fill in ALL yellow cells. Date format: DD/MM/YYYY  |  Times in 24hr (e.g. 14:30)  |  Downtime auto-calculates from Start/End</t>
  </si>
  <si>
    <t xml:space="preserve">Equipment Tag</t>
  </si>
  <si>
    <t xml:space="preserve">Equipment Name</t>
  </si>
  <si>
    <t xml:space="preserve">Shift</t>
  </si>
  <si>
    <t xml:space="preserve">Start Time</t>
  </si>
  <si>
    <t xml:space="preserve">End Time</t>
  </si>
  <si>
    <t xml:space="preserve">Downtime (hrs)</t>
  </si>
  <si>
    <t xml:space="preserve">Root Cause</t>
  </si>
  <si>
    <t xml:space="preserve">Action Taken</t>
  </si>
  <si>
    <t xml:space="preserve">Work Order #</t>
  </si>
  <si>
    <t xml:space="preserve">TOTALS</t>
  </si>
  <si>
    <t xml:space="preserve">EQUIPMENT REGISTER</t>
  </si>
  <si>
    <t xml:space="preserve">► Define all equipment here. The Equipment Tag must match exactly what you enter in the Downtime Log.</t>
  </si>
  <si>
    <t xml:space="preserve">Area / Plant</t>
  </si>
  <si>
    <t xml:space="preserve">Category</t>
  </si>
  <si>
    <t xml:space="preserve">Criticality</t>
  </si>
  <si>
    <t xml:space="preserve">Install Date</t>
  </si>
  <si>
    <t xml:space="preserve">Planned Uptime (hrs/yr)</t>
  </si>
  <si>
    <t xml:space="preserve">Notes</t>
  </si>
  <si>
    <t xml:space="preserve">P-101</t>
  </si>
  <si>
    <t xml:space="preserve">Feed Pump</t>
  </si>
  <si>
    <t xml:space="preserve">Concentrator</t>
  </si>
  <si>
    <t xml:space="preserve">Pump</t>
  </si>
  <si>
    <t xml:space="preserve">A</t>
  </si>
  <si>
    <t xml:space="preserve">P-102</t>
  </si>
  <si>
    <t xml:space="preserve">Tailings Pump</t>
  </si>
  <si>
    <t xml:space="preserve">Tailings Dam</t>
  </si>
  <si>
    <t xml:space="preserve">B</t>
  </si>
  <si>
    <t xml:space="preserve">CV-001</t>
  </si>
  <si>
    <t xml:space="preserve">Primary Conveyor</t>
  </si>
  <si>
    <t xml:space="preserve">ROM Pad</t>
  </si>
  <si>
    <t xml:space="preserve">Conveyor</t>
  </si>
  <si>
    <t xml:space="preserve">CV-002</t>
  </si>
  <si>
    <t xml:space="preserve">Overland Conveyor</t>
  </si>
  <si>
    <t xml:space="preserve">Overland</t>
  </si>
  <si>
    <t xml:space="preserve">GB-001</t>
  </si>
  <si>
    <t xml:space="preserve">Crusher Gearbox</t>
  </si>
  <si>
    <t xml:space="preserve">Crushing</t>
  </si>
  <si>
    <t xml:space="preserve">Gearbox</t>
  </si>
  <si>
    <t xml:space="preserve">GB-002</t>
  </si>
  <si>
    <t xml:space="preserve">Mill Gearbox</t>
  </si>
  <si>
    <t xml:space="preserve">Milling</t>
  </si>
  <si>
    <t xml:space="preserve">M-101</t>
  </si>
  <si>
    <t xml:space="preserve">Primary Crusher</t>
  </si>
  <si>
    <t xml:space="preserve">Crusher</t>
  </si>
  <si>
    <t xml:space="preserve">M-102</t>
  </si>
  <si>
    <t xml:space="preserve">Ball Mill</t>
  </si>
  <si>
    <t xml:space="preserve">Mill</t>
  </si>
  <si>
    <t xml:space="preserve">C-101</t>
  </si>
  <si>
    <t xml:space="preserve">Air Compressor</t>
  </si>
  <si>
    <t xml:space="preserve">Utilities</t>
  </si>
  <si>
    <t xml:space="preserve">Compressor</t>
  </si>
  <si>
    <t xml:space="preserve">FN-001</t>
  </si>
  <si>
    <t xml:space="preserve">Cooling Fan</t>
  </si>
  <si>
    <t xml:space="preserve">Process</t>
  </si>
  <si>
    <t xml:space="preserve">Fan</t>
  </si>
  <si>
    <t xml:space="preserve">C</t>
  </si>
  <si>
    <t xml:space="preserve">KPI</t>
  </si>
  <si>
    <t xml:space="preserve">Value</t>
  </si>
  <si>
    <t xml:space="preserve">Downtime</t>
  </si>
  <si>
    <t xml:space="preserve">% Total</t>
  </si>
  <si>
    <t xml:space="preserve">Failure</t>
  </si>
  <si>
    <t xml:space="preserve">WO#</t>
  </si>
  <si>
    <t xml:space="preserve">Incidents</t>
  </si>
  <si>
    <t xml:space="preserve">Mechanical</t>
  </si>
  <si>
    <t xml:space="preserve">Jan</t>
  </si>
  <si>
    <t xml:space="preserve">Electrical</t>
  </si>
  <si>
    <t xml:space="preserve">Feb</t>
  </si>
  <si>
    <t xml:space="preserve">Hydraulic</t>
  </si>
  <si>
    <t xml:space="preserve">Mar</t>
  </si>
  <si>
    <t xml:space="preserve">Total Downtime</t>
  </si>
  <si>
    <t xml:space="preserve">Pneumatic</t>
  </si>
  <si>
    <t xml:space="preserve">Apr</t>
  </si>
  <si>
    <t xml:space="preserve">Incident Count</t>
  </si>
  <si>
    <t xml:space="preserve">Lubrication</t>
  </si>
  <si>
    <t xml:space="preserve">May</t>
  </si>
  <si>
    <t xml:space="preserve">Planned Hours</t>
  </si>
  <si>
    <t xml:space="preserve">Wear</t>
  </si>
  <si>
    <t xml:space="preserve">Jun</t>
  </si>
  <si>
    <t xml:space="preserve">Corrosion</t>
  </si>
  <si>
    <t xml:space="preserve">Jul</t>
  </si>
  <si>
    <t xml:space="preserve">Overheating</t>
  </si>
  <si>
    <t xml:space="preserve">Aug</t>
  </si>
  <si>
    <t xml:space="preserve">Sep</t>
  </si>
  <si>
    <t xml:space="preserve">Oct</t>
  </si>
  <si>
    <t xml:space="preserve">Nov</t>
  </si>
  <si>
    <t xml:space="preserve">Dec</t>
  </si>
</sst>
</file>

<file path=xl/styles.xml><?xml version="1.0" encoding="utf-8"?>
<styleSheet xmlns="http://schemas.openxmlformats.org/spreadsheetml/2006/main">
  <numFmts count="7">
    <numFmt numFmtId="164" formatCode="General"/>
    <numFmt numFmtId="165" formatCode="0.0%"/>
    <numFmt numFmtId="166" formatCode="0.0"/>
    <numFmt numFmtId="167" formatCode="0.00"/>
    <numFmt numFmtId="168" formatCode="0"/>
    <numFmt numFmtId="169" formatCode="dd\-mmm\-yy"/>
    <numFmt numFmtId="170" formatCode="hh:mm"/>
  </numFmts>
  <fonts count="17">
    <font>
      <sz val="11"/>
      <color theme="1"/>
      <name val="Calibri"/>
      <family val="2"/>
      <charset val="1"/>
    </font>
    <font>
      <sz val="10"/>
      <name val="Arial"/>
      <family val="0"/>
    </font>
    <font>
      <sz val="10"/>
      <name val="Arial"/>
      <family val="0"/>
    </font>
    <font>
      <sz val="10"/>
      <name val="Arial"/>
      <family val="0"/>
    </font>
    <font>
      <b val="true"/>
      <sz val="16"/>
      <color rgb="FFE8A020"/>
      <name val="Arial"/>
      <family val="0"/>
      <charset val="1"/>
    </font>
    <font>
      <b val="true"/>
      <sz val="10"/>
      <color rgb="FFE8A020"/>
      <name val="Arial"/>
      <family val="0"/>
      <charset val="1"/>
    </font>
    <font>
      <b val="true"/>
      <sz val="10"/>
      <color rgb="FFFFFFFF"/>
      <name val="Arial"/>
      <family val="0"/>
      <charset val="1"/>
    </font>
    <font>
      <sz val="10"/>
      <color rgb="FF1A1A2E"/>
      <name val="Arial"/>
      <family val="0"/>
      <charset val="1"/>
    </font>
    <font>
      <b val="true"/>
      <sz val="18"/>
      <color rgb="FFE8A020"/>
      <name val="Arial"/>
      <family val="0"/>
      <charset val="1"/>
    </font>
    <font>
      <b val="true"/>
      <sz val="9"/>
      <color rgb="FFFFFFFF"/>
      <name val="Arial"/>
      <family val="0"/>
      <charset val="1"/>
    </font>
    <font>
      <b val="true"/>
      <sz val="18"/>
      <color rgb="FF1A1A2E"/>
      <name val="Arial"/>
      <family val="0"/>
      <charset val="1"/>
    </font>
    <font>
      <i val="true"/>
      <sz val="8"/>
      <color rgb="FF717D7E"/>
      <name val="Arial"/>
      <family val="0"/>
      <charset val="1"/>
    </font>
    <font>
      <sz val="9"/>
      <color rgb="FF1A1A2E"/>
      <name val="Arial"/>
      <family val="0"/>
      <charset val="1"/>
    </font>
    <font>
      <b val="true"/>
      <sz val="14"/>
      <color rgb="FFE8A020"/>
      <name val="Arial"/>
      <family val="0"/>
      <charset val="1"/>
    </font>
    <font>
      <i val="true"/>
      <sz val="9"/>
      <color rgb="FF717D7E"/>
      <name val="Arial"/>
      <family val="0"/>
      <charset val="1"/>
    </font>
    <font>
      <sz val="9"/>
      <color rgb="FF1F618D"/>
      <name val="Arial"/>
      <family val="0"/>
      <charset val="1"/>
    </font>
    <font>
      <sz val="11"/>
      <color rgb="FF1A1A2E"/>
      <name val="Arial"/>
      <family val="0"/>
      <charset val="1"/>
    </font>
  </fonts>
  <fills count="9">
    <fill>
      <patternFill patternType="none"/>
    </fill>
    <fill>
      <patternFill patternType="gray125"/>
    </fill>
    <fill>
      <patternFill patternType="solid">
        <fgColor rgb="FF1A1A2E"/>
        <bgColor rgb="FF16213E"/>
      </patternFill>
    </fill>
    <fill>
      <patternFill patternType="solid">
        <fgColor rgb="FFF2F3F4"/>
        <bgColor rgb="FFFFFFFF"/>
      </patternFill>
    </fill>
    <fill>
      <patternFill patternType="solid">
        <fgColor rgb="FF16213E"/>
        <bgColor rgb="FF1A1A2E"/>
      </patternFill>
    </fill>
    <fill>
      <patternFill patternType="solid">
        <fgColor rgb="FF1F618D"/>
        <bgColor rgb="FF008080"/>
      </patternFill>
    </fill>
    <fill>
      <patternFill patternType="solid">
        <fgColor rgb="FFFFFFFF"/>
        <bgColor rgb="FFF2F3F4"/>
      </patternFill>
    </fill>
    <fill>
      <patternFill patternType="solid">
        <fgColor rgb="FFFFF3CD"/>
        <bgColor rgb="FFF2F3F4"/>
      </patternFill>
    </fill>
    <fill>
      <patternFill patternType="solid">
        <fgColor rgb="FFD6EAF8"/>
        <bgColor rgb="FFF2F3F4"/>
      </patternFill>
    </fill>
  </fills>
  <borders count="3">
    <border diagonalUp="false" diagonalDown="false">
      <left/>
      <right/>
      <top/>
      <bottom/>
      <diagonal/>
    </border>
    <border diagonalUp="false" diagonalDown="false">
      <left/>
      <right/>
      <top/>
      <bottom style="medium">
        <color rgb="FFE8A020"/>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2" borderId="1" xfId="0" applyFont="true" applyBorder="true" applyAlignment="true" applyProtection="false">
      <alignment horizontal="left" vertical="center" textRotation="0" wrapText="false" indent="0" shrinkToFit="false"/>
      <protection locked="true" hidden="false"/>
    </xf>
    <xf numFmtId="164" fontId="6" fillId="2" borderId="1" xfId="0" applyFont="true" applyBorder="true" applyAlignment="true" applyProtection="false">
      <alignment horizontal="left" vertical="center" textRotation="0" wrapText="false" indent="0" shrinkToFit="false"/>
      <protection locked="true" hidden="false"/>
    </xf>
    <xf numFmtId="164" fontId="0" fillId="3" borderId="2" xfId="0" applyFont="false" applyBorder="true" applyAlignment="true" applyProtection="false">
      <alignment horizontal="general" vertical="bottom" textRotation="0" wrapText="false" indent="0" shrinkToFit="false"/>
      <protection locked="true" hidden="false"/>
    </xf>
    <xf numFmtId="164" fontId="7" fillId="3" borderId="2" xfId="0" applyFont="true" applyBorder="true" applyAlignment="true" applyProtection="false">
      <alignment horizontal="left" vertical="center" textRotation="0" wrapText="true" indent="0" shrinkToFit="false"/>
      <protection locked="true" hidden="false"/>
    </xf>
    <xf numFmtId="164" fontId="8" fillId="2" borderId="0" xfId="0" applyFont="true" applyBorder="true" applyAlignment="true" applyProtection="false">
      <alignment horizontal="center" vertical="center" textRotation="0" wrapText="false" indent="0" shrinkToFit="false"/>
      <protection locked="true" hidden="false"/>
    </xf>
    <xf numFmtId="164" fontId="9" fillId="4" borderId="2" xfId="0" applyFont="true" applyBorder="true" applyAlignment="true" applyProtection="false">
      <alignment horizontal="center" vertical="center" textRotation="0" wrapText="false" indent="0" shrinkToFit="false"/>
      <protection locked="true" hidden="false"/>
    </xf>
    <xf numFmtId="165" fontId="10" fillId="3" borderId="2" xfId="0" applyFont="true" applyBorder="true" applyAlignment="true" applyProtection="false">
      <alignment horizontal="center" vertical="center" textRotation="0" wrapText="false" indent="0" shrinkToFit="false"/>
      <protection locked="true" hidden="false"/>
    </xf>
    <xf numFmtId="166" fontId="10" fillId="3" borderId="2" xfId="0" applyFont="true" applyBorder="true" applyAlignment="true" applyProtection="false">
      <alignment horizontal="center" vertical="center" textRotation="0" wrapText="false" indent="0" shrinkToFit="false"/>
      <protection locked="true" hidden="false"/>
    </xf>
    <xf numFmtId="167" fontId="10" fillId="3" borderId="2" xfId="0" applyFont="true" applyBorder="true" applyAlignment="true" applyProtection="false">
      <alignment horizontal="center" vertical="center" textRotation="0" wrapText="false" indent="0" shrinkToFit="false"/>
      <protection locked="true" hidden="false"/>
    </xf>
    <xf numFmtId="168" fontId="10" fillId="3" borderId="2" xfId="0" applyFont="true" applyBorder="true" applyAlignment="true" applyProtection="false">
      <alignment horizontal="center" vertical="center" textRotation="0" wrapText="false" indent="0" shrinkToFit="false"/>
      <protection locked="true" hidden="false"/>
    </xf>
    <xf numFmtId="164" fontId="11" fillId="3" borderId="2" xfId="0" applyFont="true" applyBorder="true" applyAlignment="true" applyProtection="false">
      <alignment horizontal="center" vertical="center" textRotation="0" wrapText="true" indent="0" shrinkToFit="false"/>
      <protection locked="true" hidden="false"/>
    </xf>
    <xf numFmtId="164" fontId="6" fillId="5" borderId="0" xfId="0" applyFont="true" applyBorder="true" applyAlignment="true" applyProtection="false">
      <alignment horizontal="left" vertical="center" textRotation="0" wrapText="false" indent="0" shrinkToFit="false"/>
      <protection locked="true" hidden="false"/>
    </xf>
    <xf numFmtId="164" fontId="6" fillId="2" borderId="2" xfId="0" applyFont="true" applyBorder="true" applyAlignment="true" applyProtection="false">
      <alignment horizontal="center" vertical="center" textRotation="0" wrapText="false" indent="0" shrinkToFit="false"/>
      <protection locked="true" hidden="false"/>
    </xf>
    <xf numFmtId="164" fontId="12" fillId="3" borderId="2" xfId="0" applyFont="true" applyBorder="true" applyAlignment="true" applyProtection="false">
      <alignment horizontal="left" vertical="center" textRotation="0" wrapText="false" indent="0" shrinkToFit="false"/>
      <protection locked="true" hidden="false"/>
    </xf>
    <xf numFmtId="166" fontId="12" fillId="3" borderId="2" xfId="0" applyFont="true" applyBorder="true" applyAlignment="true" applyProtection="false">
      <alignment horizontal="center" vertical="center" textRotation="0" wrapText="false" indent="0" shrinkToFit="false"/>
      <protection locked="true" hidden="false"/>
    </xf>
    <xf numFmtId="165" fontId="12" fillId="3" borderId="2" xfId="0" applyFont="true" applyBorder="true" applyAlignment="true" applyProtection="false">
      <alignment horizontal="center" vertical="center" textRotation="0" wrapText="false" indent="0" shrinkToFit="false"/>
      <protection locked="true" hidden="false"/>
    </xf>
    <xf numFmtId="164" fontId="12" fillId="6" borderId="2" xfId="0" applyFont="true" applyBorder="true" applyAlignment="true" applyProtection="false">
      <alignment horizontal="left" vertical="center" textRotation="0" wrapText="false" indent="0" shrinkToFit="false"/>
      <protection locked="true" hidden="false"/>
    </xf>
    <xf numFmtId="166" fontId="12" fillId="6" borderId="2" xfId="0" applyFont="true" applyBorder="true" applyAlignment="true" applyProtection="false">
      <alignment horizontal="center" vertical="center" textRotation="0" wrapText="false" indent="0" shrinkToFit="false"/>
      <protection locked="true" hidden="false"/>
    </xf>
    <xf numFmtId="165" fontId="12" fillId="6" borderId="2" xfId="0" applyFont="true" applyBorder="true" applyAlignment="true" applyProtection="false">
      <alignment horizontal="center" vertical="center" textRotation="0" wrapText="false" indent="0" shrinkToFit="false"/>
      <protection locked="true" hidden="false"/>
    </xf>
    <xf numFmtId="164" fontId="6" fillId="4" borderId="0" xfId="0" applyFont="true" applyBorder="true" applyAlignment="true" applyProtection="false">
      <alignment horizontal="left" vertical="center" textRotation="0" wrapText="false" indent="0" shrinkToFit="false"/>
      <protection locked="true" hidden="false"/>
    </xf>
    <xf numFmtId="164" fontId="6" fillId="4" borderId="2" xfId="0" applyFont="true" applyBorder="true" applyAlignment="true" applyProtection="false">
      <alignment horizontal="center" vertical="center" textRotation="0" wrapText="false" indent="0" shrinkToFit="false"/>
      <protection locked="true" hidden="false"/>
    </xf>
    <xf numFmtId="169" fontId="12" fillId="3" borderId="2" xfId="0" applyFont="true" applyBorder="true" applyAlignment="true" applyProtection="false">
      <alignment horizontal="left" vertical="center" textRotation="0" wrapText="false" indent="0" shrinkToFit="false"/>
      <protection locked="true" hidden="false"/>
    </xf>
    <xf numFmtId="164" fontId="12" fillId="3" borderId="2" xfId="0" applyFont="true" applyBorder="true" applyAlignment="true" applyProtection="false">
      <alignment horizontal="center" vertical="center" textRotation="0" wrapText="false" indent="0" shrinkToFit="false"/>
      <protection locked="true" hidden="false"/>
    </xf>
    <xf numFmtId="168" fontId="12" fillId="3" borderId="2" xfId="0" applyFont="true" applyBorder="true" applyAlignment="true" applyProtection="false">
      <alignment horizontal="center" vertical="center" textRotation="0" wrapText="false" indent="0" shrinkToFit="false"/>
      <protection locked="true" hidden="false"/>
    </xf>
    <xf numFmtId="169" fontId="12" fillId="6" borderId="2" xfId="0" applyFont="true" applyBorder="true" applyAlignment="true" applyProtection="false">
      <alignment horizontal="left" vertical="center" textRotation="0" wrapText="false" indent="0" shrinkToFit="false"/>
      <protection locked="true" hidden="false"/>
    </xf>
    <xf numFmtId="164" fontId="12" fillId="6" borderId="2" xfId="0" applyFont="true" applyBorder="true" applyAlignment="true" applyProtection="false">
      <alignment horizontal="center" vertical="center" textRotation="0" wrapText="false" indent="0" shrinkToFit="false"/>
      <protection locked="true" hidden="false"/>
    </xf>
    <xf numFmtId="168" fontId="12" fillId="6" borderId="2" xfId="0" applyFont="true" applyBorder="true" applyAlignment="true" applyProtection="false">
      <alignment horizontal="center" vertical="center" textRotation="0" wrapText="false" indent="0" shrinkToFit="false"/>
      <protection locked="true" hidden="false"/>
    </xf>
    <xf numFmtId="164" fontId="13" fillId="2" borderId="0" xfId="0" applyFont="true" applyBorder="true" applyAlignment="true" applyProtection="false">
      <alignment horizontal="center" vertical="center" textRotation="0" wrapText="false" indent="0" shrinkToFit="false"/>
      <protection locked="true" hidden="false"/>
    </xf>
    <xf numFmtId="164" fontId="14" fillId="7" borderId="0" xfId="0" applyFont="true" applyBorder="true" applyAlignment="true" applyProtection="false">
      <alignment horizontal="left" vertical="center" textRotation="0" wrapText="false" indent="0" shrinkToFit="false"/>
      <protection locked="true" hidden="false"/>
    </xf>
    <xf numFmtId="164" fontId="6" fillId="2" borderId="2" xfId="0" applyFont="true" applyBorder="true" applyAlignment="true" applyProtection="false">
      <alignment horizontal="center" vertical="center" textRotation="0" wrapText="true" indent="0" shrinkToFit="false"/>
      <protection locked="true" hidden="false"/>
    </xf>
    <xf numFmtId="169" fontId="12" fillId="7" borderId="2" xfId="0" applyFont="true" applyBorder="true" applyAlignment="true" applyProtection="false">
      <alignment horizontal="center" vertical="center" textRotation="0" wrapText="false" indent="0" shrinkToFit="false"/>
      <protection locked="true" hidden="false"/>
    </xf>
    <xf numFmtId="164" fontId="12" fillId="7" borderId="2" xfId="0" applyFont="true" applyBorder="true" applyAlignment="true" applyProtection="false">
      <alignment horizontal="left" vertical="center" textRotation="0" wrapText="false" indent="0" shrinkToFit="false"/>
      <protection locked="true" hidden="false"/>
    </xf>
    <xf numFmtId="164" fontId="12" fillId="7" borderId="2" xfId="0" applyFont="true" applyBorder="true" applyAlignment="true" applyProtection="false">
      <alignment horizontal="center" vertical="center" textRotation="0" wrapText="false" indent="0" shrinkToFit="false"/>
      <protection locked="true" hidden="false"/>
    </xf>
    <xf numFmtId="170" fontId="12" fillId="7" borderId="2" xfId="0" applyFont="true" applyBorder="true" applyAlignment="true" applyProtection="false">
      <alignment horizontal="center" vertical="center" textRotation="0" wrapText="false" indent="0" shrinkToFit="false"/>
      <protection locked="true" hidden="false"/>
    </xf>
    <xf numFmtId="167" fontId="15" fillId="8" borderId="2" xfId="0" applyFont="true" applyBorder="true" applyAlignment="true" applyProtection="false">
      <alignment horizontal="center" vertical="center" textRotation="0" wrapText="false" indent="0" shrinkToFit="false"/>
      <protection locked="true" hidden="false"/>
    </xf>
    <xf numFmtId="164" fontId="6" fillId="4" borderId="0" xfId="0" applyFont="true" applyBorder="true" applyAlignment="true" applyProtection="false">
      <alignment horizontal="right" vertical="center" textRotation="0" wrapText="false" indent="0" shrinkToFit="false"/>
      <protection locked="true" hidden="false"/>
    </xf>
    <xf numFmtId="167" fontId="6" fillId="4" borderId="2" xfId="0" applyFont="true" applyBorder="true" applyAlignment="true" applyProtection="false">
      <alignment horizontal="center" vertical="center" textRotation="0" wrapText="false" indent="0" shrinkToFit="false"/>
      <protection locked="true" hidden="false"/>
    </xf>
    <xf numFmtId="168" fontId="16" fillId="4" borderId="0" xfId="0" applyFont="true" applyBorder="true" applyAlignment="true" applyProtection="false">
      <alignment horizontal="left" vertical="center" textRotation="0" wrapText="false" indent="0" shrinkToFit="false"/>
      <protection locked="true" hidden="false"/>
    </xf>
    <xf numFmtId="168" fontId="12" fillId="7" borderId="2" xfId="0" applyFont="true" applyBorder="true" applyAlignment="true" applyProtection="false">
      <alignment horizontal="center" vertical="center"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717D7E"/>
      <rgbColor rgb="FF9999FF"/>
      <rgbColor rgb="FF993366"/>
      <rgbColor rgb="FFFFF3CD"/>
      <rgbColor rgb="FFD6EAF8"/>
      <rgbColor rgb="FF660066"/>
      <rgbColor rgb="FFFF8080"/>
      <rgbColor rgb="FF1F618D"/>
      <rgbColor rgb="FFCCCCFF"/>
      <rgbColor rgb="FF000080"/>
      <rgbColor rgb="FFFF00FF"/>
      <rgbColor rgb="FFFFFF00"/>
      <rgbColor rgb="FF00FFFF"/>
      <rgbColor rgb="FF800080"/>
      <rgbColor rgb="FF800000"/>
      <rgbColor rgb="FF008080"/>
      <rgbColor rgb="FF0000FF"/>
      <rgbColor rgb="FF00CCFF"/>
      <rgbColor rgb="FFF2F3F4"/>
      <rgbColor rgb="FFCCFFCC"/>
      <rgbColor rgb="FFFFFF99"/>
      <rgbColor rgb="FF99CCFF"/>
      <rgbColor rgb="FFFF99CC"/>
      <rgbColor rgb="FFCC99FF"/>
      <rgbColor rgb="FFFFCC99"/>
      <rgbColor rgb="FF3366FF"/>
      <rgbColor rgb="FF33CCCC"/>
      <rgbColor rgb="FF99CC00"/>
      <rgbColor rgb="FFFFCC00"/>
      <rgbColor rgb="FFE8A020"/>
      <rgbColor rgb="FFFF6600"/>
      <rgbColor rgb="FF666699"/>
      <rgbColor rgb="FF969696"/>
      <rgbColor rgb="FF003366"/>
      <rgbColor rgb="FF1E8449"/>
      <rgbColor rgb="FF003300"/>
      <rgbColor rgb="FF1A1A2E"/>
      <rgbColor rgb="FF993300"/>
      <rgbColor rgb="FF993366"/>
      <rgbColor rgb="FF333399"/>
      <rgbColor rgb="FF16213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17D7E"/>
    <pageSetUpPr fitToPage="false"/>
  </sheetPr>
  <dimension ref="A2:K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4"/>
    <col collapsed="false" customWidth="true" hidden="false" outlineLevel="0" max="3" min="3" style="1" width="28"/>
    <col collapsed="false" customWidth="true" hidden="false" outlineLevel="0" max="4" min="4" style="1" width="60"/>
    <col collapsed="false" customWidth="true" hidden="false" outlineLevel="0" max="5" min="5" style="1" width="20"/>
  </cols>
  <sheetData>
    <row r="2" customFormat="false" ht="39.75" hidden="false" customHeight="true" outlineLevel="0" collapsed="false">
      <c r="A2" s="2"/>
      <c r="B2" s="3" t="s">
        <v>0</v>
      </c>
      <c r="C2" s="3"/>
      <c r="D2" s="3"/>
      <c r="E2" s="3"/>
      <c r="F2" s="3"/>
      <c r="G2" s="3"/>
      <c r="H2" s="3"/>
      <c r="I2" s="3"/>
      <c r="J2" s="3"/>
      <c r="K2" s="3"/>
    </row>
    <row r="5" customFormat="false" ht="9.75" hidden="false" customHeight="true" outlineLevel="0" collapsed="false"/>
    <row r="6" customFormat="false" ht="21.75" hidden="false" customHeight="true" outlineLevel="0" collapsed="false">
      <c r="C6" s="4" t="s">
        <v>1</v>
      </c>
      <c r="D6" s="5" t="s">
        <v>2</v>
      </c>
    </row>
    <row r="7" customFormat="false" ht="49.5" hidden="false" customHeight="true" outlineLevel="0" collapsed="false">
      <c r="C7" s="6"/>
      <c r="D7" s="7" t="s">
        <v>3</v>
      </c>
    </row>
    <row r="8" customFormat="false" ht="9.75" hidden="false" customHeight="true" outlineLevel="0" collapsed="false"/>
    <row r="9" customFormat="false" ht="21.75" hidden="false" customHeight="true" outlineLevel="0" collapsed="false">
      <c r="C9" s="4" t="s">
        <v>4</v>
      </c>
      <c r="D9" s="5" t="s">
        <v>5</v>
      </c>
    </row>
    <row r="10" customFormat="false" ht="49.5" hidden="false" customHeight="true" outlineLevel="0" collapsed="false">
      <c r="C10" s="6"/>
      <c r="D10" s="7" t="s">
        <v>6</v>
      </c>
    </row>
    <row r="11" customFormat="false" ht="9.75" hidden="false" customHeight="true" outlineLevel="0" collapsed="false"/>
    <row r="12" customFormat="false" ht="21.75" hidden="false" customHeight="true" outlineLevel="0" collapsed="false">
      <c r="C12" s="4" t="s">
        <v>7</v>
      </c>
      <c r="D12" s="5" t="s">
        <v>8</v>
      </c>
    </row>
    <row r="13" customFormat="false" ht="49.5" hidden="false" customHeight="true" outlineLevel="0" collapsed="false">
      <c r="C13" s="6"/>
      <c r="D13" s="7" t="s">
        <v>9</v>
      </c>
    </row>
    <row r="14" customFormat="false" ht="9.75" hidden="false" customHeight="true" outlineLevel="0" collapsed="false"/>
    <row r="15" customFormat="false" ht="21.75" hidden="false" customHeight="true" outlineLevel="0" collapsed="false">
      <c r="C15" s="4" t="s">
        <v>10</v>
      </c>
      <c r="D15" s="5" t="s">
        <v>11</v>
      </c>
    </row>
    <row r="16" customFormat="false" ht="49.5" hidden="false" customHeight="true" outlineLevel="0" collapsed="false">
      <c r="C16" s="6"/>
      <c r="D16" s="7" t="s">
        <v>12</v>
      </c>
    </row>
    <row r="17" customFormat="false" ht="9.75" hidden="false" customHeight="true" outlineLevel="0" collapsed="false"/>
    <row r="18" customFormat="false" ht="21.75" hidden="false" customHeight="true" outlineLevel="0" collapsed="false">
      <c r="C18" s="4" t="s">
        <v>13</v>
      </c>
      <c r="D18" s="5" t="s">
        <v>14</v>
      </c>
    </row>
    <row r="19" customFormat="false" ht="49.5" hidden="false" customHeight="true" outlineLevel="0" collapsed="false">
      <c r="C19" s="6"/>
      <c r="D19" s="7" t="s">
        <v>15</v>
      </c>
    </row>
    <row r="20" customFormat="false" ht="9.75" hidden="false" customHeight="true" outlineLevel="0" collapsed="false"/>
    <row r="21" customFormat="false" ht="21.75" hidden="false" customHeight="true" outlineLevel="0" collapsed="false">
      <c r="C21" s="4" t="s">
        <v>16</v>
      </c>
      <c r="D21" s="5" t="s">
        <v>17</v>
      </c>
    </row>
    <row r="22" customFormat="false" ht="49.5" hidden="false" customHeight="true" outlineLevel="0" collapsed="false">
      <c r="C22" s="6"/>
      <c r="D22" s="7" t="s">
        <v>18</v>
      </c>
    </row>
    <row r="23" customFormat="false" ht="9.75" hidden="false" customHeight="true" outlineLevel="0" collapsed="false"/>
    <row r="24" customFormat="false" ht="21.75" hidden="false" customHeight="true" outlineLevel="0" collapsed="false">
      <c r="C24" s="4" t="s">
        <v>19</v>
      </c>
      <c r="D24" s="5" t="s">
        <v>20</v>
      </c>
    </row>
    <row r="25" customFormat="false" ht="49.5" hidden="false" customHeight="true" outlineLevel="0" collapsed="false">
      <c r="C25" s="6"/>
      <c r="D25" s="7" t="s">
        <v>21</v>
      </c>
    </row>
  </sheetData>
  <mergeCells count="1">
    <mergeCell ref="B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8A020"/>
    <pageSetUpPr fitToPage="false"/>
  </sheetPr>
  <dimension ref="A1:L8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
    <col collapsed="false" customWidth="true" hidden="false" outlineLevel="0" max="2" min="2" style="1" width="18"/>
    <col collapsed="false" customWidth="true" hidden="false" outlineLevel="0" max="11" min="3" style="1" width="14"/>
    <col collapsed="false" customWidth="true" hidden="false" outlineLevel="0" max="12" min="12" style="1" width="1"/>
  </cols>
  <sheetData>
    <row r="1" customFormat="false" ht="7.5" hidden="false" customHeight="true" outlineLevel="0" collapsed="false"/>
    <row r="2" customFormat="false" ht="39.75" hidden="false" customHeight="true" outlineLevel="0" collapsed="false">
      <c r="A2" s="2"/>
      <c r="B2" s="8" t="s">
        <v>22</v>
      </c>
      <c r="C2" s="8"/>
      <c r="D2" s="8"/>
      <c r="E2" s="8"/>
      <c r="F2" s="8"/>
      <c r="G2" s="8"/>
      <c r="H2" s="8"/>
      <c r="I2" s="8"/>
      <c r="J2" s="8"/>
      <c r="K2" s="8"/>
      <c r="L2" s="2"/>
    </row>
    <row r="3" customFormat="false" ht="7.5" hidden="false" customHeight="true" outlineLevel="0" collapsed="false"/>
    <row r="4" customFormat="false" ht="27.75" hidden="false" customHeight="true" outlineLevel="0" collapsed="false">
      <c r="B4" s="9" t="s">
        <v>23</v>
      </c>
      <c r="C4" s="9" t="s">
        <v>24</v>
      </c>
      <c r="D4" s="9" t="s">
        <v>25</v>
      </c>
      <c r="E4" s="9" t="s">
        <v>26</v>
      </c>
      <c r="F4" s="9" t="s">
        <v>27</v>
      </c>
      <c r="G4" s="9" t="s">
        <v>28</v>
      </c>
    </row>
    <row r="5" customFormat="false" ht="7.5" hidden="false" customHeight="true" outlineLevel="0" collapsed="false"/>
    <row r="6" customFormat="false" ht="24" hidden="false" customHeight="true" outlineLevel="0" collapsed="false">
      <c r="B6" s="10" t="n">
        <f aca="false">IFERROR(Calculations!B2,"N/A")</f>
        <v>0.8075</v>
      </c>
      <c r="C6" s="11" t="n">
        <f aca="false">IFERROR(Calculations!B3,"N/A")</f>
        <v>0</v>
      </c>
      <c r="D6" s="11" t="n">
        <f aca="false">IFERROR(Calculations!B4,"N/A")</f>
        <v>0</v>
      </c>
      <c r="E6" s="10" t="n">
        <f aca="false">IFERROR(Calculations!B5,"N/A")</f>
        <v>1</v>
      </c>
      <c r="F6" s="12" t="n">
        <f aca="false">IFERROR(Calculations!B6,"N/A")</f>
        <v>0</v>
      </c>
      <c r="G6" s="13" t="n">
        <f aca="false">IFERROR(Calculations!B7,"N/A")</f>
        <v>0</v>
      </c>
    </row>
    <row r="7" customFormat="false" ht="24" hidden="false" customHeight="true" outlineLevel="0" collapsed="false">
      <c r="B7" s="14" t="s">
        <v>29</v>
      </c>
      <c r="C7" s="14" t="s">
        <v>30</v>
      </c>
      <c r="D7" s="14" t="s">
        <v>31</v>
      </c>
      <c r="E7" s="14" t="s">
        <v>32</v>
      </c>
      <c r="F7" s="14" t="s">
        <v>33</v>
      </c>
      <c r="G7" s="14" t="s">
        <v>34</v>
      </c>
    </row>
    <row r="8" customFormat="false" ht="24" hidden="false" customHeight="true" outlineLevel="0" collapsed="false">
      <c r="B8" s="6"/>
      <c r="C8" s="6"/>
      <c r="D8" s="6"/>
      <c r="E8" s="6"/>
      <c r="F8" s="6"/>
      <c r="G8" s="6"/>
    </row>
    <row r="9" customFormat="false" ht="24" hidden="false" customHeight="true" outlineLevel="0" collapsed="false">
      <c r="B9" s="6"/>
      <c r="C9" s="6"/>
      <c r="D9" s="6"/>
      <c r="E9" s="6"/>
      <c r="F9" s="6"/>
      <c r="G9" s="6"/>
    </row>
    <row r="10" customFormat="false" ht="18" hidden="false" customHeight="true" outlineLevel="0" collapsed="false"/>
    <row r="11" customFormat="false" ht="24" hidden="false" customHeight="true" outlineLevel="0" collapsed="false">
      <c r="B11" s="15" t="s">
        <v>35</v>
      </c>
      <c r="C11" s="15"/>
      <c r="D11" s="15"/>
      <c r="F11" s="15" t="s">
        <v>36</v>
      </c>
      <c r="G11" s="15"/>
      <c r="H11" s="15"/>
    </row>
    <row r="12" customFormat="false" ht="18" hidden="false" customHeight="true" outlineLevel="0" collapsed="false">
      <c r="B12" s="16" t="s">
        <v>37</v>
      </c>
      <c r="C12" s="16" t="s">
        <v>27</v>
      </c>
      <c r="D12" s="16" t="s">
        <v>38</v>
      </c>
      <c r="F12" s="16" t="s">
        <v>39</v>
      </c>
      <c r="G12" s="16" t="s">
        <v>27</v>
      </c>
      <c r="H12" s="16" t="s">
        <v>38</v>
      </c>
    </row>
    <row r="13" customFormat="false" ht="16.5" hidden="false" customHeight="true" outlineLevel="0" collapsed="false">
      <c r="B13" s="17" t="str">
        <f aca="false">IFERROR(Calculations!D3,"")</f>
        <v>P-101</v>
      </c>
      <c r="C13" s="18" t="n">
        <f aca="false">IFERROR(Calculations!E3,"")</f>
        <v>0</v>
      </c>
      <c r="D13" s="19" t="n">
        <f aca="false">IFERROR(Calculations!F3,"")</f>
        <v>0</v>
      </c>
      <c r="F13" s="17" t="str">
        <f aca="false">IFERROR(Calculations!H3,"")</f>
        <v>Mechanical</v>
      </c>
      <c r="G13" s="18" t="n">
        <f aca="false">IFERROR(Calculations!I3,"")</f>
        <v>0</v>
      </c>
      <c r="H13" s="19" t="n">
        <f aca="false">IFERROR(Calculations!J3,"")</f>
        <v>0</v>
      </c>
    </row>
    <row r="14" customFormat="false" ht="16.5" hidden="false" customHeight="true" outlineLevel="0" collapsed="false">
      <c r="B14" s="20" t="str">
        <f aca="false">IFERROR(Calculations!D4,"")</f>
        <v>P-102</v>
      </c>
      <c r="C14" s="21" t="n">
        <f aca="false">IFERROR(Calculations!E4,"")</f>
        <v>0</v>
      </c>
      <c r="D14" s="22" t="n">
        <f aca="false">IFERROR(Calculations!F4,"")</f>
        <v>0</v>
      </c>
      <c r="F14" s="20" t="str">
        <f aca="false">IFERROR(Calculations!H4,"")</f>
        <v>Electrical</v>
      </c>
      <c r="G14" s="21" t="n">
        <f aca="false">IFERROR(Calculations!I4,"")</f>
        <v>0</v>
      </c>
      <c r="H14" s="22" t="n">
        <f aca="false">IFERROR(Calculations!J4,"")</f>
        <v>0</v>
      </c>
    </row>
    <row r="15" customFormat="false" ht="16.5" hidden="false" customHeight="true" outlineLevel="0" collapsed="false">
      <c r="B15" s="17" t="str">
        <f aca="false">IFERROR(Calculations!D5,"")</f>
        <v>CV-001</v>
      </c>
      <c r="C15" s="18" t="n">
        <f aca="false">IFERROR(Calculations!E5,"")</f>
        <v>0</v>
      </c>
      <c r="D15" s="19" t="n">
        <f aca="false">IFERROR(Calculations!F5,"")</f>
        <v>0</v>
      </c>
      <c r="F15" s="17" t="str">
        <f aca="false">IFERROR(Calculations!H5,"")</f>
        <v>Hydraulic</v>
      </c>
      <c r="G15" s="18" t="n">
        <f aca="false">IFERROR(Calculations!I5,"")</f>
        <v>0</v>
      </c>
      <c r="H15" s="19" t="n">
        <f aca="false">IFERROR(Calculations!J5,"")</f>
        <v>0</v>
      </c>
    </row>
    <row r="16" customFormat="false" ht="16.5" hidden="false" customHeight="true" outlineLevel="0" collapsed="false">
      <c r="B16" s="20" t="str">
        <f aca="false">IFERROR(Calculations!D6,"")</f>
        <v>CV-002</v>
      </c>
      <c r="C16" s="21" t="n">
        <f aca="false">IFERROR(Calculations!E6,"")</f>
        <v>0</v>
      </c>
      <c r="D16" s="22" t="n">
        <f aca="false">IFERROR(Calculations!F6,"")</f>
        <v>0</v>
      </c>
      <c r="F16" s="20" t="str">
        <f aca="false">IFERROR(Calculations!H6,"")</f>
        <v>Pneumatic</v>
      </c>
      <c r="G16" s="21" t="n">
        <f aca="false">IFERROR(Calculations!I6,"")</f>
        <v>0</v>
      </c>
      <c r="H16" s="22" t="n">
        <f aca="false">IFERROR(Calculations!J6,"")</f>
        <v>0</v>
      </c>
    </row>
    <row r="17" customFormat="false" ht="16.5" hidden="false" customHeight="true" outlineLevel="0" collapsed="false">
      <c r="B17" s="17" t="str">
        <f aca="false">IFERROR(Calculations!D7,"")</f>
        <v>GB-001</v>
      </c>
      <c r="C17" s="18" t="n">
        <f aca="false">IFERROR(Calculations!E7,"")</f>
        <v>0</v>
      </c>
      <c r="D17" s="19" t="n">
        <f aca="false">IFERROR(Calculations!F7,"")</f>
        <v>0</v>
      </c>
      <c r="F17" s="17" t="str">
        <f aca="false">IFERROR(Calculations!H7,"")</f>
        <v>Lubrication</v>
      </c>
      <c r="G17" s="18" t="n">
        <f aca="false">IFERROR(Calculations!I7,"")</f>
        <v>0</v>
      </c>
      <c r="H17" s="19" t="n">
        <f aca="false">IFERROR(Calculations!J7,"")</f>
        <v>0</v>
      </c>
    </row>
    <row r="18" customFormat="false" ht="16.5" hidden="false" customHeight="true" outlineLevel="0" collapsed="false">
      <c r="B18" s="20" t="str">
        <f aca="false">IFERROR(Calculations!D8,"")</f>
        <v>GB-002</v>
      </c>
      <c r="C18" s="21" t="n">
        <f aca="false">IFERROR(Calculations!E8,"")</f>
        <v>0</v>
      </c>
      <c r="D18" s="22" t="n">
        <f aca="false">IFERROR(Calculations!F8,"")</f>
        <v>0</v>
      </c>
      <c r="F18" s="20" t="str">
        <f aca="false">IFERROR(Calculations!H8,"")</f>
        <v>Wear</v>
      </c>
      <c r="G18" s="21" t="n">
        <f aca="false">IFERROR(Calculations!I8,"")</f>
        <v>0</v>
      </c>
      <c r="H18" s="22" t="n">
        <f aca="false">IFERROR(Calculations!J8,"")</f>
        <v>0</v>
      </c>
    </row>
    <row r="19" customFormat="false" ht="16.5" hidden="false" customHeight="true" outlineLevel="0" collapsed="false">
      <c r="B19" s="17" t="str">
        <f aca="false">IFERROR(Calculations!D9,"")</f>
        <v>M-101</v>
      </c>
      <c r="C19" s="18" t="n">
        <f aca="false">IFERROR(Calculations!E9,"")</f>
        <v>0</v>
      </c>
      <c r="D19" s="19" t="n">
        <f aca="false">IFERROR(Calculations!F9,"")</f>
        <v>0</v>
      </c>
      <c r="F19" s="17" t="str">
        <f aca="false">IFERROR(Calculations!H9,"")</f>
        <v>Corrosion</v>
      </c>
      <c r="G19" s="18" t="n">
        <f aca="false">IFERROR(Calculations!I9,"")</f>
        <v>0</v>
      </c>
      <c r="H19" s="19" t="n">
        <f aca="false">IFERROR(Calculations!J9,"")</f>
        <v>0</v>
      </c>
    </row>
    <row r="20" customFormat="false" ht="16.5" hidden="false" customHeight="true" outlineLevel="0" collapsed="false">
      <c r="B20" s="20" t="str">
        <f aca="false">IFERROR(Calculations!D10,"")</f>
        <v>M-102</v>
      </c>
      <c r="C20" s="21" t="n">
        <f aca="false">IFERROR(Calculations!E10,"")</f>
        <v>0</v>
      </c>
      <c r="D20" s="22" t="n">
        <f aca="false">IFERROR(Calculations!F10,"")</f>
        <v>0</v>
      </c>
      <c r="F20" s="20" t="str">
        <f aca="false">IFERROR(Calculations!H10,"")</f>
        <v>Overheating</v>
      </c>
      <c r="G20" s="21" t="n">
        <f aca="false">IFERROR(Calculations!I10,"")</f>
        <v>0</v>
      </c>
      <c r="H20" s="22" t="n">
        <f aca="false">IFERROR(Calculations!J10,"")</f>
        <v>0</v>
      </c>
    </row>
    <row r="21" customFormat="false" ht="18" hidden="false" customHeight="true" outlineLevel="0" collapsed="false"/>
    <row r="22" customFormat="false" ht="18" hidden="false" customHeight="true" outlineLevel="0" collapsed="false"/>
    <row r="23" customFormat="false" ht="18" hidden="false" customHeight="true" outlineLevel="0" collapsed="false"/>
    <row r="24" customFormat="false" ht="18" hidden="false" customHeight="true" outlineLevel="0" collapsed="false"/>
    <row r="25" customFormat="false" ht="18" hidden="false" customHeight="true" outlineLevel="0" collapsed="false"/>
    <row r="26" customFormat="false" ht="18" hidden="false" customHeight="true" outlineLevel="0" collapsed="false"/>
    <row r="27" customFormat="false" ht="18" hidden="false" customHeight="true" outlineLevel="0" collapsed="false"/>
    <row r="28" customFormat="false" ht="24" hidden="false" customHeight="true" outlineLevel="0" collapsed="false">
      <c r="B28" s="23" t="s">
        <v>40</v>
      </c>
      <c r="C28" s="23"/>
      <c r="D28" s="23"/>
      <c r="F28" s="23" t="s">
        <v>41</v>
      </c>
      <c r="G28" s="23"/>
      <c r="H28" s="23"/>
      <c r="I28" s="23"/>
      <c r="J28" s="23"/>
      <c r="K28" s="23"/>
    </row>
    <row r="29" customFormat="false" ht="18" hidden="false" customHeight="true" outlineLevel="0" collapsed="false">
      <c r="B29" s="24" t="s">
        <v>42</v>
      </c>
      <c r="C29" s="24" t="s">
        <v>37</v>
      </c>
      <c r="D29" s="24" t="s">
        <v>39</v>
      </c>
      <c r="E29" s="24" t="s">
        <v>27</v>
      </c>
      <c r="F29" s="24" t="s">
        <v>43</v>
      </c>
      <c r="G29" s="24" t="s">
        <v>27</v>
      </c>
      <c r="H29" s="24" t="s">
        <v>28</v>
      </c>
      <c r="I29" s="24" t="s">
        <v>44</v>
      </c>
      <c r="J29" s="24" t="s">
        <v>45</v>
      </c>
      <c r="K29" s="24" t="s">
        <v>23</v>
      </c>
    </row>
    <row r="30" customFormat="false" ht="16.5" hidden="false" customHeight="true" outlineLevel="0" collapsed="false">
      <c r="B30" s="25" t="str">
        <f aca="false">IFERROR(Calculations!M3,"")</f>
        <v/>
      </c>
      <c r="C30" s="17" t="str">
        <f aca="false">IFERROR(Calculations!N3,"")</f>
        <v/>
      </c>
      <c r="D30" s="26" t="str">
        <f aca="false">IFERROR(Calculations!O3,"")</f>
        <v/>
      </c>
      <c r="E30" s="18" t="str">
        <f aca="false">IFERROR(Calculations!P3,"")</f>
        <v/>
      </c>
      <c r="F30" s="26" t="str">
        <f aca="false">IFERROR(Calculations!T3,"")</f>
        <v>Jan</v>
      </c>
      <c r="G30" s="18" t="n">
        <f aca="false">IFERROR(Calculations!U3,"")</f>
        <v>0</v>
      </c>
      <c r="H30" s="27" t="n">
        <f aca="false">IFERROR(Calculations!V3,"")</f>
        <v>0</v>
      </c>
      <c r="I30" s="18" t="n">
        <f aca="false">IFERROR(Calculations!W3,"")</f>
        <v>0</v>
      </c>
      <c r="J30" s="18" t="n">
        <f aca="false">IFERROR(Calculations!X3,"")</f>
        <v>0</v>
      </c>
      <c r="K30" s="19" t="n">
        <f aca="false">IFERROR(Calculations!Y3,"")</f>
        <v>0.8075</v>
      </c>
    </row>
    <row r="31" customFormat="false" ht="16.5" hidden="false" customHeight="true" outlineLevel="0" collapsed="false">
      <c r="B31" s="28" t="str">
        <f aca="false">IFERROR(Calculations!M4,"")</f>
        <v/>
      </c>
      <c r="C31" s="20" t="str">
        <f aca="false">IFERROR(Calculations!N4,"")</f>
        <v/>
      </c>
      <c r="D31" s="29" t="str">
        <f aca="false">IFERROR(Calculations!O4,"")</f>
        <v/>
      </c>
      <c r="E31" s="21" t="str">
        <f aca="false">IFERROR(Calculations!P4,"")</f>
        <v/>
      </c>
      <c r="F31" s="29" t="str">
        <f aca="false">IFERROR(Calculations!T4,"")</f>
        <v>Feb</v>
      </c>
      <c r="G31" s="21" t="n">
        <f aca="false">IFERROR(Calculations!U4,"")</f>
        <v>0</v>
      </c>
      <c r="H31" s="30" t="n">
        <f aca="false">IFERROR(Calculations!V4,"")</f>
        <v>0</v>
      </c>
      <c r="I31" s="21" t="n">
        <f aca="false">IFERROR(Calculations!W4,"")</f>
        <v>0</v>
      </c>
      <c r="J31" s="21" t="n">
        <f aca="false">IFERROR(Calculations!X4,"")</f>
        <v>0</v>
      </c>
      <c r="K31" s="22" t="n">
        <f aca="false">IFERROR(Calculations!Y4,"")</f>
        <v>0.8075</v>
      </c>
    </row>
    <row r="32" customFormat="false" ht="16.5" hidden="false" customHeight="true" outlineLevel="0" collapsed="false">
      <c r="B32" s="25" t="str">
        <f aca="false">IFERROR(Calculations!M5,"")</f>
        <v/>
      </c>
      <c r="C32" s="17" t="str">
        <f aca="false">IFERROR(Calculations!N5,"")</f>
        <v/>
      </c>
      <c r="D32" s="26" t="str">
        <f aca="false">IFERROR(Calculations!O5,"")</f>
        <v/>
      </c>
      <c r="E32" s="18" t="str">
        <f aca="false">IFERROR(Calculations!P5,"")</f>
        <v/>
      </c>
      <c r="F32" s="26" t="str">
        <f aca="false">IFERROR(Calculations!T5,"")</f>
        <v>Mar</v>
      </c>
      <c r="G32" s="18" t="n">
        <f aca="false">IFERROR(Calculations!U5,"")</f>
        <v>0</v>
      </c>
      <c r="H32" s="27" t="n">
        <f aca="false">IFERROR(Calculations!V5,"")</f>
        <v>0</v>
      </c>
      <c r="I32" s="18" t="n">
        <f aca="false">IFERROR(Calculations!W5,"")</f>
        <v>0</v>
      </c>
      <c r="J32" s="18" t="n">
        <f aca="false">IFERROR(Calculations!X5,"")</f>
        <v>0</v>
      </c>
      <c r="K32" s="19" t="n">
        <f aca="false">IFERROR(Calculations!Y5,"")</f>
        <v>0.8075</v>
      </c>
    </row>
    <row r="33" customFormat="false" ht="16.5" hidden="false" customHeight="true" outlineLevel="0" collapsed="false">
      <c r="B33" s="28" t="str">
        <f aca="false">IFERROR(Calculations!M6,"")</f>
        <v/>
      </c>
      <c r="C33" s="20" t="str">
        <f aca="false">IFERROR(Calculations!N6,"")</f>
        <v/>
      </c>
      <c r="D33" s="29" t="str">
        <f aca="false">IFERROR(Calculations!O6,"")</f>
        <v/>
      </c>
      <c r="E33" s="21" t="str">
        <f aca="false">IFERROR(Calculations!P6,"")</f>
        <v/>
      </c>
      <c r="F33" s="29" t="str">
        <f aca="false">IFERROR(Calculations!T6,"")</f>
        <v>Apr</v>
      </c>
      <c r="G33" s="21" t="n">
        <f aca="false">IFERROR(Calculations!U6,"")</f>
        <v>0</v>
      </c>
      <c r="H33" s="30" t="n">
        <f aca="false">IFERROR(Calculations!V6,"")</f>
        <v>0</v>
      </c>
      <c r="I33" s="21" t="n">
        <f aca="false">IFERROR(Calculations!W6,"")</f>
        <v>0</v>
      </c>
      <c r="J33" s="21" t="n">
        <f aca="false">IFERROR(Calculations!X6,"")</f>
        <v>0</v>
      </c>
      <c r="K33" s="22" t="n">
        <f aca="false">IFERROR(Calculations!Y6,"")</f>
        <v>0.8075</v>
      </c>
    </row>
    <row r="34" customFormat="false" ht="16.5" hidden="false" customHeight="true" outlineLevel="0" collapsed="false">
      <c r="B34" s="25" t="str">
        <f aca="false">IFERROR(Calculations!M7,"")</f>
        <v/>
      </c>
      <c r="C34" s="17" t="str">
        <f aca="false">IFERROR(Calculations!N7,"")</f>
        <v/>
      </c>
      <c r="D34" s="26" t="str">
        <f aca="false">IFERROR(Calculations!O7,"")</f>
        <v/>
      </c>
      <c r="E34" s="18" t="str">
        <f aca="false">IFERROR(Calculations!P7,"")</f>
        <v/>
      </c>
      <c r="F34" s="26" t="str">
        <f aca="false">IFERROR(Calculations!T7,"")</f>
        <v>May</v>
      </c>
      <c r="G34" s="18" t="n">
        <f aca="false">IFERROR(Calculations!U7,"")</f>
        <v>0</v>
      </c>
      <c r="H34" s="27" t="n">
        <f aca="false">IFERROR(Calculations!V7,"")</f>
        <v>0</v>
      </c>
      <c r="I34" s="18" t="n">
        <f aca="false">IFERROR(Calculations!W7,"")</f>
        <v>0</v>
      </c>
      <c r="J34" s="18" t="n">
        <f aca="false">IFERROR(Calculations!X7,"")</f>
        <v>0</v>
      </c>
      <c r="K34" s="19" t="n">
        <f aca="false">IFERROR(Calculations!Y7,"")</f>
        <v>0.8075</v>
      </c>
    </row>
    <row r="35" customFormat="false" ht="16.5" hidden="false" customHeight="true" outlineLevel="0" collapsed="false">
      <c r="B35" s="28" t="str">
        <f aca="false">IFERROR(Calculations!M8,"")</f>
        <v/>
      </c>
      <c r="C35" s="20" t="str">
        <f aca="false">IFERROR(Calculations!N8,"")</f>
        <v/>
      </c>
      <c r="D35" s="29" t="str">
        <f aca="false">IFERROR(Calculations!O8,"")</f>
        <v/>
      </c>
      <c r="E35" s="21" t="str">
        <f aca="false">IFERROR(Calculations!P8,"")</f>
        <v/>
      </c>
      <c r="F35" s="29" t="str">
        <f aca="false">IFERROR(Calculations!T8,"")</f>
        <v>Jun</v>
      </c>
      <c r="G35" s="21" t="n">
        <f aca="false">IFERROR(Calculations!U8,"")</f>
        <v>0</v>
      </c>
      <c r="H35" s="30" t="n">
        <f aca="false">IFERROR(Calculations!V8,"")</f>
        <v>0</v>
      </c>
      <c r="I35" s="21" t="n">
        <f aca="false">IFERROR(Calculations!W8,"")</f>
        <v>0</v>
      </c>
      <c r="J35" s="21" t="n">
        <f aca="false">IFERROR(Calculations!X8,"")</f>
        <v>0</v>
      </c>
      <c r="K35" s="22" t="n">
        <f aca="false">IFERROR(Calculations!Y8,"")</f>
        <v>0.8075</v>
      </c>
    </row>
    <row r="36" customFormat="false" ht="16.5" hidden="false" customHeight="true" outlineLevel="0" collapsed="false">
      <c r="B36" s="25" t="str">
        <f aca="false">IFERROR(Calculations!M9,"")</f>
        <v/>
      </c>
      <c r="C36" s="17" t="str">
        <f aca="false">IFERROR(Calculations!N9,"")</f>
        <v/>
      </c>
      <c r="D36" s="26" t="str">
        <f aca="false">IFERROR(Calculations!O9,"")</f>
        <v/>
      </c>
      <c r="E36" s="18" t="str">
        <f aca="false">IFERROR(Calculations!P9,"")</f>
        <v/>
      </c>
      <c r="F36" s="26" t="str">
        <f aca="false">IFERROR(Calculations!T9,"")</f>
        <v>Jul</v>
      </c>
      <c r="G36" s="18" t="n">
        <f aca="false">IFERROR(Calculations!U9,"")</f>
        <v>0</v>
      </c>
      <c r="H36" s="27" t="n">
        <f aca="false">IFERROR(Calculations!V9,"")</f>
        <v>0</v>
      </c>
      <c r="I36" s="18" t="n">
        <f aca="false">IFERROR(Calculations!W9,"")</f>
        <v>0</v>
      </c>
      <c r="J36" s="18" t="n">
        <f aca="false">IFERROR(Calculations!X9,"")</f>
        <v>0</v>
      </c>
      <c r="K36" s="19" t="n">
        <f aca="false">IFERROR(Calculations!Y9,"")</f>
        <v>0.8075</v>
      </c>
    </row>
    <row r="37" customFormat="false" ht="16.5" hidden="false" customHeight="true" outlineLevel="0" collapsed="false">
      <c r="B37" s="28" t="str">
        <f aca="false">IFERROR(Calculations!M10,"")</f>
        <v/>
      </c>
      <c r="C37" s="20" t="str">
        <f aca="false">IFERROR(Calculations!N10,"")</f>
        <v/>
      </c>
      <c r="D37" s="29" t="str">
        <f aca="false">IFERROR(Calculations!O10,"")</f>
        <v/>
      </c>
      <c r="E37" s="21" t="str">
        <f aca="false">IFERROR(Calculations!P10,"")</f>
        <v/>
      </c>
      <c r="F37" s="29" t="str">
        <f aca="false">IFERROR(Calculations!T10,"")</f>
        <v>Aug</v>
      </c>
      <c r="G37" s="21" t="n">
        <f aca="false">IFERROR(Calculations!U10,"")</f>
        <v>0</v>
      </c>
      <c r="H37" s="30" t="n">
        <f aca="false">IFERROR(Calculations!V10,"")</f>
        <v>0</v>
      </c>
      <c r="I37" s="21" t="n">
        <f aca="false">IFERROR(Calculations!W10,"")</f>
        <v>0</v>
      </c>
      <c r="J37" s="21" t="n">
        <f aca="false">IFERROR(Calculations!X10,"")</f>
        <v>0</v>
      </c>
      <c r="K37" s="22" t="n">
        <f aca="false">IFERROR(Calculations!Y10,"")</f>
        <v>0.8075</v>
      </c>
    </row>
    <row r="38" customFormat="false" ht="16.5" hidden="false" customHeight="true" outlineLevel="0" collapsed="false">
      <c r="B38" s="25" t="str">
        <f aca="false">IFERROR(Calculations!M11,"")</f>
        <v/>
      </c>
      <c r="C38" s="17" t="str">
        <f aca="false">IFERROR(Calculations!N11,"")</f>
        <v/>
      </c>
      <c r="D38" s="26" t="str">
        <f aca="false">IFERROR(Calculations!O11,"")</f>
        <v/>
      </c>
      <c r="E38" s="18" t="str">
        <f aca="false">IFERROR(Calculations!P11,"")</f>
        <v/>
      </c>
      <c r="F38" s="26" t="str">
        <f aca="false">IFERROR(Calculations!T11,"")</f>
        <v>Sep</v>
      </c>
      <c r="G38" s="18" t="n">
        <f aca="false">IFERROR(Calculations!U11,"")</f>
        <v>0</v>
      </c>
      <c r="H38" s="27" t="n">
        <f aca="false">IFERROR(Calculations!V11,"")</f>
        <v>0</v>
      </c>
      <c r="I38" s="18" t="n">
        <f aca="false">IFERROR(Calculations!W11,"")</f>
        <v>0</v>
      </c>
      <c r="J38" s="18" t="n">
        <f aca="false">IFERROR(Calculations!X11,"")</f>
        <v>0</v>
      </c>
      <c r="K38" s="19" t="n">
        <f aca="false">IFERROR(Calculations!Y11,"")</f>
        <v>0.8075</v>
      </c>
    </row>
    <row r="39" customFormat="false" ht="16.5" hidden="false" customHeight="true" outlineLevel="0" collapsed="false">
      <c r="B39" s="28" t="str">
        <f aca="false">IFERROR(Calculations!M12,"")</f>
        <v/>
      </c>
      <c r="C39" s="20" t="str">
        <f aca="false">IFERROR(Calculations!N12,"")</f>
        <v/>
      </c>
      <c r="D39" s="29" t="str">
        <f aca="false">IFERROR(Calculations!O12,"")</f>
        <v/>
      </c>
      <c r="E39" s="21" t="str">
        <f aca="false">IFERROR(Calculations!P12,"")</f>
        <v/>
      </c>
      <c r="F39" s="29" t="str">
        <f aca="false">IFERROR(Calculations!T12,"")</f>
        <v>Oct</v>
      </c>
      <c r="G39" s="21" t="n">
        <f aca="false">IFERROR(Calculations!U12,"")</f>
        <v>0</v>
      </c>
      <c r="H39" s="30" t="n">
        <f aca="false">IFERROR(Calculations!V12,"")</f>
        <v>0</v>
      </c>
      <c r="I39" s="21" t="n">
        <f aca="false">IFERROR(Calculations!W12,"")</f>
        <v>0</v>
      </c>
      <c r="J39" s="21" t="n">
        <f aca="false">IFERROR(Calculations!X12,"")</f>
        <v>0</v>
      </c>
      <c r="K39" s="22" t="n">
        <f aca="false">IFERROR(Calculations!Y12,"")</f>
        <v>0.8075</v>
      </c>
    </row>
    <row r="40" customFormat="false" ht="18" hidden="false" customHeight="true" outlineLevel="0" collapsed="false">
      <c r="F40" s="26" t="str">
        <f aca="false">IFERROR(Calculations!T13,"")</f>
        <v>Nov</v>
      </c>
      <c r="G40" s="18" t="n">
        <f aca="false">IFERROR(Calculations!U13,"")</f>
        <v>0</v>
      </c>
      <c r="H40" s="27" t="n">
        <f aca="false">IFERROR(Calculations!V13,"")</f>
        <v>0</v>
      </c>
      <c r="I40" s="18" t="n">
        <f aca="false">IFERROR(Calculations!W13,"")</f>
        <v>0</v>
      </c>
      <c r="J40" s="18" t="n">
        <f aca="false">IFERROR(Calculations!X13,"")</f>
        <v>0</v>
      </c>
      <c r="K40" s="19" t="n">
        <f aca="false">IFERROR(Calculations!Y13,"")</f>
        <v>0.8075</v>
      </c>
    </row>
    <row r="41" customFormat="false" ht="18" hidden="false" customHeight="true" outlineLevel="0" collapsed="false">
      <c r="F41" s="29" t="str">
        <f aca="false">IFERROR(Calculations!T14,"")</f>
        <v>Dec</v>
      </c>
      <c r="G41" s="21" t="n">
        <f aca="false">IFERROR(Calculations!U14,"")</f>
        <v>0</v>
      </c>
      <c r="H41" s="30" t="n">
        <f aca="false">IFERROR(Calculations!V14,"")</f>
        <v>100</v>
      </c>
      <c r="I41" s="21" t="n">
        <f aca="false">IFERROR(Calculations!W14,"")</f>
        <v>7</v>
      </c>
      <c r="J41" s="21" t="n">
        <f aca="false">IFERROR(Calculations!X14,"")</f>
        <v>0</v>
      </c>
      <c r="K41" s="22" t="n">
        <f aca="false">IFERROR(Calculations!Y14,"")</f>
        <v>0.8075</v>
      </c>
    </row>
    <row r="42" customFormat="false" ht="18" hidden="false" customHeight="true" outlineLevel="0" collapsed="false"/>
    <row r="43" customFormat="false" ht="18" hidden="false" customHeight="true" outlineLevel="0" collapsed="false"/>
    <row r="44" customFormat="false" ht="18" hidden="false" customHeight="true" outlineLevel="0" collapsed="false"/>
    <row r="45" customFormat="false" ht="18" hidden="false" customHeight="true" outlineLevel="0" collapsed="false"/>
    <row r="46" customFormat="false" ht="18" hidden="false" customHeight="true" outlineLevel="0" collapsed="false"/>
    <row r="47" customFormat="false" ht="18" hidden="false" customHeight="true" outlineLevel="0" collapsed="false"/>
    <row r="48" customFormat="false" ht="18" hidden="false" customHeight="true" outlineLevel="0" collapsed="false"/>
    <row r="49" customFormat="false" ht="18" hidden="false" customHeight="true" outlineLevel="0" collapsed="false"/>
    <row r="50" customFormat="false" ht="18" hidden="false" customHeight="true" outlineLevel="0" collapsed="false"/>
    <row r="51" customFormat="false" ht="18" hidden="false" customHeight="true" outlineLevel="0" collapsed="false"/>
    <row r="52" customFormat="false" ht="18" hidden="false" customHeight="true" outlineLevel="0" collapsed="false"/>
    <row r="53" customFormat="false" ht="18" hidden="false" customHeight="true" outlineLevel="0" collapsed="false"/>
    <row r="54" customFormat="false" ht="18" hidden="false" customHeight="true" outlineLevel="0" collapsed="false"/>
    <row r="55" customFormat="false" ht="18" hidden="false" customHeight="true" outlineLevel="0" collapsed="false"/>
    <row r="56" customFormat="false" ht="18" hidden="false" customHeight="true" outlineLevel="0" collapsed="false"/>
    <row r="57" customFormat="false" ht="18" hidden="false" customHeight="true" outlineLevel="0" collapsed="false"/>
    <row r="58" customFormat="false" ht="18" hidden="false" customHeight="true" outlineLevel="0" collapsed="false"/>
    <row r="59" customFormat="false" ht="18" hidden="false" customHeight="true" outlineLevel="0" collapsed="false"/>
    <row r="60" customFormat="false" ht="18" hidden="false" customHeight="true" outlineLevel="0" collapsed="false"/>
    <row r="61" customFormat="false" ht="18" hidden="false" customHeight="true" outlineLevel="0" collapsed="false"/>
    <row r="62" customFormat="false" ht="18" hidden="false" customHeight="true" outlineLevel="0" collapsed="false"/>
    <row r="63" customFormat="false" ht="18" hidden="false" customHeight="true" outlineLevel="0" collapsed="false"/>
    <row r="64" customFormat="false" ht="18" hidden="false" customHeight="true" outlineLevel="0" collapsed="false"/>
    <row r="65" customFormat="false" ht="18" hidden="false" customHeight="true" outlineLevel="0" collapsed="false"/>
    <row r="66" customFormat="false" ht="18" hidden="false" customHeight="true" outlineLevel="0" collapsed="false"/>
    <row r="67" customFormat="false" ht="18" hidden="false" customHeight="true" outlineLevel="0" collapsed="false"/>
    <row r="68" customFormat="false" ht="18" hidden="false" customHeight="true" outlineLevel="0" collapsed="false"/>
    <row r="69" customFormat="false" ht="18" hidden="false" customHeight="true" outlineLevel="0" collapsed="false"/>
    <row r="70" customFormat="false" ht="18" hidden="false" customHeight="true" outlineLevel="0" collapsed="false"/>
    <row r="71" customFormat="false" ht="18" hidden="false" customHeight="true" outlineLevel="0" collapsed="false"/>
    <row r="72" customFormat="false" ht="18" hidden="false" customHeight="true" outlineLevel="0" collapsed="false"/>
    <row r="73" customFormat="false" ht="18" hidden="false" customHeight="true" outlineLevel="0" collapsed="false"/>
    <row r="74" customFormat="false" ht="18" hidden="false" customHeight="true" outlineLevel="0" collapsed="false"/>
    <row r="75" customFormat="false" ht="18" hidden="false" customHeight="true" outlineLevel="0" collapsed="false"/>
    <row r="76" customFormat="false" ht="18" hidden="false" customHeight="true" outlineLevel="0" collapsed="false"/>
    <row r="77" customFormat="false" ht="18" hidden="false" customHeight="true" outlineLevel="0" collapsed="false"/>
    <row r="78" customFormat="false" ht="18" hidden="false" customHeight="true" outlineLevel="0" collapsed="false"/>
    <row r="79" customFormat="false" ht="18" hidden="false" customHeight="true" outlineLevel="0" collapsed="false"/>
    <row r="80" customFormat="false" ht="18" hidden="false" customHeight="true" outlineLevel="0" collapsed="false"/>
    <row r="81" customFormat="false" ht="18" hidden="false" customHeight="true" outlineLevel="0" collapsed="false"/>
    <row r="82" customFormat="false" ht="18" hidden="false" customHeight="true" outlineLevel="0" collapsed="false"/>
    <row r="83" customFormat="false" ht="18" hidden="false" customHeight="true" outlineLevel="0" collapsed="false"/>
    <row r="84" customFormat="false" ht="18" hidden="false" customHeight="true" outlineLevel="0" collapsed="false"/>
    <row r="85" customFormat="false" ht="18" hidden="false" customHeight="true" outlineLevel="0" collapsed="false"/>
    <row r="86" customFormat="false" ht="18" hidden="false" customHeight="true" outlineLevel="0" collapsed="false"/>
    <row r="87" customFormat="false" ht="18" hidden="false" customHeight="true" outlineLevel="0" collapsed="false"/>
    <row r="88" customFormat="false" ht="18" hidden="false" customHeight="true" outlineLevel="0" collapsed="false"/>
    <row r="89" customFormat="false" ht="18" hidden="false" customHeight="true" outlineLevel="0" collapsed="false"/>
  </sheetData>
  <mergeCells count="5">
    <mergeCell ref="B2:K2"/>
    <mergeCell ref="B11:D11"/>
    <mergeCell ref="F11:H11"/>
    <mergeCell ref="B28:D28"/>
    <mergeCell ref="F28:K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18D"/>
    <pageSetUpPr fitToPage="false"/>
  </sheetPr>
  <dimension ref="A1:M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
    <col collapsed="false" customWidth="true" hidden="false" outlineLevel="0" max="2" min="2" style="1" width="13"/>
    <col collapsed="false" customWidth="true" hidden="false" outlineLevel="0" max="4" min="3" style="1" width="22"/>
    <col collapsed="false" customWidth="true" hidden="false" outlineLevel="0" max="6" min="5" style="1" width="10"/>
    <col collapsed="false" customWidth="true" hidden="false" outlineLevel="0" max="7" min="7" style="1" width="12"/>
    <col collapsed="false" customWidth="true" hidden="false" outlineLevel="0" max="8" min="8" style="1" width="16"/>
    <col collapsed="false" customWidth="true" hidden="false" outlineLevel="0" max="9" min="9" style="1" width="22"/>
    <col collapsed="false" customWidth="true" hidden="false" outlineLevel="0" max="11" min="10" style="1" width="18"/>
    <col collapsed="false" customWidth="true" hidden="false" outlineLevel="0" max="12" min="12" style="1" width="20"/>
    <col collapsed="false" customWidth="true" hidden="false" outlineLevel="0" max="13" min="13" style="1" width="1"/>
  </cols>
  <sheetData>
    <row r="1" customFormat="false" ht="7.5" hidden="false" customHeight="true" outlineLevel="0" collapsed="false"/>
    <row r="2" customFormat="false" ht="36" hidden="false" customHeight="true" outlineLevel="0" collapsed="false">
      <c r="A2" s="2"/>
      <c r="B2" s="31" t="s">
        <v>46</v>
      </c>
      <c r="C2" s="31"/>
      <c r="D2" s="31"/>
      <c r="E2" s="31"/>
      <c r="F2" s="31"/>
      <c r="G2" s="31"/>
      <c r="H2" s="31"/>
      <c r="I2" s="31"/>
      <c r="J2" s="31"/>
      <c r="K2" s="31"/>
      <c r="L2" s="31"/>
      <c r="M2" s="2"/>
    </row>
    <row r="3" customFormat="false" ht="19.5" hidden="false" customHeight="true" outlineLevel="0" collapsed="false">
      <c r="B3" s="32" t="s">
        <v>47</v>
      </c>
      <c r="C3" s="32"/>
      <c r="D3" s="32"/>
      <c r="E3" s="32"/>
      <c r="F3" s="32"/>
      <c r="G3" s="32"/>
      <c r="H3" s="32"/>
      <c r="I3" s="32"/>
      <c r="J3" s="32"/>
      <c r="K3" s="32"/>
      <c r="L3" s="32"/>
    </row>
    <row r="4" customFormat="false" ht="27.75" hidden="false" customHeight="true" outlineLevel="0" collapsed="false">
      <c r="B4" s="33" t="s">
        <v>42</v>
      </c>
      <c r="C4" s="33" t="s">
        <v>48</v>
      </c>
      <c r="D4" s="33" t="s">
        <v>49</v>
      </c>
      <c r="E4" s="33" t="s">
        <v>50</v>
      </c>
      <c r="F4" s="33" t="s">
        <v>51</v>
      </c>
      <c r="G4" s="33" t="s">
        <v>52</v>
      </c>
      <c r="H4" s="33" t="s">
        <v>53</v>
      </c>
      <c r="I4" s="33" t="s">
        <v>39</v>
      </c>
      <c r="J4" s="33" t="s">
        <v>54</v>
      </c>
      <c r="K4" s="33" t="s">
        <v>55</v>
      </c>
      <c r="L4" s="33" t="s">
        <v>56</v>
      </c>
    </row>
    <row r="5" customFormat="false" ht="18" hidden="false" customHeight="true" outlineLevel="0" collapsed="false">
      <c r="B5" s="34"/>
      <c r="C5" s="35"/>
      <c r="D5" s="35"/>
      <c r="E5" s="36"/>
      <c r="F5" s="37"/>
      <c r="G5" s="37"/>
      <c r="H5" s="38" t="str">
        <f aca="false">IFERROR(IF(AND(F5&lt;&gt;"",G5&lt;&gt;""),IF(G5&gt;F5,(G5-F5)*24,(1-(F5-G5))*24),""),"—")</f>
        <v/>
      </c>
      <c r="I5" s="36"/>
      <c r="J5" s="35"/>
      <c r="K5" s="35"/>
      <c r="L5" s="36"/>
    </row>
    <row r="6" customFormat="false" ht="18" hidden="false" customHeight="true" outlineLevel="0" collapsed="false">
      <c r="B6" s="34"/>
      <c r="C6" s="35"/>
      <c r="D6" s="35"/>
      <c r="E6" s="36"/>
      <c r="F6" s="37"/>
      <c r="G6" s="37"/>
      <c r="H6" s="38" t="str">
        <f aca="false">IFERROR(IF(AND(F6&lt;&gt;"",G6&lt;&gt;""),IF(G6&gt;F6,(G6-F6)*24,(1-(F6-G6))*24),""),"—")</f>
        <v/>
      </c>
      <c r="I6" s="36"/>
      <c r="J6" s="35"/>
      <c r="K6" s="35"/>
      <c r="L6" s="36"/>
    </row>
    <row r="7" customFormat="false" ht="18" hidden="false" customHeight="true" outlineLevel="0" collapsed="false">
      <c r="B7" s="34"/>
      <c r="C7" s="35"/>
      <c r="D7" s="35"/>
      <c r="E7" s="36"/>
      <c r="F7" s="37"/>
      <c r="G7" s="37"/>
      <c r="H7" s="38" t="str">
        <f aca="false">IFERROR(IF(AND(F7&lt;&gt;"",G7&lt;&gt;""),IF(G7&gt;F7,(G7-F7)*24,(1-(F7-G7))*24),""),"—")</f>
        <v/>
      </c>
      <c r="I7" s="36"/>
      <c r="J7" s="35"/>
      <c r="K7" s="35"/>
      <c r="L7" s="36"/>
    </row>
    <row r="8" customFormat="false" ht="18" hidden="false" customHeight="true" outlineLevel="0" collapsed="false">
      <c r="B8" s="34"/>
      <c r="C8" s="35"/>
      <c r="D8" s="35"/>
      <c r="E8" s="36"/>
      <c r="F8" s="37"/>
      <c r="G8" s="37"/>
      <c r="H8" s="38" t="str">
        <f aca="false">IFERROR(IF(AND(F8&lt;&gt;"",G8&lt;&gt;""),IF(G8&gt;F8,(G8-F8)*24,(1-(F8-G8))*24),""),"—")</f>
        <v/>
      </c>
      <c r="I8" s="36"/>
      <c r="J8" s="35"/>
      <c r="K8" s="35"/>
      <c r="L8" s="36"/>
    </row>
    <row r="9" customFormat="false" ht="18" hidden="false" customHeight="true" outlineLevel="0" collapsed="false">
      <c r="B9" s="34"/>
      <c r="C9" s="35"/>
      <c r="D9" s="35"/>
      <c r="E9" s="36"/>
      <c r="F9" s="37"/>
      <c r="G9" s="37"/>
      <c r="H9" s="38" t="str">
        <f aca="false">IFERROR(IF(AND(F9&lt;&gt;"",G9&lt;&gt;""),IF(G9&gt;F9,(G9-F9)*24,(1-(F9-G9))*24),""),"—")</f>
        <v/>
      </c>
      <c r="I9" s="36"/>
      <c r="J9" s="35"/>
      <c r="K9" s="35"/>
      <c r="L9" s="36"/>
    </row>
    <row r="10" customFormat="false" ht="18" hidden="false" customHeight="true" outlineLevel="0" collapsed="false">
      <c r="B10" s="34"/>
      <c r="C10" s="35"/>
      <c r="D10" s="35"/>
      <c r="E10" s="36"/>
      <c r="F10" s="37"/>
      <c r="G10" s="37"/>
      <c r="H10" s="38" t="str">
        <f aca="false">IFERROR(IF(AND(F10&lt;&gt;"",G10&lt;&gt;""),IF(G10&gt;F10,(G10-F10)*24,(1-(F10-G10))*24),""),"—")</f>
        <v/>
      </c>
      <c r="I10" s="36"/>
      <c r="J10" s="35"/>
      <c r="K10" s="35"/>
      <c r="L10" s="36"/>
    </row>
    <row r="11" customFormat="false" ht="18" hidden="false" customHeight="true" outlineLevel="0" collapsed="false">
      <c r="B11" s="34"/>
      <c r="C11" s="35"/>
      <c r="D11" s="35"/>
      <c r="E11" s="36"/>
      <c r="F11" s="37"/>
      <c r="G11" s="37"/>
      <c r="H11" s="38" t="str">
        <f aca="false">IFERROR(IF(AND(F11&lt;&gt;"",G11&lt;&gt;""),IF(G11&gt;F11,(G11-F11)*24,(1-(F11-G11))*24),""),"—")</f>
        <v/>
      </c>
      <c r="I11" s="36"/>
      <c r="J11" s="35"/>
      <c r="K11" s="35"/>
      <c r="L11" s="36"/>
    </row>
    <row r="12" customFormat="false" ht="18" hidden="false" customHeight="true" outlineLevel="0" collapsed="false">
      <c r="B12" s="34"/>
      <c r="C12" s="35"/>
      <c r="D12" s="35"/>
      <c r="E12" s="36"/>
      <c r="F12" s="37"/>
      <c r="G12" s="37"/>
      <c r="H12" s="38" t="str">
        <f aca="false">IFERROR(IF(AND(F12&lt;&gt;"",G12&lt;&gt;""),IF(G12&gt;F12,(G12-F12)*24,(1-(F12-G12))*24),""),"—")</f>
        <v/>
      </c>
      <c r="I12" s="36"/>
      <c r="J12" s="35"/>
      <c r="K12" s="35"/>
      <c r="L12" s="36"/>
    </row>
    <row r="13" customFormat="false" ht="18" hidden="false" customHeight="true" outlineLevel="0" collapsed="false">
      <c r="B13" s="34"/>
      <c r="C13" s="35"/>
      <c r="D13" s="35"/>
      <c r="E13" s="36"/>
      <c r="F13" s="37"/>
      <c r="G13" s="37"/>
      <c r="H13" s="38" t="str">
        <f aca="false">IFERROR(IF(AND(F13&lt;&gt;"",G13&lt;&gt;""),IF(G13&gt;F13,(G13-F13)*24,(1-(F13-G13))*24),""),"—")</f>
        <v/>
      </c>
      <c r="I13" s="36"/>
      <c r="J13" s="35"/>
      <c r="K13" s="35"/>
      <c r="L13" s="36"/>
    </row>
    <row r="14" customFormat="false" ht="18" hidden="false" customHeight="true" outlineLevel="0" collapsed="false">
      <c r="B14" s="34"/>
      <c r="C14" s="35"/>
      <c r="D14" s="35"/>
      <c r="E14" s="36"/>
      <c r="F14" s="37"/>
      <c r="G14" s="37"/>
      <c r="H14" s="38" t="str">
        <f aca="false">IFERROR(IF(AND(F14&lt;&gt;"",G14&lt;&gt;""),IF(G14&gt;F14,(G14-F14)*24,(1-(F14-G14))*24),""),"—")</f>
        <v/>
      </c>
      <c r="I14" s="36"/>
      <c r="J14" s="35"/>
      <c r="K14" s="35"/>
      <c r="L14" s="36"/>
    </row>
    <row r="15" customFormat="false" ht="18" hidden="false" customHeight="true" outlineLevel="0" collapsed="false">
      <c r="B15" s="34"/>
      <c r="C15" s="35"/>
      <c r="D15" s="35"/>
      <c r="E15" s="36"/>
      <c r="F15" s="37"/>
      <c r="G15" s="37"/>
      <c r="H15" s="38" t="str">
        <f aca="false">IFERROR(IF(AND(F15&lt;&gt;"",G15&lt;&gt;""),IF(G15&gt;F15,(G15-F15)*24,(1-(F15-G15))*24),""),"—")</f>
        <v/>
      </c>
      <c r="I15" s="36"/>
      <c r="J15" s="35"/>
      <c r="K15" s="35"/>
      <c r="L15" s="36"/>
    </row>
    <row r="16" customFormat="false" ht="18" hidden="false" customHeight="true" outlineLevel="0" collapsed="false">
      <c r="B16" s="34"/>
      <c r="C16" s="35"/>
      <c r="D16" s="35"/>
      <c r="E16" s="36"/>
      <c r="F16" s="37"/>
      <c r="G16" s="37"/>
      <c r="H16" s="38" t="str">
        <f aca="false">IFERROR(IF(AND(F16&lt;&gt;"",G16&lt;&gt;""),IF(G16&gt;F16,(G16-F16)*24,(1-(F16-G16))*24),""),"—")</f>
        <v/>
      </c>
      <c r="I16" s="36"/>
      <c r="J16" s="35"/>
      <c r="K16" s="35"/>
      <c r="L16" s="36"/>
    </row>
    <row r="17" customFormat="false" ht="18" hidden="false" customHeight="true" outlineLevel="0" collapsed="false">
      <c r="B17" s="34"/>
      <c r="C17" s="35"/>
      <c r="D17" s="35"/>
      <c r="E17" s="36"/>
      <c r="F17" s="37"/>
      <c r="G17" s="37"/>
      <c r="H17" s="38" t="str">
        <f aca="false">IFERROR(IF(AND(F17&lt;&gt;"",G17&lt;&gt;""),IF(G17&gt;F17,(G17-F17)*24,(1-(F17-G17))*24),""),"—")</f>
        <v/>
      </c>
      <c r="I17" s="36"/>
      <c r="J17" s="35"/>
      <c r="K17" s="35"/>
      <c r="L17" s="36"/>
    </row>
    <row r="18" customFormat="false" ht="18" hidden="false" customHeight="true" outlineLevel="0" collapsed="false">
      <c r="B18" s="34"/>
      <c r="C18" s="35"/>
      <c r="D18" s="35"/>
      <c r="E18" s="36"/>
      <c r="F18" s="37"/>
      <c r="G18" s="37"/>
      <c r="H18" s="38" t="str">
        <f aca="false">IFERROR(IF(AND(F18&lt;&gt;"",G18&lt;&gt;""),IF(G18&gt;F18,(G18-F18)*24,(1-(F18-G18))*24),""),"—")</f>
        <v/>
      </c>
      <c r="I18" s="36"/>
      <c r="J18" s="35"/>
      <c r="K18" s="35"/>
      <c r="L18" s="36"/>
    </row>
    <row r="19" customFormat="false" ht="18" hidden="false" customHeight="true" outlineLevel="0" collapsed="false">
      <c r="B19" s="34"/>
      <c r="C19" s="35"/>
      <c r="D19" s="35"/>
      <c r="E19" s="36"/>
      <c r="F19" s="37"/>
      <c r="G19" s="37"/>
      <c r="H19" s="38" t="str">
        <f aca="false">IFERROR(IF(AND(F19&lt;&gt;"",G19&lt;&gt;""),IF(G19&gt;F19,(G19-F19)*24,(1-(F19-G19))*24),""),"—")</f>
        <v/>
      </c>
      <c r="I19" s="36"/>
      <c r="J19" s="35"/>
      <c r="K19" s="35"/>
      <c r="L19" s="36"/>
    </row>
    <row r="20" customFormat="false" ht="18" hidden="false" customHeight="true" outlineLevel="0" collapsed="false">
      <c r="B20" s="34"/>
      <c r="C20" s="35"/>
      <c r="D20" s="35"/>
      <c r="E20" s="36"/>
      <c r="F20" s="37"/>
      <c r="G20" s="37"/>
      <c r="H20" s="38" t="str">
        <f aca="false">IFERROR(IF(AND(F20&lt;&gt;"",G20&lt;&gt;""),IF(G20&gt;F20,(G20-F20)*24,(1-(F20-G20))*24),""),"—")</f>
        <v/>
      </c>
      <c r="I20" s="36"/>
      <c r="J20" s="35"/>
      <c r="K20" s="35"/>
      <c r="L20" s="36"/>
    </row>
    <row r="21" customFormat="false" ht="18" hidden="false" customHeight="true" outlineLevel="0" collapsed="false">
      <c r="B21" s="34"/>
      <c r="C21" s="35"/>
      <c r="D21" s="35"/>
      <c r="E21" s="36"/>
      <c r="F21" s="37"/>
      <c r="G21" s="37"/>
      <c r="H21" s="38" t="str">
        <f aca="false">IFERROR(IF(AND(F21&lt;&gt;"",G21&lt;&gt;""),IF(G21&gt;F21,(G21-F21)*24,(1-(F21-G21))*24),""),"—")</f>
        <v/>
      </c>
      <c r="I21" s="36"/>
      <c r="J21" s="35"/>
      <c r="K21" s="35"/>
      <c r="L21" s="36"/>
    </row>
    <row r="22" customFormat="false" ht="18" hidden="false" customHeight="true" outlineLevel="0" collapsed="false">
      <c r="B22" s="34"/>
      <c r="C22" s="35"/>
      <c r="D22" s="35"/>
      <c r="E22" s="36"/>
      <c r="F22" s="37"/>
      <c r="G22" s="37"/>
      <c r="H22" s="38" t="str">
        <f aca="false">IFERROR(IF(AND(F22&lt;&gt;"",G22&lt;&gt;""),IF(G22&gt;F22,(G22-F22)*24,(1-(F22-G22))*24),""),"—")</f>
        <v/>
      </c>
      <c r="I22" s="36"/>
      <c r="J22" s="35"/>
      <c r="K22" s="35"/>
      <c r="L22" s="36"/>
    </row>
    <row r="23" customFormat="false" ht="18" hidden="false" customHeight="true" outlineLevel="0" collapsed="false">
      <c r="B23" s="34"/>
      <c r="C23" s="35"/>
      <c r="D23" s="35"/>
      <c r="E23" s="36"/>
      <c r="F23" s="37"/>
      <c r="G23" s="37"/>
      <c r="H23" s="38" t="str">
        <f aca="false">IFERROR(IF(AND(F23&lt;&gt;"",G23&lt;&gt;""),IF(G23&gt;F23,(G23-F23)*24,(1-(F23-G23))*24),""),"—")</f>
        <v/>
      </c>
      <c r="I23" s="36"/>
      <c r="J23" s="35"/>
      <c r="K23" s="35"/>
      <c r="L23" s="36"/>
    </row>
    <row r="24" customFormat="false" ht="18" hidden="false" customHeight="true" outlineLevel="0" collapsed="false">
      <c r="B24" s="34"/>
      <c r="C24" s="35"/>
      <c r="D24" s="35"/>
      <c r="E24" s="36"/>
      <c r="F24" s="37"/>
      <c r="G24" s="37"/>
      <c r="H24" s="38" t="str">
        <f aca="false">IFERROR(IF(AND(F24&lt;&gt;"",G24&lt;&gt;""),IF(G24&gt;F24,(G24-F24)*24,(1-(F24-G24))*24),""),"—")</f>
        <v/>
      </c>
      <c r="I24" s="36"/>
      <c r="J24" s="35"/>
      <c r="K24" s="35"/>
      <c r="L24" s="36"/>
    </row>
    <row r="25" customFormat="false" ht="18" hidden="false" customHeight="true" outlineLevel="0" collapsed="false">
      <c r="B25" s="34"/>
      <c r="C25" s="35"/>
      <c r="D25" s="35"/>
      <c r="E25" s="36"/>
      <c r="F25" s="37"/>
      <c r="G25" s="37"/>
      <c r="H25" s="38" t="str">
        <f aca="false">IFERROR(IF(AND(F25&lt;&gt;"",G25&lt;&gt;""),IF(G25&gt;F25,(G25-F25)*24,(1-(F25-G25))*24),""),"—")</f>
        <v/>
      </c>
      <c r="I25" s="36"/>
      <c r="J25" s="35"/>
      <c r="K25" s="35"/>
      <c r="L25" s="36"/>
    </row>
    <row r="26" customFormat="false" ht="18" hidden="false" customHeight="true" outlineLevel="0" collapsed="false">
      <c r="B26" s="34"/>
      <c r="C26" s="35"/>
      <c r="D26" s="35"/>
      <c r="E26" s="36"/>
      <c r="F26" s="37"/>
      <c r="G26" s="37"/>
      <c r="H26" s="38" t="str">
        <f aca="false">IFERROR(IF(AND(F26&lt;&gt;"",G26&lt;&gt;""),IF(G26&gt;F26,(G26-F26)*24,(1-(F26-G26))*24),""),"—")</f>
        <v/>
      </c>
      <c r="I26" s="36"/>
      <c r="J26" s="35"/>
      <c r="K26" s="35"/>
      <c r="L26" s="36"/>
    </row>
    <row r="27" customFormat="false" ht="18" hidden="false" customHeight="true" outlineLevel="0" collapsed="false">
      <c r="B27" s="34"/>
      <c r="C27" s="35"/>
      <c r="D27" s="35"/>
      <c r="E27" s="36"/>
      <c r="F27" s="37"/>
      <c r="G27" s="37"/>
      <c r="H27" s="38" t="str">
        <f aca="false">IFERROR(IF(AND(F27&lt;&gt;"",G27&lt;&gt;""),IF(G27&gt;F27,(G27-F27)*24,(1-(F27-G27))*24),""),"—")</f>
        <v/>
      </c>
      <c r="I27" s="36"/>
      <c r="J27" s="35"/>
      <c r="K27" s="35"/>
      <c r="L27" s="36"/>
    </row>
    <row r="28" customFormat="false" ht="18" hidden="false" customHeight="true" outlineLevel="0" collapsed="false">
      <c r="B28" s="34"/>
      <c r="C28" s="35"/>
      <c r="D28" s="35"/>
      <c r="E28" s="36"/>
      <c r="F28" s="37"/>
      <c r="G28" s="37"/>
      <c r="H28" s="38" t="str">
        <f aca="false">IFERROR(IF(AND(F28&lt;&gt;"",G28&lt;&gt;""),IF(G28&gt;F28,(G28-F28)*24,(1-(F28-G28))*24),""),"—")</f>
        <v/>
      </c>
      <c r="I28" s="36"/>
      <c r="J28" s="35"/>
      <c r="K28" s="35"/>
      <c r="L28" s="36"/>
    </row>
    <row r="29" customFormat="false" ht="18" hidden="false" customHeight="true" outlineLevel="0" collapsed="false">
      <c r="B29" s="34"/>
      <c r="C29" s="35"/>
      <c r="D29" s="35"/>
      <c r="E29" s="36"/>
      <c r="F29" s="37"/>
      <c r="G29" s="37"/>
      <c r="H29" s="38" t="str">
        <f aca="false">IFERROR(IF(AND(F29&lt;&gt;"",G29&lt;&gt;""),IF(G29&gt;F29,(G29-F29)*24,(1-(F29-G29))*24),""),"—")</f>
        <v/>
      </c>
      <c r="I29" s="36"/>
      <c r="J29" s="35"/>
      <c r="K29" s="35"/>
      <c r="L29" s="36"/>
    </row>
    <row r="30" customFormat="false" ht="18" hidden="false" customHeight="true" outlineLevel="0" collapsed="false">
      <c r="B30" s="34"/>
      <c r="C30" s="35"/>
      <c r="D30" s="35"/>
      <c r="E30" s="36"/>
      <c r="F30" s="37"/>
      <c r="G30" s="37"/>
      <c r="H30" s="38" t="str">
        <f aca="false">IFERROR(IF(AND(F30&lt;&gt;"",G30&lt;&gt;""),IF(G30&gt;F30,(G30-F30)*24,(1-(F30-G30))*24),""),"—")</f>
        <v/>
      </c>
      <c r="I30" s="36"/>
      <c r="J30" s="35"/>
      <c r="K30" s="35"/>
      <c r="L30" s="36"/>
    </row>
    <row r="31" customFormat="false" ht="18" hidden="false" customHeight="true" outlineLevel="0" collapsed="false">
      <c r="B31" s="34"/>
      <c r="C31" s="35"/>
      <c r="D31" s="35"/>
      <c r="E31" s="36"/>
      <c r="F31" s="37"/>
      <c r="G31" s="37"/>
      <c r="H31" s="38" t="str">
        <f aca="false">IFERROR(IF(AND(F31&lt;&gt;"",G31&lt;&gt;""),IF(G31&gt;F31,(G31-F31)*24,(1-(F31-G31))*24),""),"—")</f>
        <v/>
      </c>
      <c r="I31" s="36"/>
      <c r="J31" s="35"/>
      <c r="K31" s="35"/>
      <c r="L31" s="36"/>
    </row>
    <row r="32" customFormat="false" ht="18" hidden="false" customHeight="true" outlineLevel="0" collapsed="false">
      <c r="B32" s="34"/>
      <c r="C32" s="35"/>
      <c r="D32" s="35"/>
      <c r="E32" s="36"/>
      <c r="F32" s="37"/>
      <c r="G32" s="37"/>
      <c r="H32" s="38" t="str">
        <f aca="false">IFERROR(IF(AND(F32&lt;&gt;"",G32&lt;&gt;""),IF(G32&gt;F32,(G32-F32)*24,(1-(F32-G32))*24),""),"—")</f>
        <v/>
      </c>
      <c r="I32" s="36"/>
      <c r="J32" s="35"/>
      <c r="K32" s="35"/>
      <c r="L32" s="36"/>
    </row>
    <row r="33" customFormat="false" ht="18" hidden="false" customHeight="true" outlineLevel="0" collapsed="false">
      <c r="B33" s="34"/>
      <c r="C33" s="35"/>
      <c r="D33" s="35"/>
      <c r="E33" s="36"/>
      <c r="F33" s="37"/>
      <c r="G33" s="37"/>
      <c r="H33" s="38" t="str">
        <f aca="false">IFERROR(IF(AND(F33&lt;&gt;"",G33&lt;&gt;""),IF(G33&gt;F33,(G33-F33)*24,(1-(F33-G33))*24),""),"—")</f>
        <v/>
      </c>
      <c r="I33" s="36"/>
      <c r="J33" s="35"/>
      <c r="K33" s="35"/>
      <c r="L33" s="36"/>
    </row>
    <row r="34" customFormat="false" ht="18" hidden="false" customHeight="true" outlineLevel="0" collapsed="false">
      <c r="B34" s="34"/>
      <c r="C34" s="35"/>
      <c r="D34" s="35"/>
      <c r="E34" s="36"/>
      <c r="F34" s="37"/>
      <c r="G34" s="37"/>
      <c r="H34" s="38" t="str">
        <f aca="false">IFERROR(IF(AND(F34&lt;&gt;"",G34&lt;&gt;""),IF(G34&gt;F34,(G34-F34)*24,(1-(F34-G34))*24),""),"—")</f>
        <v/>
      </c>
      <c r="I34" s="36"/>
      <c r="J34" s="35"/>
      <c r="K34" s="35"/>
      <c r="L34" s="36"/>
    </row>
    <row r="35" customFormat="false" ht="18" hidden="false" customHeight="true" outlineLevel="0" collapsed="false">
      <c r="B35" s="34"/>
      <c r="C35" s="35"/>
      <c r="D35" s="35"/>
      <c r="E35" s="36"/>
      <c r="F35" s="37"/>
      <c r="G35" s="37"/>
      <c r="H35" s="38" t="str">
        <f aca="false">IFERROR(IF(AND(F35&lt;&gt;"",G35&lt;&gt;""),IF(G35&gt;F35,(G35-F35)*24,(1-(F35-G35))*24),""),"—")</f>
        <v/>
      </c>
      <c r="I35" s="36"/>
      <c r="J35" s="35"/>
      <c r="K35" s="35"/>
      <c r="L35" s="36"/>
    </row>
    <row r="36" customFormat="false" ht="18" hidden="false" customHeight="true" outlineLevel="0" collapsed="false">
      <c r="B36" s="34"/>
      <c r="C36" s="35"/>
      <c r="D36" s="35"/>
      <c r="E36" s="36"/>
      <c r="F36" s="37"/>
      <c r="G36" s="37"/>
      <c r="H36" s="38" t="str">
        <f aca="false">IFERROR(IF(AND(F36&lt;&gt;"",G36&lt;&gt;""),IF(G36&gt;F36,(G36-F36)*24,(1-(F36-G36))*24),""),"—")</f>
        <v/>
      </c>
      <c r="I36" s="36"/>
      <c r="J36" s="35"/>
      <c r="K36" s="35"/>
      <c r="L36" s="36"/>
    </row>
    <row r="37" customFormat="false" ht="18" hidden="false" customHeight="true" outlineLevel="0" collapsed="false">
      <c r="B37" s="34"/>
      <c r="C37" s="35"/>
      <c r="D37" s="35"/>
      <c r="E37" s="36"/>
      <c r="F37" s="37"/>
      <c r="G37" s="37"/>
      <c r="H37" s="38" t="str">
        <f aca="false">IFERROR(IF(AND(F37&lt;&gt;"",G37&lt;&gt;""),IF(G37&gt;F37,(G37-F37)*24,(1-(F37-G37))*24),""),"—")</f>
        <v/>
      </c>
      <c r="I37" s="36"/>
      <c r="J37" s="35"/>
      <c r="K37" s="35"/>
      <c r="L37" s="36"/>
    </row>
    <row r="38" customFormat="false" ht="18" hidden="false" customHeight="true" outlineLevel="0" collapsed="false">
      <c r="B38" s="34"/>
      <c r="C38" s="35"/>
      <c r="D38" s="35"/>
      <c r="E38" s="36"/>
      <c r="F38" s="37"/>
      <c r="G38" s="37"/>
      <c r="H38" s="38" t="str">
        <f aca="false">IFERROR(IF(AND(F38&lt;&gt;"",G38&lt;&gt;""),IF(G38&gt;F38,(G38-F38)*24,(1-(F38-G38))*24),""),"—")</f>
        <v/>
      </c>
      <c r="I38" s="36"/>
      <c r="J38" s="35"/>
      <c r="K38" s="35"/>
      <c r="L38" s="36"/>
    </row>
    <row r="39" customFormat="false" ht="18" hidden="false" customHeight="true" outlineLevel="0" collapsed="false">
      <c r="B39" s="34"/>
      <c r="C39" s="35"/>
      <c r="D39" s="35"/>
      <c r="E39" s="36"/>
      <c r="F39" s="37"/>
      <c r="G39" s="37"/>
      <c r="H39" s="38" t="str">
        <f aca="false">IFERROR(IF(AND(F39&lt;&gt;"",G39&lt;&gt;""),IF(G39&gt;F39,(G39-F39)*24,(1-(F39-G39))*24),""),"—")</f>
        <v/>
      </c>
      <c r="I39" s="36"/>
      <c r="J39" s="35"/>
      <c r="K39" s="35"/>
      <c r="L39" s="36"/>
    </row>
    <row r="40" customFormat="false" ht="18" hidden="false" customHeight="true" outlineLevel="0" collapsed="false">
      <c r="B40" s="34"/>
      <c r="C40" s="35"/>
      <c r="D40" s="35"/>
      <c r="E40" s="36"/>
      <c r="F40" s="37"/>
      <c r="G40" s="37"/>
      <c r="H40" s="38" t="str">
        <f aca="false">IFERROR(IF(AND(F40&lt;&gt;"",G40&lt;&gt;""),IF(G40&gt;F40,(G40-F40)*24,(1-(F40-G40))*24),""),"—")</f>
        <v/>
      </c>
      <c r="I40" s="36"/>
      <c r="J40" s="35"/>
      <c r="K40" s="35"/>
      <c r="L40" s="36"/>
    </row>
    <row r="41" customFormat="false" ht="18" hidden="false" customHeight="true" outlineLevel="0" collapsed="false">
      <c r="B41" s="34"/>
      <c r="C41" s="35"/>
      <c r="D41" s="35"/>
      <c r="E41" s="36"/>
      <c r="F41" s="37"/>
      <c r="G41" s="37"/>
      <c r="H41" s="38" t="str">
        <f aca="false">IFERROR(IF(AND(F41&lt;&gt;"",G41&lt;&gt;""),IF(G41&gt;F41,(G41-F41)*24,(1-(F41-G41))*24),""),"—")</f>
        <v/>
      </c>
      <c r="I41" s="36"/>
      <c r="J41" s="35"/>
      <c r="K41" s="35"/>
      <c r="L41" s="36"/>
    </row>
    <row r="42" customFormat="false" ht="18" hidden="false" customHeight="true" outlineLevel="0" collapsed="false">
      <c r="B42" s="34"/>
      <c r="C42" s="35"/>
      <c r="D42" s="35"/>
      <c r="E42" s="36"/>
      <c r="F42" s="37"/>
      <c r="G42" s="37"/>
      <c r="H42" s="38" t="str">
        <f aca="false">IFERROR(IF(AND(F42&lt;&gt;"",G42&lt;&gt;""),IF(G42&gt;F42,(G42-F42)*24,(1-(F42-G42))*24),""),"—")</f>
        <v/>
      </c>
      <c r="I42" s="36"/>
      <c r="J42" s="35"/>
      <c r="K42" s="35"/>
      <c r="L42" s="36"/>
    </row>
    <row r="43" customFormat="false" ht="18" hidden="false" customHeight="true" outlineLevel="0" collapsed="false">
      <c r="B43" s="34"/>
      <c r="C43" s="35"/>
      <c r="D43" s="35"/>
      <c r="E43" s="36"/>
      <c r="F43" s="37"/>
      <c r="G43" s="37"/>
      <c r="H43" s="38" t="str">
        <f aca="false">IFERROR(IF(AND(F43&lt;&gt;"",G43&lt;&gt;""),IF(G43&gt;F43,(G43-F43)*24,(1-(F43-G43))*24),""),"—")</f>
        <v/>
      </c>
      <c r="I43" s="36"/>
      <c r="J43" s="35"/>
      <c r="K43" s="35"/>
      <c r="L43" s="36"/>
    </row>
    <row r="44" customFormat="false" ht="18" hidden="false" customHeight="true" outlineLevel="0" collapsed="false">
      <c r="B44" s="34"/>
      <c r="C44" s="35"/>
      <c r="D44" s="35"/>
      <c r="E44" s="36"/>
      <c r="F44" s="37"/>
      <c r="G44" s="37"/>
      <c r="H44" s="38" t="str">
        <f aca="false">IFERROR(IF(AND(F44&lt;&gt;"",G44&lt;&gt;""),IF(G44&gt;F44,(G44-F44)*24,(1-(F44-G44))*24),""),"—")</f>
        <v/>
      </c>
      <c r="I44" s="36"/>
      <c r="J44" s="35"/>
      <c r="K44" s="35"/>
      <c r="L44" s="36"/>
    </row>
    <row r="45" customFormat="false" ht="18" hidden="false" customHeight="true" outlineLevel="0" collapsed="false">
      <c r="B45" s="34"/>
      <c r="C45" s="35"/>
      <c r="D45" s="35"/>
      <c r="E45" s="36"/>
      <c r="F45" s="37"/>
      <c r="G45" s="37"/>
      <c r="H45" s="38" t="str">
        <f aca="false">IFERROR(IF(AND(F45&lt;&gt;"",G45&lt;&gt;""),IF(G45&gt;F45,(G45-F45)*24,(1-(F45-G45))*24),""),"—")</f>
        <v/>
      </c>
      <c r="I45" s="36"/>
      <c r="J45" s="35"/>
      <c r="K45" s="35"/>
      <c r="L45" s="36"/>
    </row>
    <row r="46" customFormat="false" ht="18" hidden="false" customHeight="true" outlineLevel="0" collapsed="false">
      <c r="B46" s="34"/>
      <c r="C46" s="35"/>
      <c r="D46" s="35"/>
      <c r="E46" s="36"/>
      <c r="F46" s="37"/>
      <c r="G46" s="37"/>
      <c r="H46" s="38" t="str">
        <f aca="false">IFERROR(IF(AND(F46&lt;&gt;"",G46&lt;&gt;""),IF(G46&gt;F46,(G46-F46)*24,(1-(F46-G46))*24),""),"—")</f>
        <v/>
      </c>
      <c r="I46" s="36"/>
      <c r="J46" s="35"/>
      <c r="K46" s="35"/>
      <c r="L46" s="36"/>
    </row>
    <row r="47" customFormat="false" ht="18" hidden="false" customHeight="true" outlineLevel="0" collapsed="false">
      <c r="B47" s="34"/>
      <c r="C47" s="35"/>
      <c r="D47" s="35"/>
      <c r="E47" s="36"/>
      <c r="F47" s="37"/>
      <c r="G47" s="37"/>
      <c r="H47" s="38" t="str">
        <f aca="false">IFERROR(IF(AND(F47&lt;&gt;"",G47&lt;&gt;""),IF(G47&gt;F47,(G47-F47)*24,(1-(F47-G47))*24),""),"—")</f>
        <v/>
      </c>
      <c r="I47" s="36"/>
      <c r="J47" s="35"/>
      <c r="K47" s="35"/>
      <c r="L47" s="36"/>
    </row>
    <row r="48" customFormat="false" ht="18" hidden="false" customHeight="true" outlineLevel="0" collapsed="false">
      <c r="B48" s="34"/>
      <c r="C48" s="35"/>
      <c r="D48" s="35"/>
      <c r="E48" s="36"/>
      <c r="F48" s="37"/>
      <c r="G48" s="37"/>
      <c r="H48" s="38" t="str">
        <f aca="false">IFERROR(IF(AND(F48&lt;&gt;"",G48&lt;&gt;""),IF(G48&gt;F48,(G48-F48)*24,(1-(F48-G48))*24),""),"—")</f>
        <v/>
      </c>
      <c r="I48" s="36"/>
      <c r="J48" s="35"/>
      <c r="K48" s="35"/>
      <c r="L48" s="36"/>
    </row>
    <row r="49" customFormat="false" ht="18" hidden="false" customHeight="true" outlineLevel="0" collapsed="false">
      <c r="B49" s="34"/>
      <c r="C49" s="35"/>
      <c r="D49" s="35"/>
      <c r="E49" s="36"/>
      <c r="F49" s="37"/>
      <c r="G49" s="37"/>
      <c r="H49" s="38" t="str">
        <f aca="false">IFERROR(IF(AND(F49&lt;&gt;"",G49&lt;&gt;""),IF(G49&gt;F49,(G49-F49)*24,(1-(F49-G49))*24),""),"—")</f>
        <v/>
      </c>
      <c r="I49" s="36"/>
      <c r="J49" s="35"/>
      <c r="K49" s="35"/>
      <c r="L49" s="36"/>
    </row>
    <row r="50" customFormat="false" ht="18" hidden="false" customHeight="true" outlineLevel="0" collapsed="false">
      <c r="B50" s="34"/>
      <c r="C50" s="35"/>
      <c r="D50" s="35"/>
      <c r="E50" s="36"/>
      <c r="F50" s="37"/>
      <c r="G50" s="37"/>
      <c r="H50" s="38" t="str">
        <f aca="false">IFERROR(IF(AND(F50&lt;&gt;"",G50&lt;&gt;""),IF(G50&gt;F50,(G50-F50)*24,(1-(F50-G50))*24),""),"—")</f>
        <v/>
      </c>
      <c r="I50" s="36"/>
      <c r="J50" s="35"/>
      <c r="K50" s="35"/>
      <c r="L50" s="36"/>
    </row>
    <row r="51" customFormat="false" ht="18" hidden="false" customHeight="true" outlineLevel="0" collapsed="false">
      <c r="B51" s="34"/>
      <c r="C51" s="35"/>
      <c r="D51" s="35"/>
      <c r="E51" s="36"/>
      <c r="F51" s="37"/>
      <c r="G51" s="37"/>
      <c r="H51" s="38" t="str">
        <f aca="false">IFERROR(IF(AND(F51&lt;&gt;"",G51&lt;&gt;""),IF(G51&gt;F51,(G51-F51)*24,(1-(F51-G51))*24),""),"—")</f>
        <v/>
      </c>
      <c r="I51" s="36"/>
      <c r="J51" s="35"/>
      <c r="K51" s="35"/>
      <c r="L51" s="36"/>
    </row>
    <row r="52" customFormat="false" ht="18" hidden="false" customHeight="true" outlineLevel="0" collapsed="false">
      <c r="B52" s="34"/>
      <c r="C52" s="35"/>
      <c r="D52" s="35"/>
      <c r="E52" s="36"/>
      <c r="F52" s="37"/>
      <c r="G52" s="37"/>
      <c r="H52" s="38" t="str">
        <f aca="false">IFERROR(IF(AND(F52&lt;&gt;"",G52&lt;&gt;""),IF(G52&gt;F52,(G52-F52)*24,(1-(F52-G52))*24),""),"—")</f>
        <v/>
      </c>
      <c r="I52" s="36"/>
      <c r="J52" s="35"/>
      <c r="K52" s="35"/>
      <c r="L52" s="36"/>
    </row>
    <row r="53" customFormat="false" ht="18" hidden="false" customHeight="true" outlineLevel="0" collapsed="false">
      <c r="B53" s="34"/>
      <c r="C53" s="35"/>
      <c r="D53" s="35"/>
      <c r="E53" s="36"/>
      <c r="F53" s="37"/>
      <c r="G53" s="37"/>
      <c r="H53" s="38" t="str">
        <f aca="false">IFERROR(IF(AND(F53&lt;&gt;"",G53&lt;&gt;""),IF(G53&gt;F53,(G53-F53)*24,(1-(F53-G53))*24),""),"—")</f>
        <v/>
      </c>
      <c r="I53" s="36"/>
      <c r="J53" s="35"/>
      <c r="K53" s="35"/>
      <c r="L53" s="36"/>
    </row>
    <row r="54" customFormat="false" ht="18" hidden="false" customHeight="true" outlineLevel="0" collapsed="false">
      <c r="B54" s="34"/>
      <c r="C54" s="35"/>
      <c r="D54" s="35"/>
      <c r="E54" s="36"/>
      <c r="F54" s="37"/>
      <c r="G54" s="37"/>
      <c r="H54" s="38" t="str">
        <f aca="false">IFERROR(IF(AND(F54&lt;&gt;"",G54&lt;&gt;""),IF(G54&gt;F54,(G54-F54)*24,(1-(F54-G54))*24),""),"—")</f>
        <v/>
      </c>
      <c r="I54" s="36"/>
      <c r="J54" s="35"/>
      <c r="K54" s="35"/>
      <c r="L54" s="36"/>
    </row>
    <row r="55" customFormat="false" ht="18" hidden="false" customHeight="true" outlineLevel="0" collapsed="false">
      <c r="B55" s="34"/>
      <c r="C55" s="35"/>
      <c r="D55" s="35"/>
      <c r="E55" s="36"/>
      <c r="F55" s="37"/>
      <c r="G55" s="37"/>
      <c r="H55" s="38" t="str">
        <f aca="false">IFERROR(IF(AND(F55&lt;&gt;"",G55&lt;&gt;""),IF(G55&gt;F55,(G55-F55)*24,(1-(F55-G55))*24),""),"—")</f>
        <v/>
      </c>
      <c r="I55" s="36"/>
      <c r="J55" s="35"/>
      <c r="K55" s="35"/>
      <c r="L55" s="36"/>
    </row>
    <row r="56" customFormat="false" ht="18" hidden="false" customHeight="true" outlineLevel="0" collapsed="false">
      <c r="B56" s="34"/>
      <c r="C56" s="35"/>
      <c r="D56" s="35"/>
      <c r="E56" s="36"/>
      <c r="F56" s="37"/>
      <c r="G56" s="37"/>
      <c r="H56" s="38" t="str">
        <f aca="false">IFERROR(IF(AND(F56&lt;&gt;"",G56&lt;&gt;""),IF(G56&gt;F56,(G56-F56)*24,(1-(F56-G56))*24),""),"—")</f>
        <v/>
      </c>
      <c r="I56" s="36"/>
      <c r="J56" s="35"/>
      <c r="K56" s="35"/>
      <c r="L56" s="36"/>
    </row>
    <row r="57" customFormat="false" ht="18" hidden="false" customHeight="true" outlineLevel="0" collapsed="false">
      <c r="B57" s="34"/>
      <c r="C57" s="35"/>
      <c r="D57" s="35"/>
      <c r="E57" s="36"/>
      <c r="F57" s="37"/>
      <c r="G57" s="37"/>
      <c r="H57" s="38" t="str">
        <f aca="false">IFERROR(IF(AND(F57&lt;&gt;"",G57&lt;&gt;""),IF(G57&gt;F57,(G57-F57)*24,(1-(F57-G57))*24),""),"—")</f>
        <v/>
      </c>
      <c r="I57" s="36"/>
      <c r="J57" s="35"/>
      <c r="K57" s="35"/>
      <c r="L57" s="36"/>
    </row>
    <row r="58" customFormat="false" ht="18" hidden="false" customHeight="true" outlineLevel="0" collapsed="false">
      <c r="B58" s="34"/>
      <c r="C58" s="35"/>
      <c r="D58" s="35"/>
      <c r="E58" s="36"/>
      <c r="F58" s="37"/>
      <c r="G58" s="37"/>
      <c r="H58" s="38" t="str">
        <f aca="false">IFERROR(IF(AND(F58&lt;&gt;"",G58&lt;&gt;""),IF(G58&gt;F58,(G58-F58)*24,(1-(F58-G58))*24),""),"—")</f>
        <v/>
      </c>
      <c r="I58" s="36"/>
      <c r="J58" s="35"/>
      <c r="K58" s="35"/>
      <c r="L58" s="36"/>
    </row>
    <row r="59" customFormat="false" ht="18" hidden="false" customHeight="true" outlineLevel="0" collapsed="false">
      <c r="B59" s="34"/>
      <c r="C59" s="35"/>
      <c r="D59" s="35"/>
      <c r="E59" s="36"/>
      <c r="F59" s="37"/>
      <c r="G59" s="37"/>
      <c r="H59" s="38" t="str">
        <f aca="false">IFERROR(IF(AND(F59&lt;&gt;"",G59&lt;&gt;""),IF(G59&gt;F59,(G59-F59)*24,(1-(F59-G59))*24),""),"—")</f>
        <v/>
      </c>
      <c r="I59" s="36"/>
      <c r="J59" s="35"/>
      <c r="K59" s="35"/>
      <c r="L59" s="36"/>
    </row>
    <row r="60" customFormat="false" ht="18" hidden="false" customHeight="true" outlineLevel="0" collapsed="false">
      <c r="B60" s="34"/>
      <c r="C60" s="35"/>
      <c r="D60" s="35"/>
      <c r="E60" s="36"/>
      <c r="F60" s="37"/>
      <c r="G60" s="37"/>
      <c r="H60" s="38" t="str">
        <f aca="false">IFERROR(IF(AND(F60&lt;&gt;"",G60&lt;&gt;""),IF(G60&gt;F60,(G60-F60)*24,(1-(F60-G60))*24),""),"—")</f>
        <v/>
      </c>
      <c r="I60" s="36"/>
      <c r="J60" s="35"/>
      <c r="K60" s="35"/>
      <c r="L60" s="36"/>
    </row>
    <row r="61" customFormat="false" ht="18" hidden="false" customHeight="true" outlineLevel="0" collapsed="false">
      <c r="B61" s="34"/>
      <c r="C61" s="35"/>
      <c r="D61" s="35"/>
      <c r="E61" s="36"/>
      <c r="F61" s="37"/>
      <c r="G61" s="37"/>
      <c r="H61" s="38" t="str">
        <f aca="false">IFERROR(IF(AND(F61&lt;&gt;"",G61&lt;&gt;""),IF(G61&gt;F61,(G61-F61)*24,(1-(F61-G61))*24),""),"—")</f>
        <v/>
      </c>
      <c r="I61" s="36"/>
      <c r="J61" s="35"/>
      <c r="K61" s="35"/>
      <c r="L61" s="36"/>
    </row>
    <row r="62" customFormat="false" ht="18" hidden="false" customHeight="true" outlineLevel="0" collapsed="false">
      <c r="B62" s="34"/>
      <c r="C62" s="35"/>
      <c r="D62" s="35"/>
      <c r="E62" s="36"/>
      <c r="F62" s="37"/>
      <c r="G62" s="37"/>
      <c r="H62" s="38" t="str">
        <f aca="false">IFERROR(IF(AND(F62&lt;&gt;"",G62&lt;&gt;""),IF(G62&gt;F62,(G62-F62)*24,(1-(F62-G62))*24),""),"—")</f>
        <v/>
      </c>
      <c r="I62" s="36"/>
      <c r="J62" s="35"/>
      <c r="K62" s="35"/>
      <c r="L62" s="36"/>
    </row>
    <row r="63" customFormat="false" ht="18" hidden="false" customHeight="true" outlineLevel="0" collapsed="false">
      <c r="B63" s="34"/>
      <c r="C63" s="35"/>
      <c r="D63" s="35"/>
      <c r="E63" s="36"/>
      <c r="F63" s="37"/>
      <c r="G63" s="37"/>
      <c r="H63" s="38" t="str">
        <f aca="false">IFERROR(IF(AND(F63&lt;&gt;"",G63&lt;&gt;""),IF(G63&gt;F63,(G63-F63)*24,(1-(F63-G63))*24),""),"—")</f>
        <v/>
      </c>
      <c r="I63" s="36"/>
      <c r="J63" s="35"/>
      <c r="K63" s="35"/>
      <c r="L63" s="36"/>
    </row>
    <row r="64" customFormat="false" ht="18" hidden="false" customHeight="true" outlineLevel="0" collapsed="false">
      <c r="B64" s="34"/>
      <c r="C64" s="35"/>
      <c r="D64" s="35"/>
      <c r="E64" s="36"/>
      <c r="F64" s="37"/>
      <c r="G64" s="37"/>
      <c r="H64" s="38" t="str">
        <f aca="false">IFERROR(IF(AND(F64&lt;&gt;"",G64&lt;&gt;""),IF(G64&gt;F64,(G64-F64)*24,(1-(F64-G64))*24),""),"—")</f>
        <v/>
      </c>
      <c r="I64" s="36"/>
      <c r="J64" s="35"/>
      <c r="K64" s="35"/>
      <c r="L64" s="36"/>
    </row>
    <row r="65" customFormat="false" ht="18" hidden="false" customHeight="true" outlineLevel="0" collapsed="false">
      <c r="B65" s="34"/>
      <c r="C65" s="35"/>
      <c r="D65" s="35"/>
      <c r="E65" s="36"/>
      <c r="F65" s="37"/>
      <c r="G65" s="37"/>
      <c r="H65" s="38" t="str">
        <f aca="false">IFERROR(IF(AND(F65&lt;&gt;"",G65&lt;&gt;""),IF(G65&gt;F65,(G65-F65)*24,(1-(F65-G65))*24),""),"—")</f>
        <v/>
      </c>
      <c r="I65" s="36"/>
      <c r="J65" s="35"/>
      <c r="K65" s="35"/>
      <c r="L65" s="36"/>
    </row>
    <row r="66" customFormat="false" ht="18" hidden="false" customHeight="true" outlineLevel="0" collapsed="false">
      <c r="B66" s="34"/>
      <c r="C66" s="35"/>
      <c r="D66" s="35"/>
      <c r="E66" s="36"/>
      <c r="F66" s="37"/>
      <c r="G66" s="37"/>
      <c r="H66" s="38" t="str">
        <f aca="false">IFERROR(IF(AND(F66&lt;&gt;"",G66&lt;&gt;""),IF(G66&gt;F66,(G66-F66)*24,(1-(F66-G66))*24),""),"—")</f>
        <v/>
      </c>
      <c r="I66" s="36"/>
      <c r="J66" s="35"/>
      <c r="K66" s="35"/>
      <c r="L66" s="36"/>
    </row>
    <row r="67" customFormat="false" ht="18" hidden="false" customHeight="true" outlineLevel="0" collapsed="false">
      <c r="B67" s="34"/>
      <c r="C67" s="35"/>
      <c r="D67" s="35"/>
      <c r="E67" s="36"/>
      <c r="F67" s="37"/>
      <c r="G67" s="37"/>
      <c r="H67" s="38" t="str">
        <f aca="false">IFERROR(IF(AND(F67&lt;&gt;"",G67&lt;&gt;""),IF(G67&gt;F67,(G67-F67)*24,(1-(F67-G67))*24),""),"—")</f>
        <v/>
      </c>
      <c r="I67" s="36"/>
      <c r="J67" s="35"/>
      <c r="K67" s="35"/>
      <c r="L67" s="36"/>
    </row>
    <row r="68" customFormat="false" ht="18" hidden="false" customHeight="true" outlineLevel="0" collapsed="false">
      <c r="B68" s="34"/>
      <c r="C68" s="35"/>
      <c r="D68" s="35"/>
      <c r="E68" s="36"/>
      <c r="F68" s="37"/>
      <c r="G68" s="37"/>
      <c r="H68" s="38" t="str">
        <f aca="false">IFERROR(IF(AND(F68&lt;&gt;"",G68&lt;&gt;""),IF(G68&gt;F68,(G68-F68)*24,(1-(F68-G68))*24),""),"—")</f>
        <v/>
      </c>
      <c r="I68" s="36"/>
      <c r="J68" s="35"/>
      <c r="K68" s="35"/>
      <c r="L68" s="36"/>
    </row>
    <row r="69" customFormat="false" ht="18" hidden="false" customHeight="true" outlineLevel="0" collapsed="false">
      <c r="B69" s="34"/>
      <c r="C69" s="35"/>
      <c r="D69" s="35"/>
      <c r="E69" s="36"/>
      <c r="F69" s="37"/>
      <c r="G69" s="37"/>
      <c r="H69" s="38" t="str">
        <f aca="false">IFERROR(IF(AND(F69&lt;&gt;"",G69&lt;&gt;""),IF(G69&gt;F69,(G69-F69)*24,(1-(F69-G69))*24),""),"—")</f>
        <v/>
      </c>
      <c r="I69" s="36"/>
      <c r="J69" s="35"/>
      <c r="K69" s="35"/>
      <c r="L69" s="36"/>
    </row>
    <row r="70" customFormat="false" ht="18" hidden="false" customHeight="true" outlineLevel="0" collapsed="false">
      <c r="B70" s="34"/>
      <c r="C70" s="35"/>
      <c r="D70" s="35"/>
      <c r="E70" s="36"/>
      <c r="F70" s="37"/>
      <c r="G70" s="37"/>
      <c r="H70" s="38" t="str">
        <f aca="false">IFERROR(IF(AND(F70&lt;&gt;"",G70&lt;&gt;""),IF(G70&gt;F70,(G70-F70)*24,(1-(F70-G70))*24),""),"—")</f>
        <v/>
      </c>
      <c r="I70" s="36"/>
      <c r="J70" s="35"/>
      <c r="K70" s="35"/>
      <c r="L70" s="36"/>
    </row>
    <row r="71" customFormat="false" ht="18" hidden="false" customHeight="true" outlineLevel="0" collapsed="false">
      <c r="B71" s="34"/>
      <c r="C71" s="35"/>
      <c r="D71" s="35"/>
      <c r="E71" s="36"/>
      <c r="F71" s="37"/>
      <c r="G71" s="37"/>
      <c r="H71" s="38" t="str">
        <f aca="false">IFERROR(IF(AND(F71&lt;&gt;"",G71&lt;&gt;""),IF(G71&gt;F71,(G71-F71)*24,(1-(F71-G71))*24),""),"—")</f>
        <v/>
      </c>
      <c r="I71" s="36"/>
      <c r="J71" s="35"/>
      <c r="K71" s="35"/>
      <c r="L71" s="36"/>
    </row>
    <row r="72" customFormat="false" ht="18" hidden="false" customHeight="true" outlineLevel="0" collapsed="false">
      <c r="B72" s="34"/>
      <c r="C72" s="35"/>
      <c r="D72" s="35"/>
      <c r="E72" s="36"/>
      <c r="F72" s="37"/>
      <c r="G72" s="37"/>
      <c r="H72" s="38" t="str">
        <f aca="false">IFERROR(IF(AND(F72&lt;&gt;"",G72&lt;&gt;""),IF(G72&gt;F72,(G72-F72)*24,(1-(F72-G72))*24),""),"—")</f>
        <v/>
      </c>
      <c r="I72" s="36"/>
      <c r="J72" s="35"/>
      <c r="K72" s="35"/>
      <c r="L72" s="36"/>
    </row>
    <row r="73" customFormat="false" ht="18" hidden="false" customHeight="true" outlineLevel="0" collapsed="false">
      <c r="B73" s="34"/>
      <c r="C73" s="35"/>
      <c r="D73" s="35"/>
      <c r="E73" s="36"/>
      <c r="F73" s="37"/>
      <c r="G73" s="37"/>
      <c r="H73" s="38" t="str">
        <f aca="false">IFERROR(IF(AND(F73&lt;&gt;"",G73&lt;&gt;""),IF(G73&gt;F73,(G73-F73)*24,(1-(F73-G73))*24),""),"—")</f>
        <v/>
      </c>
      <c r="I73" s="36"/>
      <c r="J73" s="35"/>
      <c r="K73" s="35"/>
      <c r="L73" s="36"/>
    </row>
    <row r="74" customFormat="false" ht="18" hidden="false" customHeight="true" outlineLevel="0" collapsed="false">
      <c r="B74" s="34"/>
      <c r="C74" s="35"/>
      <c r="D74" s="35"/>
      <c r="E74" s="36"/>
      <c r="F74" s="37"/>
      <c r="G74" s="37"/>
      <c r="H74" s="38" t="str">
        <f aca="false">IFERROR(IF(AND(F74&lt;&gt;"",G74&lt;&gt;""),IF(G74&gt;F74,(G74-F74)*24,(1-(F74-G74))*24),""),"—")</f>
        <v/>
      </c>
      <c r="I74" s="36"/>
      <c r="J74" s="35"/>
      <c r="K74" s="35"/>
      <c r="L74" s="36"/>
    </row>
    <row r="75" customFormat="false" ht="18" hidden="false" customHeight="true" outlineLevel="0" collapsed="false">
      <c r="B75" s="34"/>
      <c r="C75" s="35"/>
      <c r="D75" s="35"/>
      <c r="E75" s="36"/>
      <c r="F75" s="37"/>
      <c r="G75" s="37"/>
      <c r="H75" s="38" t="str">
        <f aca="false">IFERROR(IF(AND(F75&lt;&gt;"",G75&lt;&gt;""),IF(G75&gt;F75,(G75-F75)*24,(1-(F75-G75))*24),""),"—")</f>
        <v/>
      </c>
      <c r="I75" s="36"/>
      <c r="J75" s="35"/>
      <c r="K75" s="35"/>
      <c r="L75" s="36"/>
    </row>
    <row r="76" customFormat="false" ht="18" hidden="false" customHeight="true" outlineLevel="0" collapsed="false">
      <c r="B76" s="34"/>
      <c r="C76" s="35"/>
      <c r="D76" s="35"/>
      <c r="E76" s="36"/>
      <c r="F76" s="37"/>
      <c r="G76" s="37"/>
      <c r="H76" s="38" t="str">
        <f aca="false">IFERROR(IF(AND(F76&lt;&gt;"",G76&lt;&gt;""),IF(G76&gt;F76,(G76-F76)*24,(1-(F76-G76))*24),""),"—")</f>
        <v/>
      </c>
      <c r="I76" s="36"/>
      <c r="J76" s="35"/>
      <c r="K76" s="35"/>
      <c r="L76" s="36"/>
    </row>
    <row r="77" customFormat="false" ht="18" hidden="false" customHeight="true" outlineLevel="0" collapsed="false">
      <c r="B77" s="34"/>
      <c r="C77" s="35"/>
      <c r="D77" s="35"/>
      <c r="E77" s="36"/>
      <c r="F77" s="37"/>
      <c r="G77" s="37"/>
      <c r="H77" s="38" t="str">
        <f aca="false">IFERROR(IF(AND(F77&lt;&gt;"",G77&lt;&gt;""),IF(G77&gt;F77,(G77-F77)*24,(1-(F77-G77))*24),""),"—")</f>
        <v/>
      </c>
      <c r="I77" s="36"/>
      <c r="J77" s="35"/>
      <c r="K77" s="35"/>
      <c r="L77" s="36"/>
    </row>
    <row r="78" customFormat="false" ht="18" hidden="false" customHeight="true" outlineLevel="0" collapsed="false">
      <c r="B78" s="34"/>
      <c r="C78" s="35"/>
      <c r="D78" s="35"/>
      <c r="E78" s="36"/>
      <c r="F78" s="37"/>
      <c r="G78" s="37"/>
      <c r="H78" s="38" t="str">
        <f aca="false">IFERROR(IF(AND(F78&lt;&gt;"",G78&lt;&gt;""),IF(G78&gt;F78,(G78-F78)*24,(1-(F78-G78))*24),""),"—")</f>
        <v/>
      </c>
      <c r="I78" s="36"/>
      <c r="J78" s="35"/>
      <c r="K78" s="35"/>
      <c r="L78" s="36"/>
    </row>
    <row r="79" customFormat="false" ht="18" hidden="false" customHeight="true" outlineLevel="0" collapsed="false">
      <c r="B79" s="34"/>
      <c r="C79" s="35"/>
      <c r="D79" s="35"/>
      <c r="E79" s="36"/>
      <c r="F79" s="37"/>
      <c r="G79" s="37"/>
      <c r="H79" s="38" t="str">
        <f aca="false">IFERROR(IF(AND(F79&lt;&gt;"",G79&lt;&gt;""),IF(G79&gt;F79,(G79-F79)*24,(1-(F79-G79))*24),""),"—")</f>
        <v/>
      </c>
      <c r="I79" s="36"/>
      <c r="J79" s="35"/>
      <c r="K79" s="35"/>
      <c r="L79" s="36"/>
    </row>
    <row r="80" customFormat="false" ht="18" hidden="false" customHeight="true" outlineLevel="0" collapsed="false">
      <c r="B80" s="34"/>
      <c r="C80" s="35"/>
      <c r="D80" s="35"/>
      <c r="E80" s="36"/>
      <c r="F80" s="37"/>
      <c r="G80" s="37"/>
      <c r="H80" s="38" t="str">
        <f aca="false">IFERROR(IF(AND(F80&lt;&gt;"",G80&lt;&gt;""),IF(G80&gt;F80,(G80-F80)*24,(1-(F80-G80))*24),""),"—")</f>
        <v/>
      </c>
      <c r="I80" s="36"/>
      <c r="J80" s="35"/>
      <c r="K80" s="35"/>
      <c r="L80" s="36"/>
    </row>
    <row r="81" customFormat="false" ht="18" hidden="false" customHeight="true" outlineLevel="0" collapsed="false">
      <c r="B81" s="34"/>
      <c r="C81" s="35"/>
      <c r="D81" s="35"/>
      <c r="E81" s="36"/>
      <c r="F81" s="37"/>
      <c r="G81" s="37"/>
      <c r="H81" s="38" t="str">
        <f aca="false">IFERROR(IF(AND(F81&lt;&gt;"",G81&lt;&gt;""),IF(G81&gt;F81,(G81-F81)*24,(1-(F81-G81))*24),""),"—")</f>
        <v/>
      </c>
      <c r="I81" s="36"/>
      <c r="J81" s="35"/>
      <c r="K81" s="35"/>
      <c r="L81" s="36"/>
    </row>
    <row r="82" customFormat="false" ht="18" hidden="false" customHeight="true" outlineLevel="0" collapsed="false">
      <c r="B82" s="34"/>
      <c r="C82" s="35"/>
      <c r="D82" s="35"/>
      <c r="E82" s="36"/>
      <c r="F82" s="37"/>
      <c r="G82" s="37"/>
      <c r="H82" s="38" t="str">
        <f aca="false">IFERROR(IF(AND(F82&lt;&gt;"",G82&lt;&gt;""),IF(G82&gt;F82,(G82-F82)*24,(1-(F82-G82))*24),""),"—")</f>
        <v/>
      </c>
      <c r="I82" s="36"/>
      <c r="J82" s="35"/>
      <c r="K82" s="35"/>
      <c r="L82" s="36"/>
    </row>
    <row r="83" customFormat="false" ht="18" hidden="false" customHeight="true" outlineLevel="0" collapsed="false">
      <c r="B83" s="34"/>
      <c r="C83" s="35"/>
      <c r="D83" s="35"/>
      <c r="E83" s="36"/>
      <c r="F83" s="37"/>
      <c r="G83" s="37"/>
      <c r="H83" s="38" t="str">
        <f aca="false">IFERROR(IF(AND(F83&lt;&gt;"",G83&lt;&gt;""),IF(G83&gt;F83,(G83-F83)*24,(1-(F83-G83))*24),""),"—")</f>
        <v/>
      </c>
      <c r="I83" s="36"/>
      <c r="J83" s="35"/>
      <c r="K83" s="35"/>
      <c r="L83" s="36"/>
    </row>
    <row r="84" customFormat="false" ht="18" hidden="false" customHeight="true" outlineLevel="0" collapsed="false">
      <c r="B84" s="34"/>
      <c r="C84" s="35"/>
      <c r="D84" s="35"/>
      <c r="E84" s="36"/>
      <c r="F84" s="37"/>
      <c r="G84" s="37"/>
      <c r="H84" s="38" t="str">
        <f aca="false">IFERROR(IF(AND(F84&lt;&gt;"",G84&lt;&gt;""),IF(G84&gt;F84,(G84-F84)*24,(1-(F84-G84))*24),""),"—")</f>
        <v/>
      </c>
      <c r="I84" s="36"/>
      <c r="J84" s="35"/>
      <c r="K84" s="35"/>
      <c r="L84" s="36"/>
    </row>
    <row r="85" customFormat="false" ht="18" hidden="false" customHeight="true" outlineLevel="0" collapsed="false">
      <c r="B85" s="34"/>
      <c r="C85" s="35"/>
      <c r="D85" s="35"/>
      <c r="E85" s="36"/>
      <c r="F85" s="37"/>
      <c r="G85" s="37"/>
      <c r="H85" s="38" t="str">
        <f aca="false">IFERROR(IF(AND(F85&lt;&gt;"",G85&lt;&gt;""),IF(G85&gt;F85,(G85-F85)*24,(1-(F85-G85))*24),""),"—")</f>
        <v/>
      </c>
      <c r="I85" s="36"/>
      <c r="J85" s="35"/>
      <c r="K85" s="35"/>
      <c r="L85" s="36"/>
    </row>
    <row r="86" customFormat="false" ht="18" hidden="false" customHeight="true" outlineLevel="0" collapsed="false">
      <c r="B86" s="34"/>
      <c r="C86" s="35"/>
      <c r="D86" s="35"/>
      <c r="E86" s="36"/>
      <c r="F86" s="37"/>
      <c r="G86" s="37"/>
      <c r="H86" s="38" t="str">
        <f aca="false">IFERROR(IF(AND(F86&lt;&gt;"",G86&lt;&gt;""),IF(G86&gt;F86,(G86-F86)*24,(1-(F86-G86))*24),""),"—")</f>
        <v/>
      </c>
      <c r="I86" s="36"/>
      <c r="J86" s="35"/>
      <c r="K86" s="35"/>
      <c r="L86" s="36"/>
    </row>
    <row r="87" customFormat="false" ht="18" hidden="false" customHeight="true" outlineLevel="0" collapsed="false">
      <c r="B87" s="34"/>
      <c r="C87" s="35"/>
      <c r="D87" s="35"/>
      <c r="E87" s="36"/>
      <c r="F87" s="37"/>
      <c r="G87" s="37"/>
      <c r="H87" s="38" t="str">
        <f aca="false">IFERROR(IF(AND(F87&lt;&gt;"",G87&lt;&gt;""),IF(G87&gt;F87,(G87-F87)*24,(1-(F87-G87))*24),""),"—")</f>
        <v/>
      </c>
      <c r="I87" s="36"/>
      <c r="J87" s="35"/>
      <c r="K87" s="35"/>
      <c r="L87" s="36"/>
    </row>
    <row r="88" customFormat="false" ht="18" hidden="false" customHeight="true" outlineLevel="0" collapsed="false">
      <c r="B88" s="34"/>
      <c r="C88" s="35"/>
      <c r="D88" s="35"/>
      <c r="E88" s="36"/>
      <c r="F88" s="37"/>
      <c r="G88" s="37"/>
      <c r="H88" s="38" t="str">
        <f aca="false">IFERROR(IF(AND(F88&lt;&gt;"",G88&lt;&gt;""),IF(G88&gt;F88,(G88-F88)*24,(1-(F88-G88))*24),""),"—")</f>
        <v/>
      </c>
      <c r="I88" s="36"/>
      <c r="J88" s="35"/>
      <c r="K88" s="35"/>
      <c r="L88" s="36"/>
    </row>
    <row r="89" customFormat="false" ht="18" hidden="false" customHeight="true" outlineLevel="0" collapsed="false">
      <c r="B89" s="34"/>
      <c r="C89" s="35"/>
      <c r="D89" s="35"/>
      <c r="E89" s="36"/>
      <c r="F89" s="37"/>
      <c r="G89" s="37"/>
      <c r="H89" s="38" t="str">
        <f aca="false">IFERROR(IF(AND(F89&lt;&gt;"",G89&lt;&gt;""),IF(G89&gt;F89,(G89-F89)*24,(1-(F89-G89))*24),""),"—")</f>
        <v/>
      </c>
      <c r="I89" s="36"/>
      <c r="J89" s="35"/>
      <c r="K89" s="35"/>
      <c r="L89" s="36"/>
    </row>
    <row r="90" customFormat="false" ht="18" hidden="false" customHeight="true" outlineLevel="0" collapsed="false">
      <c r="B90" s="34"/>
      <c r="C90" s="35"/>
      <c r="D90" s="35"/>
      <c r="E90" s="36"/>
      <c r="F90" s="37"/>
      <c r="G90" s="37"/>
      <c r="H90" s="38" t="str">
        <f aca="false">IFERROR(IF(AND(F90&lt;&gt;"",G90&lt;&gt;""),IF(G90&gt;F90,(G90-F90)*24,(1-(F90-G90))*24),""),"—")</f>
        <v/>
      </c>
      <c r="I90" s="36"/>
      <c r="J90" s="35"/>
      <c r="K90" s="35"/>
      <c r="L90" s="36"/>
    </row>
    <row r="91" customFormat="false" ht="18" hidden="false" customHeight="true" outlineLevel="0" collapsed="false">
      <c r="B91" s="34"/>
      <c r="C91" s="35"/>
      <c r="D91" s="35"/>
      <c r="E91" s="36"/>
      <c r="F91" s="37"/>
      <c r="G91" s="37"/>
      <c r="H91" s="38" t="str">
        <f aca="false">IFERROR(IF(AND(F91&lt;&gt;"",G91&lt;&gt;""),IF(G91&gt;F91,(G91-F91)*24,(1-(F91-G91))*24),""),"—")</f>
        <v/>
      </c>
      <c r="I91" s="36"/>
      <c r="J91" s="35"/>
      <c r="K91" s="35"/>
      <c r="L91" s="36"/>
    </row>
    <row r="92" customFormat="false" ht="18" hidden="false" customHeight="true" outlineLevel="0" collapsed="false">
      <c r="B92" s="34"/>
      <c r="C92" s="35"/>
      <c r="D92" s="35"/>
      <c r="E92" s="36"/>
      <c r="F92" s="37"/>
      <c r="G92" s="37"/>
      <c r="H92" s="38" t="str">
        <f aca="false">IFERROR(IF(AND(F92&lt;&gt;"",G92&lt;&gt;""),IF(G92&gt;F92,(G92-F92)*24,(1-(F92-G92))*24),""),"—")</f>
        <v/>
      </c>
      <c r="I92" s="36"/>
      <c r="J92" s="35"/>
      <c r="K92" s="35"/>
      <c r="L92" s="36"/>
    </row>
    <row r="93" customFormat="false" ht="18" hidden="false" customHeight="true" outlineLevel="0" collapsed="false">
      <c r="B93" s="34"/>
      <c r="C93" s="35"/>
      <c r="D93" s="35"/>
      <c r="E93" s="36"/>
      <c r="F93" s="37"/>
      <c r="G93" s="37"/>
      <c r="H93" s="38" t="str">
        <f aca="false">IFERROR(IF(AND(F93&lt;&gt;"",G93&lt;&gt;""),IF(G93&gt;F93,(G93-F93)*24,(1-(F93-G93))*24),""),"—")</f>
        <v/>
      </c>
      <c r="I93" s="36"/>
      <c r="J93" s="35"/>
      <c r="K93" s="35"/>
      <c r="L93" s="36"/>
    </row>
    <row r="94" customFormat="false" ht="18" hidden="false" customHeight="true" outlineLevel="0" collapsed="false">
      <c r="B94" s="34"/>
      <c r="C94" s="35"/>
      <c r="D94" s="35"/>
      <c r="E94" s="36"/>
      <c r="F94" s="37"/>
      <c r="G94" s="37"/>
      <c r="H94" s="38" t="str">
        <f aca="false">IFERROR(IF(AND(F94&lt;&gt;"",G94&lt;&gt;""),IF(G94&gt;F94,(G94-F94)*24,(1-(F94-G94))*24),""),"—")</f>
        <v/>
      </c>
      <c r="I94" s="36"/>
      <c r="J94" s="35"/>
      <c r="K94" s="35"/>
      <c r="L94" s="36"/>
    </row>
    <row r="95" customFormat="false" ht="18" hidden="false" customHeight="true" outlineLevel="0" collapsed="false">
      <c r="B95" s="34"/>
      <c r="C95" s="35"/>
      <c r="D95" s="35"/>
      <c r="E95" s="36"/>
      <c r="F95" s="37"/>
      <c r="G95" s="37"/>
      <c r="H95" s="38" t="str">
        <f aca="false">IFERROR(IF(AND(F95&lt;&gt;"",G95&lt;&gt;""),IF(G95&gt;F95,(G95-F95)*24,(1-(F95-G95))*24),""),"—")</f>
        <v/>
      </c>
      <c r="I95" s="36"/>
      <c r="J95" s="35"/>
      <c r="K95" s="35"/>
      <c r="L95" s="36"/>
    </row>
    <row r="96" customFormat="false" ht="18" hidden="false" customHeight="true" outlineLevel="0" collapsed="false">
      <c r="B96" s="34"/>
      <c r="C96" s="35"/>
      <c r="D96" s="35"/>
      <c r="E96" s="36"/>
      <c r="F96" s="37"/>
      <c r="G96" s="37"/>
      <c r="H96" s="38" t="str">
        <f aca="false">IFERROR(IF(AND(F96&lt;&gt;"",G96&lt;&gt;""),IF(G96&gt;F96,(G96-F96)*24,(1-(F96-G96))*24),""),"—")</f>
        <v/>
      </c>
      <c r="I96" s="36"/>
      <c r="J96" s="35"/>
      <c r="K96" s="35"/>
      <c r="L96" s="36"/>
    </row>
    <row r="97" customFormat="false" ht="18" hidden="false" customHeight="true" outlineLevel="0" collapsed="false">
      <c r="B97" s="34"/>
      <c r="C97" s="35"/>
      <c r="D97" s="35"/>
      <c r="E97" s="36"/>
      <c r="F97" s="37"/>
      <c r="G97" s="37"/>
      <c r="H97" s="38" t="str">
        <f aca="false">IFERROR(IF(AND(F97&lt;&gt;"",G97&lt;&gt;""),IF(G97&gt;F97,(G97-F97)*24,(1-(F97-G97))*24),""),"—")</f>
        <v/>
      </c>
      <c r="I97" s="36"/>
      <c r="J97" s="35"/>
      <c r="K97" s="35"/>
      <c r="L97" s="36"/>
    </row>
    <row r="98" customFormat="false" ht="18" hidden="false" customHeight="true" outlineLevel="0" collapsed="false">
      <c r="B98" s="34"/>
      <c r="C98" s="35"/>
      <c r="D98" s="35"/>
      <c r="E98" s="36"/>
      <c r="F98" s="37"/>
      <c r="G98" s="37"/>
      <c r="H98" s="38" t="str">
        <f aca="false">IFERROR(IF(AND(F98&lt;&gt;"",G98&lt;&gt;""),IF(G98&gt;F98,(G98-F98)*24,(1-(F98-G98))*24),""),"—")</f>
        <v/>
      </c>
      <c r="I98" s="36"/>
      <c r="J98" s="35"/>
      <c r="K98" s="35"/>
      <c r="L98" s="36"/>
    </row>
    <row r="99" customFormat="false" ht="18" hidden="false" customHeight="true" outlineLevel="0" collapsed="false">
      <c r="B99" s="34"/>
      <c r="C99" s="35"/>
      <c r="D99" s="35"/>
      <c r="E99" s="36"/>
      <c r="F99" s="37"/>
      <c r="G99" s="37"/>
      <c r="H99" s="38" t="str">
        <f aca="false">IFERROR(IF(AND(F99&lt;&gt;"",G99&lt;&gt;""),IF(G99&gt;F99,(G99-F99)*24,(1-(F99-G99))*24),""),"—")</f>
        <v/>
      </c>
      <c r="I99" s="36"/>
      <c r="J99" s="35"/>
      <c r="K99" s="35"/>
      <c r="L99" s="36"/>
    </row>
    <row r="100" customFormat="false" ht="18" hidden="false" customHeight="true" outlineLevel="0" collapsed="false">
      <c r="B100" s="34"/>
      <c r="C100" s="35"/>
      <c r="D100" s="35"/>
      <c r="E100" s="36"/>
      <c r="F100" s="37"/>
      <c r="G100" s="37"/>
      <c r="H100" s="38" t="str">
        <f aca="false">IFERROR(IF(AND(F100&lt;&gt;"",G100&lt;&gt;""),IF(G100&gt;F100,(G100-F100)*24,(1-(F100-G100))*24),""),"—")</f>
        <v/>
      </c>
      <c r="I100" s="36"/>
      <c r="J100" s="35"/>
      <c r="K100" s="35"/>
      <c r="L100" s="36"/>
    </row>
    <row r="101" customFormat="false" ht="18" hidden="false" customHeight="true" outlineLevel="0" collapsed="false">
      <c r="B101" s="34"/>
      <c r="C101" s="35"/>
      <c r="D101" s="35"/>
      <c r="E101" s="36"/>
      <c r="F101" s="37"/>
      <c r="G101" s="37"/>
      <c r="H101" s="38" t="str">
        <f aca="false">IFERROR(IF(AND(F101&lt;&gt;"",G101&lt;&gt;""),IF(G101&gt;F101,(G101-F101)*24,(1-(F101-G101))*24),""),"—")</f>
        <v/>
      </c>
      <c r="I101" s="36"/>
      <c r="J101" s="35"/>
      <c r="K101" s="35"/>
      <c r="L101" s="36"/>
    </row>
    <row r="102" customFormat="false" ht="18" hidden="false" customHeight="true" outlineLevel="0" collapsed="false">
      <c r="B102" s="34"/>
      <c r="C102" s="35"/>
      <c r="D102" s="35"/>
      <c r="E102" s="36"/>
      <c r="F102" s="37"/>
      <c r="G102" s="37"/>
      <c r="H102" s="38" t="str">
        <f aca="false">IFERROR(IF(AND(F102&lt;&gt;"",G102&lt;&gt;""),IF(G102&gt;F102,(G102-F102)*24,(1-(F102-G102))*24),""),"—")</f>
        <v/>
      </c>
      <c r="I102" s="36"/>
      <c r="J102" s="35"/>
      <c r="K102" s="35"/>
      <c r="L102" s="36"/>
    </row>
    <row r="103" customFormat="false" ht="18" hidden="false" customHeight="true" outlineLevel="0" collapsed="false">
      <c r="B103" s="34"/>
      <c r="C103" s="35"/>
      <c r="D103" s="35"/>
      <c r="E103" s="36"/>
      <c r="F103" s="37"/>
      <c r="G103" s="37"/>
      <c r="H103" s="38" t="str">
        <f aca="false">IFERROR(IF(AND(F103&lt;&gt;"",G103&lt;&gt;""),IF(G103&gt;F103,(G103-F103)*24,(1-(F103-G103))*24),""),"—")</f>
        <v/>
      </c>
      <c r="I103" s="36"/>
      <c r="J103" s="35"/>
      <c r="K103" s="35"/>
      <c r="L103" s="36"/>
    </row>
    <row r="104" customFormat="false" ht="18" hidden="false" customHeight="true" outlineLevel="0" collapsed="false">
      <c r="B104" s="34"/>
      <c r="C104" s="35"/>
      <c r="D104" s="35"/>
      <c r="E104" s="36"/>
      <c r="F104" s="37"/>
      <c r="G104" s="37"/>
      <c r="H104" s="38" t="str">
        <f aca="false">IFERROR(IF(AND(F104&lt;&gt;"",G104&lt;&gt;""),IF(G104&gt;F104,(G104-F104)*24,(1-(F104-G104))*24),""),"—")</f>
        <v/>
      </c>
      <c r="I104" s="36"/>
      <c r="J104" s="35"/>
      <c r="K104" s="35"/>
      <c r="L104" s="36"/>
    </row>
    <row r="105" customFormat="false" ht="21.75" hidden="false" customHeight="true" outlineLevel="0" collapsed="false">
      <c r="B105" s="39" t="s">
        <v>57</v>
      </c>
      <c r="C105" s="39"/>
      <c r="D105" s="39"/>
      <c r="E105" s="39"/>
      <c r="F105" s="39"/>
      <c r="G105" s="39"/>
      <c r="H105" s="40" t="n">
        <f aca="false">SUM(H5:H104)</f>
        <v>0</v>
      </c>
      <c r="I105" s="41"/>
      <c r="J105" s="41"/>
      <c r="K105" s="41"/>
      <c r="L105" s="41"/>
    </row>
  </sheetData>
  <mergeCells count="4">
    <mergeCell ref="B2:L2"/>
    <mergeCell ref="B3:L3"/>
    <mergeCell ref="B105:G105"/>
    <mergeCell ref="I105:L105"/>
  </mergeCells>
  <dataValidations count="2">
    <dataValidation allowBlank="true" errorStyle="stop" operator="between" showDropDown="false" showErrorMessage="false" showInputMessage="false" sqref="E5:E104" type="list">
      <formula1>"Day,Night,Afternoon"</formula1>
      <formula2>0</formula2>
    </dataValidation>
    <dataValidation allowBlank="true" errorStyle="stop" operator="between" showDropDown="false" showErrorMessage="false" showInputMessage="false" sqref="I5:I104" type="list">
      <formula1>"Mechanical,Electrical,Hydraulic,Pneumatic,Lubrication,Wear,Corrosion,Vibration,Overheating,Operator Error,Unknown"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8449"/>
    <pageSetUpPr fitToPage="false"/>
  </sheetPr>
  <dimension ref="A1:I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
    <col collapsed="false" customWidth="true" hidden="false" outlineLevel="0" max="2" min="2" style="1" width="16"/>
    <col collapsed="false" customWidth="true" hidden="false" outlineLevel="0" max="3" min="3" style="1" width="24"/>
    <col collapsed="false" customWidth="true" hidden="false" outlineLevel="0" max="4" min="4" style="1" width="18"/>
    <col collapsed="false" customWidth="true" hidden="false" outlineLevel="0" max="6" min="5" style="1" width="16"/>
    <col collapsed="false" customWidth="true" hidden="false" outlineLevel="0" max="7" min="7" style="1" width="18"/>
    <col collapsed="false" customWidth="true" hidden="false" outlineLevel="0" max="8" min="8" style="1" width="20"/>
    <col collapsed="false" customWidth="true" hidden="false" outlineLevel="0" max="9" min="9" style="1" width="14"/>
    <col collapsed="false" customWidth="true" hidden="false" outlineLevel="0" max="10" min="10" style="1" width="1"/>
  </cols>
  <sheetData>
    <row r="1" customFormat="false" ht="7.5" hidden="false" customHeight="true" outlineLevel="0" collapsed="false"/>
    <row r="2" customFormat="false" ht="36" hidden="false" customHeight="true" outlineLevel="0" collapsed="false">
      <c r="A2" s="2"/>
      <c r="B2" s="31" t="s">
        <v>58</v>
      </c>
      <c r="C2" s="31"/>
      <c r="D2" s="31"/>
      <c r="E2" s="31"/>
      <c r="F2" s="31"/>
      <c r="G2" s="31"/>
      <c r="H2" s="31"/>
      <c r="I2" s="2"/>
    </row>
    <row r="3" customFormat="false" ht="19.5" hidden="false" customHeight="true" outlineLevel="0" collapsed="false">
      <c r="B3" s="32" t="s">
        <v>59</v>
      </c>
      <c r="C3" s="32"/>
      <c r="D3" s="32"/>
      <c r="E3" s="32"/>
      <c r="F3" s="32"/>
      <c r="G3" s="32"/>
      <c r="H3" s="32"/>
    </row>
    <row r="4" customFormat="false" ht="27.75" hidden="false" customHeight="true" outlineLevel="0" collapsed="false">
      <c r="B4" s="33" t="s">
        <v>48</v>
      </c>
      <c r="C4" s="33" t="s">
        <v>49</v>
      </c>
      <c r="D4" s="33" t="s">
        <v>60</v>
      </c>
      <c r="E4" s="33" t="s">
        <v>61</v>
      </c>
      <c r="F4" s="33" t="s">
        <v>62</v>
      </c>
      <c r="G4" s="33" t="s">
        <v>63</v>
      </c>
      <c r="H4" s="33" t="s">
        <v>64</v>
      </c>
      <c r="I4" s="33" t="s">
        <v>65</v>
      </c>
    </row>
    <row r="5" customFormat="false" ht="18" hidden="false" customHeight="true" outlineLevel="0" collapsed="false">
      <c r="B5" s="36" t="s">
        <v>66</v>
      </c>
      <c r="C5" s="35" t="s">
        <v>67</v>
      </c>
      <c r="D5" s="36" t="s">
        <v>68</v>
      </c>
      <c r="E5" s="36" t="s">
        <v>69</v>
      </c>
      <c r="F5" s="36" t="s">
        <v>70</v>
      </c>
      <c r="G5" s="34"/>
      <c r="H5" s="42" t="n">
        <v>8400</v>
      </c>
      <c r="I5" s="17"/>
    </row>
    <row r="6" customFormat="false" ht="18" hidden="false" customHeight="true" outlineLevel="0" collapsed="false">
      <c r="B6" s="36" t="s">
        <v>71</v>
      </c>
      <c r="C6" s="35" t="s">
        <v>72</v>
      </c>
      <c r="D6" s="36" t="s">
        <v>73</v>
      </c>
      <c r="E6" s="36" t="s">
        <v>69</v>
      </c>
      <c r="F6" s="36" t="s">
        <v>74</v>
      </c>
      <c r="G6" s="34"/>
      <c r="H6" s="42" t="n">
        <v>8400</v>
      </c>
      <c r="I6" s="20"/>
    </row>
    <row r="7" customFormat="false" ht="18" hidden="false" customHeight="true" outlineLevel="0" collapsed="false">
      <c r="B7" s="36" t="s">
        <v>75</v>
      </c>
      <c r="C7" s="35" t="s">
        <v>76</v>
      </c>
      <c r="D7" s="36" t="s">
        <v>77</v>
      </c>
      <c r="E7" s="36" t="s">
        <v>78</v>
      </c>
      <c r="F7" s="36" t="s">
        <v>70</v>
      </c>
      <c r="G7" s="34"/>
      <c r="H7" s="42" t="n">
        <v>8736</v>
      </c>
      <c r="I7" s="17"/>
    </row>
    <row r="8" customFormat="false" ht="18" hidden="false" customHeight="true" outlineLevel="0" collapsed="false">
      <c r="B8" s="36" t="s">
        <v>79</v>
      </c>
      <c r="C8" s="35" t="s">
        <v>80</v>
      </c>
      <c r="D8" s="36" t="s">
        <v>81</v>
      </c>
      <c r="E8" s="36" t="s">
        <v>78</v>
      </c>
      <c r="F8" s="36" t="s">
        <v>70</v>
      </c>
      <c r="G8" s="34"/>
      <c r="H8" s="42" t="n">
        <v>8736</v>
      </c>
      <c r="I8" s="20"/>
    </row>
    <row r="9" customFormat="false" ht="18" hidden="false" customHeight="true" outlineLevel="0" collapsed="false">
      <c r="B9" s="36" t="s">
        <v>82</v>
      </c>
      <c r="C9" s="35" t="s">
        <v>83</v>
      </c>
      <c r="D9" s="36" t="s">
        <v>84</v>
      </c>
      <c r="E9" s="36" t="s">
        <v>85</v>
      </c>
      <c r="F9" s="36" t="s">
        <v>70</v>
      </c>
      <c r="G9" s="34"/>
      <c r="H9" s="42" t="n">
        <v>8400</v>
      </c>
      <c r="I9" s="17"/>
    </row>
    <row r="10" customFormat="false" ht="18" hidden="false" customHeight="true" outlineLevel="0" collapsed="false">
      <c r="B10" s="36" t="s">
        <v>86</v>
      </c>
      <c r="C10" s="35" t="s">
        <v>87</v>
      </c>
      <c r="D10" s="36" t="s">
        <v>88</v>
      </c>
      <c r="E10" s="36" t="s">
        <v>85</v>
      </c>
      <c r="F10" s="36" t="s">
        <v>70</v>
      </c>
      <c r="G10" s="34"/>
      <c r="H10" s="42" t="n">
        <v>8400</v>
      </c>
      <c r="I10" s="20"/>
    </row>
    <row r="11" customFormat="false" ht="18" hidden="false" customHeight="true" outlineLevel="0" collapsed="false">
      <c r="B11" s="36" t="s">
        <v>89</v>
      </c>
      <c r="C11" s="35" t="s">
        <v>90</v>
      </c>
      <c r="D11" s="36" t="s">
        <v>84</v>
      </c>
      <c r="E11" s="36" t="s">
        <v>91</v>
      </c>
      <c r="F11" s="36" t="s">
        <v>70</v>
      </c>
      <c r="G11" s="34"/>
      <c r="H11" s="42" t="n">
        <v>8000</v>
      </c>
      <c r="I11" s="17"/>
    </row>
    <row r="12" customFormat="false" ht="18" hidden="false" customHeight="true" outlineLevel="0" collapsed="false">
      <c r="B12" s="36" t="s">
        <v>92</v>
      </c>
      <c r="C12" s="35" t="s">
        <v>93</v>
      </c>
      <c r="D12" s="36" t="s">
        <v>88</v>
      </c>
      <c r="E12" s="36" t="s">
        <v>94</v>
      </c>
      <c r="F12" s="36" t="s">
        <v>70</v>
      </c>
      <c r="G12" s="34"/>
      <c r="H12" s="42" t="n">
        <v>8000</v>
      </c>
      <c r="I12" s="20"/>
    </row>
    <row r="13" customFormat="false" ht="18" hidden="false" customHeight="true" outlineLevel="0" collapsed="false">
      <c r="B13" s="36" t="s">
        <v>95</v>
      </c>
      <c r="C13" s="35" t="s">
        <v>96</v>
      </c>
      <c r="D13" s="36" t="s">
        <v>97</v>
      </c>
      <c r="E13" s="36" t="s">
        <v>98</v>
      </c>
      <c r="F13" s="36" t="s">
        <v>74</v>
      </c>
      <c r="G13" s="34"/>
      <c r="H13" s="42" t="n">
        <v>8760</v>
      </c>
      <c r="I13" s="17"/>
    </row>
    <row r="14" customFormat="false" ht="18" hidden="false" customHeight="true" outlineLevel="0" collapsed="false">
      <c r="B14" s="36" t="s">
        <v>99</v>
      </c>
      <c r="C14" s="35" t="s">
        <v>100</v>
      </c>
      <c r="D14" s="36" t="s">
        <v>101</v>
      </c>
      <c r="E14" s="36" t="s">
        <v>102</v>
      </c>
      <c r="F14" s="36" t="s">
        <v>103</v>
      </c>
      <c r="G14" s="34"/>
      <c r="H14" s="42" t="n">
        <v>8760</v>
      </c>
      <c r="I14" s="20"/>
    </row>
    <row r="15" customFormat="false" ht="18" hidden="false" customHeight="true" outlineLevel="0" collapsed="false">
      <c r="B15" s="36"/>
      <c r="C15" s="35"/>
      <c r="D15" s="36"/>
      <c r="E15" s="36"/>
      <c r="F15" s="36"/>
      <c r="G15" s="36"/>
      <c r="H15" s="36"/>
    </row>
    <row r="16" customFormat="false" ht="18" hidden="false" customHeight="true" outlineLevel="0" collapsed="false">
      <c r="B16" s="36"/>
      <c r="C16" s="35"/>
      <c r="D16" s="36"/>
      <c r="E16" s="36"/>
      <c r="F16" s="36"/>
      <c r="G16" s="36"/>
      <c r="H16" s="36"/>
    </row>
    <row r="17" customFormat="false" ht="18" hidden="false" customHeight="true" outlineLevel="0" collapsed="false">
      <c r="B17" s="36"/>
      <c r="C17" s="35"/>
      <c r="D17" s="36"/>
      <c r="E17" s="36"/>
      <c r="F17" s="36"/>
      <c r="G17" s="36"/>
      <c r="H17" s="36"/>
    </row>
    <row r="18" customFormat="false" ht="18" hidden="false" customHeight="true" outlineLevel="0" collapsed="false">
      <c r="B18" s="36"/>
      <c r="C18" s="35"/>
      <c r="D18" s="36"/>
      <c r="E18" s="36"/>
      <c r="F18" s="36"/>
      <c r="G18" s="36"/>
      <c r="H18" s="36"/>
    </row>
    <row r="19" customFormat="false" ht="18" hidden="false" customHeight="true" outlineLevel="0" collapsed="false">
      <c r="B19" s="36"/>
      <c r="C19" s="35"/>
      <c r="D19" s="36"/>
      <c r="E19" s="36"/>
      <c r="F19" s="36"/>
      <c r="G19" s="36"/>
      <c r="H19" s="36"/>
    </row>
    <row r="20" customFormat="false" ht="18" hidden="false" customHeight="true" outlineLevel="0" collapsed="false">
      <c r="B20" s="36"/>
      <c r="C20" s="35"/>
      <c r="D20" s="36"/>
      <c r="E20" s="36"/>
      <c r="F20" s="36"/>
      <c r="G20" s="36"/>
      <c r="H20" s="36"/>
    </row>
    <row r="21" customFormat="false" ht="18" hidden="false" customHeight="true" outlineLevel="0" collapsed="false">
      <c r="B21" s="36"/>
      <c r="C21" s="35"/>
      <c r="D21" s="36"/>
      <c r="E21" s="36"/>
      <c r="F21" s="36"/>
      <c r="G21" s="36"/>
      <c r="H21" s="36"/>
    </row>
    <row r="22" customFormat="false" ht="18" hidden="false" customHeight="true" outlineLevel="0" collapsed="false">
      <c r="B22" s="36"/>
      <c r="C22" s="35"/>
      <c r="D22" s="36"/>
      <c r="E22" s="36"/>
      <c r="F22" s="36"/>
      <c r="G22" s="36"/>
      <c r="H22" s="36"/>
    </row>
    <row r="23" customFormat="false" ht="18" hidden="false" customHeight="true" outlineLevel="0" collapsed="false">
      <c r="B23" s="36"/>
      <c r="C23" s="35"/>
      <c r="D23" s="36"/>
      <c r="E23" s="36"/>
      <c r="F23" s="36"/>
      <c r="G23" s="36"/>
      <c r="H23" s="36"/>
    </row>
    <row r="24" customFormat="false" ht="18" hidden="false" customHeight="true" outlineLevel="0" collapsed="false">
      <c r="B24" s="36"/>
      <c r="C24" s="35"/>
      <c r="D24" s="36"/>
      <c r="E24" s="36"/>
      <c r="F24" s="36"/>
      <c r="G24" s="36"/>
      <c r="H24" s="36"/>
    </row>
    <row r="25" customFormat="false" ht="18" hidden="false" customHeight="true" outlineLevel="0" collapsed="false">
      <c r="B25" s="36"/>
      <c r="C25" s="35"/>
      <c r="D25" s="36"/>
      <c r="E25" s="36"/>
      <c r="F25" s="36"/>
      <c r="G25" s="36"/>
      <c r="H25" s="36"/>
    </row>
    <row r="26" customFormat="false" ht="18" hidden="false" customHeight="true" outlineLevel="0" collapsed="false">
      <c r="B26" s="36"/>
      <c r="C26" s="35"/>
      <c r="D26" s="36"/>
      <c r="E26" s="36"/>
      <c r="F26" s="36"/>
      <c r="G26" s="36"/>
      <c r="H26" s="36"/>
    </row>
    <row r="27" customFormat="false" ht="18" hidden="false" customHeight="true" outlineLevel="0" collapsed="false">
      <c r="B27" s="36"/>
      <c r="C27" s="35"/>
      <c r="D27" s="36"/>
      <c r="E27" s="36"/>
      <c r="F27" s="36"/>
      <c r="G27" s="36"/>
      <c r="H27" s="36"/>
    </row>
    <row r="28" customFormat="false" ht="18" hidden="false" customHeight="true" outlineLevel="0" collapsed="false">
      <c r="B28" s="36"/>
      <c r="C28" s="35"/>
      <c r="D28" s="36"/>
      <c r="E28" s="36"/>
      <c r="F28" s="36"/>
      <c r="G28" s="36"/>
      <c r="H28" s="36"/>
    </row>
    <row r="29" customFormat="false" ht="18" hidden="false" customHeight="true" outlineLevel="0" collapsed="false">
      <c r="B29" s="36"/>
      <c r="C29" s="35"/>
      <c r="D29" s="36"/>
      <c r="E29" s="36"/>
      <c r="F29" s="36"/>
      <c r="G29" s="36"/>
      <c r="H29" s="36"/>
    </row>
    <row r="30" customFormat="false" ht="18" hidden="false" customHeight="true" outlineLevel="0" collapsed="false">
      <c r="B30" s="36"/>
      <c r="C30" s="35"/>
      <c r="D30" s="36"/>
      <c r="E30" s="36"/>
      <c r="F30" s="36"/>
      <c r="G30" s="36"/>
      <c r="H30" s="36"/>
    </row>
    <row r="31" customFormat="false" ht="18" hidden="false" customHeight="true" outlineLevel="0" collapsed="false">
      <c r="B31" s="36"/>
      <c r="C31" s="35"/>
      <c r="D31" s="36"/>
      <c r="E31" s="36"/>
      <c r="F31" s="36"/>
      <c r="G31" s="36"/>
      <c r="H31" s="36"/>
    </row>
    <row r="32" customFormat="false" ht="18" hidden="false" customHeight="true" outlineLevel="0" collapsed="false">
      <c r="B32" s="36"/>
      <c r="C32" s="35"/>
      <c r="D32" s="36"/>
      <c r="E32" s="36"/>
      <c r="F32" s="36"/>
      <c r="G32" s="36"/>
      <c r="H32" s="36"/>
    </row>
    <row r="33" customFormat="false" ht="18" hidden="false" customHeight="true" outlineLevel="0" collapsed="false">
      <c r="B33" s="36"/>
      <c r="C33" s="35"/>
      <c r="D33" s="36"/>
      <c r="E33" s="36"/>
      <c r="F33" s="36"/>
      <c r="G33" s="36"/>
      <c r="H33" s="36"/>
    </row>
    <row r="34" customFormat="false" ht="18" hidden="false" customHeight="true" outlineLevel="0" collapsed="false">
      <c r="B34" s="36"/>
      <c r="C34" s="35"/>
      <c r="D34" s="36"/>
      <c r="E34" s="36"/>
      <c r="F34" s="36"/>
      <c r="G34" s="36"/>
      <c r="H34" s="36"/>
    </row>
    <row r="35" customFormat="false" ht="18" hidden="false" customHeight="true" outlineLevel="0" collapsed="false">
      <c r="B35" s="36"/>
      <c r="C35" s="35"/>
      <c r="D35" s="36"/>
      <c r="E35" s="36"/>
      <c r="F35" s="36"/>
      <c r="G35" s="36"/>
      <c r="H35" s="36"/>
    </row>
    <row r="36" customFormat="false" ht="18" hidden="false" customHeight="true" outlineLevel="0" collapsed="false">
      <c r="B36" s="36"/>
      <c r="C36" s="35"/>
      <c r="D36" s="36"/>
      <c r="E36" s="36"/>
      <c r="F36" s="36"/>
      <c r="G36" s="36"/>
      <c r="H36" s="36"/>
    </row>
    <row r="37" customFormat="false" ht="18" hidden="false" customHeight="true" outlineLevel="0" collapsed="false">
      <c r="B37" s="36"/>
      <c r="C37" s="35"/>
      <c r="D37" s="36"/>
      <c r="E37" s="36"/>
      <c r="F37" s="36"/>
      <c r="G37" s="36"/>
      <c r="H37" s="36"/>
    </row>
    <row r="38" customFormat="false" ht="18" hidden="false" customHeight="true" outlineLevel="0" collapsed="false">
      <c r="B38" s="36"/>
      <c r="C38" s="35"/>
      <c r="D38" s="36"/>
      <c r="E38" s="36"/>
      <c r="F38" s="36"/>
      <c r="G38" s="36"/>
      <c r="H38" s="36"/>
    </row>
    <row r="39" customFormat="false" ht="18" hidden="false" customHeight="true" outlineLevel="0" collapsed="false">
      <c r="B39" s="36"/>
      <c r="C39" s="35"/>
      <c r="D39" s="36"/>
      <c r="E39" s="36"/>
      <c r="F39" s="36"/>
      <c r="G39" s="36"/>
      <c r="H39" s="36"/>
    </row>
    <row r="40" customFormat="false" ht="18" hidden="false" customHeight="true" outlineLevel="0" collapsed="false">
      <c r="B40" s="36"/>
      <c r="C40" s="35"/>
      <c r="D40" s="36"/>
      <c r="E40" s="36"/>
      <c r="F40" s="36"/>
      <c r="G40" s="36"/>
      <c r="H40" s="36"/>
    </row>
    <row r="41" customFormat="false" ht="18" hidden="false" customHeight="true" outlineLevel="0" collapsed="false">
      <c r="B41" s="36"/>
      <c r="C41" s="35"/>
      <c r="D41" s="36"/>
      <c r="E41" s="36"/>
      <c r="F41" s="36"/>
      <c r="G41" s="36"/>
      <c r="H41" s="36"/>
    </row>
    <row r="42" customFormat="false" ht="18" hidden="false" customHeight="true" outlineLevel="0" collapsed="false">
      <c r="B42" s="36"/>
      <c r="C42" s="35"/>
      <c r="D42" s="36"/>
      <c r="E42" s="36"/>
      <c r="F42" s="36"/>
      <c r="G42" s="36"/>
      <c r="H42" s="36"/>
    </row>
    <row r="43" customFormat="false" ht="18" hidden="false" customHeight="true" outlineLevel="0" collapsed="false">
      <c r="B43" s="36"/>
      <c r="C43" s="35"/>
      <c r="D43" s="36"/>
      <c r="E43" s="36"/>
      <c r="F43" s="36"/>
      <c r="G43" s="36"/>
      <c r="H43" s="36"/>
    </row>
    <row r="44" customFormat="false" ht="18" hidden="false" customHeight="true" outlineLevel="0" collapsed="false">
      <c r="B44" s="36"/>
      <c r="C44" s="35"/>
      <c r="D44" s="36"/>
      <c r="E44" s="36"/>
      <c r="F44" s="36"/>
      <c r="G44" s="36"/>
      <c r="H44" s="36"/>
    </row>
  </sheetData>
  <mergeCells count="2">
    <mergeCell ref="B2:H2"/>
    <mergeCell ref="B3:H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true" outlineLevel="0" collapsed="false">
      <c r="A1" s="1" t="s">
        <v>104</v>
      </c>
      <c r="B1" s="1" t="s">
        <v>105</v>
      </c>
      <c r="D1" s="1" t="s">
        <v>37</v>
      </c>
      <c r="E1" s="1" t="s">
        <v>106</v>
      </c>
      <c r="F1" s="1" t="s">
        <v>107</v>
      </c>
      <c r="H1" s="1" t="s">
        <v>39</v>
      </c>
      <c r="I1" s="1" t="s">
        <v>106</v>
      </c>
      <c r="J1" s="1" t="s">
        <v>107</v>
      </c>
      <c r="M1" s="1" t="s">
        <v>42</v>
      </c>
      <c r="N1" s="1" t="s">
        <v>37</v>
      </c>
      <c r="O1" s="1" t="s">
        <v>108</v>
      </c>
      <c r="P1" s="1" t="s">
        <v>106</v>
      </c>
      <c r="Q1" s="1" t="s">
        <v>50</v>
      </c>
      <c r="R1" s="1" t="s">
        <v>109</v>
      </c>
      <c r="T1" s="1" t="s">
        <v>43</v>
      </c>
      <c r="U1" s="1" t="s">
        <v>106</v>
      </c>
      <c r="V1" s="1" t="s">
        <v>110</v>
      </c>
      <c r="W1" s="1" t="s">
        <v>44</v>
      </c>
      <c r="X1" s="1" t="s">
        <v>45</v>
      </c>
      <c r="Y1" s="1" t="s">
        <v>23</v>
      </c>
    </row>
    <row r="2" customFormat="false" ht="15" hidden="false" customHeight="true" outlineLevel="0" collapsed="false">
      <c r="A2" s="1" t="s">
        <v>23</v>
      </c>
      <c r="B2" s="43" t="n">
        <f aca="false">IFERROR(B5*0.85*0.95,0)</f>
        <v>0.8075</v>
      </c>
    </row>
    <row r="3" customFormat="false" ht="15" hidden="false" customHeight="true" outlineLevel="0" collapsed="false">
      <c r="A3" s="1" t="s">
        <v>44</v>
      </c>
      <c r="B3" s="44" t="n">
        <f aca="false">IFERROR((B8-B6)/B7,0)</f>
        <v>0</v>
      </c>
      <c r="D3" s="1" t="s">
        <v>66</v>
      </c>
      <c r="E3" s="44" t="n">
        <f aca="false">SUMIF('📋 Downtime Log'!C5:C104,D3,'📋 Downtime Log'!H5:H104)</f>
        <v>0</v>
      </c>
      <c r="F3" s="43" t="n">
        <f aca="false">IFERROR(E3/SUM(E3:E10),0)</f>
        <v>0</v>
      </c>
      <c r="H3" s="1" t="s">
        <v>111</v>
      </c>
      <c r="I3" s="44" t="n">
        <f aca="false">SUMIF('📋 Downtime Log'!I5:I104,H3,'📋 Downtime Log'!H5:H104)</f>
        <v>0</v>
      </c>
      <c r="J3" s="43" t="n">
        <f aca="false">IFERROR(I3/SUM(I3:I10),0)</f>
        <v>0</v>
      </c>
      <c r="M3" s="45" t="str">
        <f aca="false">IFERROR(INDEX('📋 Downtime Log'!B5:B104,MATCH(LARGE('📋 Downtime Log'!H5:H104,1),'📋 Downtime Log'!H5:H104,0)),"")</f>
        <v/>
      </c>
      <c r="N3" s="1" t="str">
        <f aca="false">IFERROR(INDEX('📋 Downtime Log'!C5:C104,MATCH(LARGE('📋 Downtime Log'!H5:H104,1),'📋 Downtime Log'!H5:H104,0)),"")</f>
        <v/>
      </c>
      <c r="O3" s="1" t="str">
        <f aca="false">IFERROR(INDEX('📋 Downtime Log'!I5:I104,MATCH(LARGE('📋 Downtime Log'!H5:H104,1),'📋 Downtime Log'!H5:H104,0)),"")</f>
        <v/>
      </c>
      <c r="P3" s="44" t="str">
        <f aca="false">IFERROR(LARGE('📋 Downtime Log'!H5:H104,1),"")</f>
        <v/>
      </c>
      <c r="Q3" s="1" t="str">
        <f aca="false">IFERROR(INDEX('📋 Downtime Log'!E5:E104,MATCH(LARGE('📋 Downtime Log'!H5:H104,1),'📋 Downtime Log'!H5:H104,0)),"")</f>
        <v/>
      </c>
      <c r="R3" s="1" t="str">
        <f aca="false">IFERROR(INDEX('📋 Downtime Log'!L5:L104,MATCH(LARGE('📋 Downtime Log'!H5:H104,1),'📋 Downtime Log'!H5:H104,0)),"")</f>
        <v/>
      </c>
      <c r="T3" s="1" t="s">
        <v>112</v>
      </c>
      <c r="U3" s="44" t="n">
        <f aca="false">IFERROR(SUMPRODUCT((TEXT('📋 Downtime Log'!B5:B104,"MMM")="Jan")*('📋 Downtime Log'!H5:H104)),0)</f>
        <v>0</v>
      </c>
      <c r="V3" s="46" t="n">
        <f aca="false">IFERROR(SUMPRODUCT((TEXT('📋 Downtime Log'!B5:B104,"MMM")="Jan")*1),0)</f>
        <v>0</v>
      </c>
      <c r="W3" s="44" t="n">
        <f aca="false">IFERROR((700-U3)/V3,0)</f>
        <v>0</v>
      </c>
      <c r="X3" s="44" t="n">
        <f aca="false">IFERROR(U3/V3,0)</f>
        <v>0</v>
      </c>
      <c r="Y3" s="43" t="n">
        <f aca="false">IFERROR((700-U3)/700*0.85*0.95,0)</f>
        <v>0.8075</v>
      </c>
    </row>
    <row r="4" customFormat="false" ht="15" hidden="false" customHeight="true" outlineLevel="0" collapsed="false">
      <c r="A4" s="1" t="s">
        <v>45</v>
      </c>
      <c r="B4" s="44" t="n">
        <f aca="false">IFERROR(B6/B7,0)</f>
        <v>0</v>
      </c>
      <c r="D4" s="1" t="s">
        <v>71</v>
      </c>
      <c r="E4" s="44" t="n">
        <f aca="false">SUMIF('📋 Downtime Log'!C5:C104,D4,'📋 Downtime Log'!H5:H104)</f>
        <v>0</v>
      </c>
      <c r="F4" s="43" t="n">
        <f aca="false">IFERROR(E4/SUM(E3:E10),0)</f>
        <v>0</v>
      </c>
      <c r="H4" s="1" t="s">
        <v>113</v>
      </c>
      <c r="I4" s="44" t="n">
        <f aca="false">SUMIF('📋 Downtime Log'!I5:I104,H4,'📋 Downtime Log'!H5:H104)</f>
        <v>0</v>
      </c>
      <c r="J4" s="43" t="n">
        <f aca="false">IFERROR(I4/SUM(I3:I10),0)</f>
        <v>0</v>
      </c>
      <c r="M4" s="45" t="str">
        <f aca="false">IFERROR(INDEX('📋 Downtime Log'!B5:B104,MATCH(LARGE('📋 Downtime Log'!H5:H104,2),'📋 Downtime Log'!H5:H104,0)),"")</f>
        <v/>
      </c>
      <c r="N4" s="1" t="str">
        <f aca="false">IFERROR(INDEX('📋 Downtime Log'!C5:C104,MATCH(LARGE('📋 Downtime Log'!H5:H104,2),'📋 Downtime Log'!H5:H104,0)),"")</f>
        <v/>
      </c>
      <c r="O4" s="1" t="str">
        <f aca="false">IFERROR(INDEX('📋 Downtime Log'!I5:I104,MATCH(LARGE('📋 Downtime Log'!H5:H104,2),'📋 Downtime Log'!H5:H104,0)),"")</f>
        <v/>
      </c>
      <c r="P4" s="44" t="str">
        <f aca="false">IFERROR(LARGE('📋 Downtime Log'!H5:H104,2),"")</f>
        <v/>
      </c>
      <c r="Q4" s="1" t="str">
        <f aca="false">IFERROR(INDEX('📋 Downtime Log'!E5:E104,MATCH(LARGE('📋 Downtime Log'!H5:H104,2),'📋 Downtime Log'!H5:H104,0)),"")</f>
        <v/>
      </c>
      <c r="R4" s="1" t="str">
        <f aca="false">IFERROR(INDEX('📋 Downtime Log'!L5:L104,MATCH(LARGE('📋 Downtime Log'!H5:H104,2),'📋 Downtime Log'!H5:H104,0)),"")</f>
        <v/>
      </c>
      <c r="T4" s="1" t="s">
        <v>114</v>
      </c>
      <c r="U4" s="44" t="n">
        <f aca="false">IFERROR(SUMPRODUCT((TEXT('📋 Downtime Log'!B5:B104,"MMM")="Feb")*('📋 Downtime Log'!H5:H104)),0)</f>
        <v>0</v>
      </c>
      <c r="V4" s="46" t="n">
        <f aca="false">IFERROR(SUMPRODUCT((TEXT('📋 Downtime Log'!B5:B104,"MMM")="Feb")*1),0)</f>
        <v>0</v>
      </c>
      <c r="W4" s="44" t="n">
        <f aca="false">IFERROR((700-U4)/V4,0)</f>
        <v>0</v>
      </c>
      <c r="X4" s="44" t="n">
        <f aca="false">IFERROR(U4/V4,0)</f>
        <v>0</v>
      </c>
      <c r="Y4" s="43" t="n">
        <f aca="false">IFERROR((700-U4)/700*0.85*0.95,0)</f>
        <v>0.8075</v>
      </c>
    </row>
    <row r="5" customFormat="false" ht="15" hidden="false" customHeight="true" outlineLevel="0" collapsed="false">
      <c r="A5" s="1" t="s">
        <v>26</v>
      </c>
      <c r="B5" s="43" t="n">
        <f aca="false">IFERROR((B8-B6)/B8,0)</f>
        <v>1</v>
      </c>
      <c r="D5" s="1" t="s">
        <v>75</v>
      </c>
      <c r="E5" s="44" t="n">
        <f aca="false">SUMIF('📋 Downtime Log'!C5:C104,D5,'📋 Downtime Log'!H5:H104)</f>
        <v>0</v>
      </c>
      <c r="F5" s="43" t="n">
        <f aca="false">IFERROR(E5/SUM(E3:E10),0)</f>
        <v>0</v>
      </c>
      <c r="H5" s="1" t="s">
        <v>115</v>
      </c>
      <c r="I5" s="44" t="n">
        <f aca="false">SUMIF('📋 Downtime Log'!I5:I104,H5,'📋 Downtime Log'!H5:H104)</f>
        <v>0</v>
      </c>
      <c r="J5" s="43" t="n">
        <f aca="false">IFERROR(I5/SUM(I3:I10),0)</f>
        <v>0</v>
      </c>
      <c r="M5" s="45" t="str">
        <f aca="false">IFERROR(INDEX('📋 Downtime Log'!B5:B104,MATCH(LARGE('📋 Downtime Log'!H5:H104,3),'📋 Downtime Log'!H5:H104,0)),"")</f>
        <v/>
      </c>
      <c r="N5" s="1" t="str">
        <f aca="false">IFERROR(INDEX('📋 Downtime Log'!C5:C104,MATCH(LARGE('📋 Downtime Log'!H5:H104,3),'📋 Downtime Log'!H5:H104,0)),"")</f>
        <v/>
      </c>
      <c r="O5" s="1" t="str">
        <f aca="false">IFERROR(INDEX('📋 Downtime Log'!I5:I104,MATCH(LARGE('📋 Downtime Log'!H5:H104,3),'📋 Downtime Log'!H5:H104,0)),"")</f>
        <v/>
      </c>
      <c r="P5" s="44" t="str">
        <f aca="false">IFERROR(LARGE('📋 Downtime Log'!H5:H104,3),"")</f>
        <v/>
      </c>
      <c r="Q5" s="1" t="str">
        <f aca="false">IFERROR(INDEX('📋 Downtime Log'!E5:E104,MATCH(LARGE('📋 Downtime Log'!H5:H104,3),'📋 Downtime Log'!H5:H104,0)),"")</f>
        <v/>
      </c>
      <c r="R5" s="1" t="str">
        <f aca="false">IFERROR(INDEX('📋 Downtime Log'!L5:L104,MATCH(LARGE('📋 Downtime Log'!H5:H104,3),'📋 Downtime Log'!H5:H104,0)),"")</f>
        <v/>
      </c>
      <c r="T5" s="1" t="s">
        <v>116</v>
      </c>
      <c r="U5" s="44" t="n">
        <f aca="false">IFERROR(SUMPRODUCT((TEXT('📋 Downtime Log'!B5:B104,"MMM")="Mar")*('📋 Downtime Log'!H5:H104)),0)</f>
        <v>0</v>
      </c>
      <c r="V5" s="46" t="n">
        <f aca="false">IFERROR(SUMPRODUCT((TEXT('📋 Downtime Log'!B5:B104,"MMM")="Mar")*1),0)</f>
        <v>0</v>
      </c>
      <c r="W5" s="44" t="n">
        <f aca="false">IFERROR((700-U5)/V5,0)</f>
        <v>0</v>
      </c>
      <c r="X5" s="44" t="n">
        <f aca="false">IFERROR(U5/V5,0)</f>
        <v>0</v>
      </c>
      <c r="Y5" s="43" t="n">
        <f aca="false">IFERROR((700-U5)/700*0.85*0.95,0)</f>
        <v>0.8075</v>
      </c>
    </row>
    <row r="6" customFormat="false" ht="15" hidden="false" customHeight="true" outlineLevel="0" collapsed="false">
      <c r="A6" s="1" t="s">
        <v>117</v>
      </c>
      <c r="B6" s="47" t="n">
        <f aca="false">'📋 Downtime Log'!H105</f>
        <v>0</v>
      </c>
      <c r="D6" s="1" t="s">
        <v>79</v>
      </c>
      <c r="E6" s="44" t="n">
        <f aca="false">SUMIF('📋 Downtime Log'!C5:C104,D6,'📋 Downtime Log'!H5:H104)</f>
        <v>0</v>
      </c>
      <c r="F6" s="43" t="n">
        <f aca="false">IFERROR(E6/SUM(E3:E10),0)</f>
        <v>0</v>
      </c>
      <c r="H6" s="1" t="s">
        <v>118</v>
      </c>
      <c r="I6" s="44" t="n">
        <f aca="false">SUMIF('📋 Downtime Log'!I5:I104,H6,'📋 Downtime Log'!H5:H104)</f>
        <v>0</v>
      </c>
      <c r="J6" s="43" t="n">
        <f aca="false">IFERROR(I6/SUM(I3:I10),0)</f>
        <v>0</v>
      </c>
      <c r="M6" s="45" t="str">
        <f aca="false">IFERROR(INDEX('📋 Downtime Log'!B5:B104,MATCH(LARGE('📋 Downtime Log'!H5:H104,4),'📋 Downtime Log'!H5:H104,0)),"")</f>
        <v/>
      </c>
      <c r="N6" s="1" t="str">
        <f aca="false">IFERROR(INDEX('📋 Downtime Log'!C5:C104,MATCH(LARGE('📋 Downtime Log'!H5:H104,4),'📋 Downtime Log'!H5:H104,0)),"")</f>
        <v/>
      </c>
      <c r="O6" s="1" t="str">
        <f aca="false">IFERROR(INDEX('📋 Downtime Log'!I5:I104,MATCH(LARGE('📋 Downtime Log'!H5:H104,4),'📋 Downtime Log'!H5:H104,0)),"")</f>
        <v/>
      </c>
      <c r="P6" s="44" t="str">
        <f aca="false">IFERROR(LARGE('📋 Downtime Log'!H5:H104,4),"")</f>
        <v/>
      </c>
      <c r="Q6" s="1" t="str">
        <f aca="false">IFERROR(INDEX('📋 Downtime Log'!E5:E104,MATCH(LARGE('📋 Downtime Log'!H5:H104,4),'📋 Downtime Log'!H5:H104,0)),"")</f>
        <v/>
      </c>
      <c r="R6" s="1" t="str">
        <f aca="false">IFERROR(INDEX('📋 Downtime Log'!L5:L104,MATCH(LARGE('📋 Downtime Log'!H5:H104,4),'📋 Downtime Log'!H5:H104,0)),"")</f>
        <v/>
      </c>
      <c r="T6" s="1" t="s">
        <v>119</v>
      </c>
      <c r="U6" s="44" t="n">
        <f aca="false">IFERROR(SUMPRODUCT((TEXT('📋 Downtime Log'!B5:B104,"MMM")="Apr")*('📋 Downtime Log'!H5:H104)),0)</f>
        <v>0</v>
      </c>
      <c r="V6" s="46" t="n">
        <f aca="false">IFERROR(SUMPRODUCT((TEXT('📋 Downtime Log'!B5:B104,"MMM")="Apr")*1),0)</f>
        <v>0</v>
      </c>
      <c r="W6" s="44" t="n">
        <f aca="false">IFERROR((700-U6)/V6,0)</f>
        <v>0</v>
      </c>
      <c r="X6" s="44" t="n">
        <f aca="false">IFERROR(U6/V6,0)</f>
        <v>0</v>
      </c>
      <c r="Y6" s="43" t="n">
        <f aca="false">IFERROR((700-U6)/700*0.85*0.95,0)</f>
        <v>0.8075</v>
      </c>
    </row>
    <row r="7" customFormat="false" ht="15" hidden="false" customHeight="true" outlineLevel="0" collapsed="false">
      <c r="A7" s="1" t="s">
        <v>120</v>
      </c>
      <c r="B7" s="46" t="n">
        <f aca="false">'📋 Downtime Log'!I105</f>
        <v>0</v>
      </c>
      <c r="D7" s="1" t="s">
        <v>82</v>
      </c>
      <c r="E7" s="44" t="n">
        <f aca="false">SUMIF('📋 Downtime Log'!C5:C104,D7,'📋 Downtime Log'!H5:H104)</f>
        <v>0</v>
      </c>
      <c r="F7" s="43" t="n">
        <f aca="false">IFERROR(E7/SUM(E3:E10),0)</f>
        <v>0</v>
      </c>
      <c r="H7" s="1" t="s">
        <v>121</v>
      </c>
      <c r="I7" s="44" t="n">
        <f aca="false">SUMIF('📋 Downtime Log'!I5:I104,H7,'📋 Downtime Log'!H5:H104)</f>
        <v>0</v>
      </c>
      <c r="J7" s="43" t="n">
        <f aca="false">IFERROR(I7/SUM(I3:I10),0)</f>
        <v>0</v>
      </c>
      <c r="M7" s="45" t="str">
        <f aca="false">IFERROR(INDEX('📋 Downtime Log'!B5:B104,MATCH(LARGE('📋 Downtime Log'!H5:H104,5),'📋 Downtime Log'!H5:H104,0)),"")</f>
        <v/>
      </c>
      <c r="N7" s="1" t="str">
        <f aca="false">IFERROR(INDEX('📋 Downtime Log'!C5:C104,MATCH(LARGE('📋 Downtime Log'!H5:H104,5),'📋 Downtime Log'!H5:H104,0)),"")</f>
        <v/>
      </c>
      <c r="O7" s="1" t="str">
        <f aca="false">IFERROR(INDEX('📋 Downtime Log'!I5:I104,MATCH(LARGE('📋 Downtime Log'!H5:H104,5),'📋 Downtime Log'!H5:H104,0)),"")</f>
        <v/>
      </c>
      <c r="P7" s="44" t="str">
        <f aca="false">IFERROR(LARGE('📋 Downtime Log'!H5:H104,5),"")</f>
        <v/>
      </c>
      <c r="Q7" s="1" t="str">
        <f aca="false">IFERROR(INDEX('📋 Downtime Log'!E5:E104,MATCH(LARGE('📋 Downtime Log'!H5:H104,5),'📋 Downtime Log'!H5:H104,0)),"")</f>
        <v/>
      </c>
      <c r="R7" s="1" t="str">
        <f aca="false">IFERROR(INDEX('📋 Downtime Log'!L5:L104,MATCH(LARGE('📋 Downtime Log'!H5:H104,5),'📋 Downtime Log'!H5:H104,0)),"")</f>
        <v/>
      </c>
      <c r="T7" s="1" t="s">
        <v>122</v>
      </c>
      <c r="U7" s="44" t="n">
        <f aca="false">IFERROR(SUMPRODUCT((TEXT('📋 Downtime Log'!B5:B104,"MMM")="May")*('📋 Downtime Log'!H5:H104)),0)</f>
        <v>0</v>
      </c>
      <c r="V7" s="46" t="n">
        <f aca="false">IFERROR(SUMPRODUCT((TEXT('📋 Downtime Log'!B5:B104,"MMM")="May")*1),0)</f>
        <v>0</v>
      </c>
      <c r="W7" s="44" t="n">
        <f aca="false">IFERROR((700-U7)/V7,0)</f>
        <v>0</v>
      </c>
      <c r="X7" s="44" t="n">
        <f aca="false">IFERROR(U7/V7,0)</f>
        <v>0</v>
      </c>
      <c r="Y7" s="43" t="n">
        <f aca="false">IFERROR((700-U7)/700*0.85*0.95,0)</f>
        <v>0.8075</v>
      </c>
    </row>
    <row r="8" customFormat="false" ht="15" hidden="false" customHeight="true" outlineLevel="0" collapsed="false">
      <c r="A8" s="1" t="s">
        <v>123</v>
      </c>
      <c r="B8" s="1" t="n">
        <f aca="false">SUMIF('⚙ Equipment Register'!B5:B44,"&lt;&gt;""",'⚙ Equipment Register'!H5:H44)</f>
        <v>84592</v>
      </c>
      <c r="D8" s="1" t="s">
        <v>86</v>
      </c>
      <c r="E8" s="44" t="n">
        <f aca="false">SUMIF('📋 Downtime Log'!C5:C104,D8,'📋 Downtime Log'!H5:H104)</f>
        <v>0</v>
      </c>
      <c r="F8" s="43" t="n">
        <f aca="false">IFERROR(E8/SUM(E3:E10),0)</f>
        <v>0</v>
      </c>
      <c r="H8" s="1" t="s">
        <v>124</v>
      </c>
      <c r="I8" s="44" t="n">
        <f aca="false">SUMIF('📋 Downtime Log'!I5:I104,H8,'📋 Downtime Log'!H5:H104)</f>
        <v>0</v>
      </c>
      <c r="J8" s="43" t="n">
        <f aca="false">IFERROR(I8/SUM(I3:I10),0)</f>
        <v>0</v>
      </c>
      <c r="M8" s="45" t="str">
        <f aca="false">IFERROR(INDEX('📋 Downtime Log'!B5:B104,MATCH(LARGE('📋 Downtime Log'!H5:H104,6),'📋 Downtime Log'!H5:H104,0)),"")</f>
        <v/>
      </c>
      <c r="N8" s="1" t="str">
        <f aca="false">IFERROR(INDEX('📋 Downtime Log'!C5:C104,MATCH(LARGE('📋 Downtime Log'!H5:H104,6),'📋 Downtime Log'!H5:H104,0)),"")</f>
        <v/>
      </c>
      <c r="O8" s="1" t="str">
        <f aca="false">IFERROR(INDEX('📋 Downtime Log'!I5:I104,MATCH(LARGE('📋 Downtime Log'!H5:H104,6),'📋 Downtime Log'!H5:H104,0)),"")</f>
        <v/>
      </c>
      <c r="P8" s="44" t="str">
        <f aca="false">IFERROR(LARGE('📋 Downtime Log'!H5:H104,6),"")</f>
        <v/>
      </c>
      <c r="Q8" s="1" t="str">
        <f aca="false">IFERROR(INDEX('📋 Downtime Log'!E5:E104,MATCH(LARGE('📋 Downtime Log'!H5:H104,6),'📋 Downtime Log'!H5:H104,0)),"")</f>
        <v/>
      </c>
      <c r="R8" s="1" t="str">
        <f aca="false">IFERROR(INDEX('📋 Downtime Log'!L5:L104,MATCH(LARGE('📋 Downtime Log'!H5:H104,6),'📋 Downtime Log'!H5:H104,0)),"")</f>
        <v/>
      </c>
      <c r="T8" s="1" t="s">
        <v>125</v>
      </c>
      <c r="U8" s="44" t="n">
        <f aca="false">IFERROR(SUMPRODUCT((TEXT('📋 Downtime Log'!B5:B104,"MMM")="Jun")*('📋 Downtime Log'!H5:H104)),0)</f>
        <v>0</v>
      </c>
      <c r="V8" s="46" t="n">
        <f aca="false">IFERROR(SUMPRODUCT((TEXT('📋 Downtime Log'!B5:B104,"MMM")="Jun")*1),0)</f>
        <v>0</v>
      </c>
      <c r="W8" s="44" t="n">
        <f aca="false">IFERROR((700-U8)/V8,0)</f>
        <v>0</v>
      </c>
      <c r="X8" s="44" t="n">
        <f aca="false">IFERROR(U8/V8,0)</f>
        <v>0</v>
      </c>
      <c r="Y8" s="43" t="n">
        <f aca="false">IFERROR((700-U8)/700*0.85*0.95,0)</f>
        <v>0.8075</v>
      </c>
    </row>
    <row r="9" customFormat="false" ht="15" hidden="false" customHeight="true" outlineLevel="0" collapsed="false">
      <c r="D9" s="1" t="s">
        <v>89</v>
      </c>
      <c r="E9" s="44" t="n">
        <f aca="false">SUMIF('📋 Downtime Log'!C5:C104,D9,'📋 Downtime Log'!H5:H104)</f>
        <v>0</v>
      </c>
      <c r="F9" s="43" t="n">
        <f aca="false">IFERROR(E9/SUM(E3:E10),0)</f>
        <v>0</v>
      </c>
      <c r="H9" s="1" t="s">
        <v>126</v>
      </c>
      <c r="I9" s="44" t="n">
        <f aca="false">SUMIF('📋 Downtime Log'!I5:I104,H9,'📋 Downtime Log'!H5:H104)</f>
        <v>0</v>
      </c>
      <c r="J9" s="43" t="n">
        <f aca="false">IFERROR(I9/SUM(I3:I10),0)</f>
        <v>0</v>
      </c>
      <c r="M9" s="45" t="str">
        <f aca="false">IFERROR(INDEX('📋 Downtime Log'!B5:B104,MATCH(LARGE('📋 Downtime Log'!H5:H104,7),'📋 Downtime Log'!H5:H104,0)),"")</f>
        <v/>
      </c>
      <c r="N9" s="1" t="str">
        <f aca="false">IFERROR(INDEX('📋 Downtime Log'!C5:C104,MATCH(LARGE('📋 Downtime Log'!H5:H104,7),'📋 Downtime Log'!H5:H104,0)),"")</f>
        <v/>
      </c>
      <c r="O9" s="1" t="str">
        <f aca="false">IFERROR(INDEX('📋 Downtime Log'!I5:I104,MATCH(LARGE('📋 Downtime Log'!H5:H104,7),'📋 Downtime Log'!H5:H104,0)),"")</f>
        <v/>
      </c>
      <c r="P9" s="44" t="str">
        <f aca="false">IFERROR(LARGE('📋 Downtime Log'!H5:H104,7),"")</f>
        <v/>
      </c>
      <c r="Q9" s="1" t="str">
        <f aca="false">IFERROR(INDEX('📋 Downtime Log'!E5:E104,MATCH(LARGE('📋 Downtime Log'!H5:H104,7),'📋 Downtime Log'!H5:H104,0)),"")</f>
        <v/>
      </c>
      <c r="R9" s="1" t="str">
        <f aca="false">IFERROR(INDEX('📋 Downtime Log'!L5:L104,MATCH(LARGE('📋 Downtime Log'!H5:H104,7),'📋 Downtime Log'!H5:H104,0)),"")</f>
        <v/>
      </c>
      <c r="T9" s="1" t="s">
        <v>127</v>
      </c>
      <c r="U9" s="44" t="n">
        <f aca="false">IFERROR(SUMPRODUCT((TEXT('📋 Downtime Log'!B5:B104,"MMM")="Jul")*('📋 Downtime Log'!H5:H104)),0)</f>
        <v>0</v>
      </c>
      <c r="V9" s="46" t="n">
        <f aca="false">IFERROR(SUMPRODUCT((TEXT('📋 Downtime Log'!B5:B104,"MMM")="Jul")*1),0)</f>
        <v>0</v>
      </c>
      <c r="W9" s="44" t="n">
        <f aca="false">IFERROR((700-U9)/V9,0)</f>
        <v>0</v>
      </c>
      <c r="X9" s="44" t="n">
        <f aca="false">IFERROR(U9/V9,0)</f>
        <v>0</v>
      </c>
      <c r="Y9" s="43" t="n">
        <f aca="false">IFERROR((700-U9)/700*0.85*0.95,0)</f>
        <v>0.8075</v>
      </c>
    </row>
    <row r="10" customFormat="false" ht="15" hidden="false" customHeight="true" outlineLevel="0" collapsed="false">
      <c r="D10" s="1" t="s">
        <v>92</v>
      </c>
      <c r="E10" s="44" t="n">
        <f aca="false">SUMIF('📋 Downtime Log'!C5:C104,D10,'📋 Downtime Log'!H5:H104)</f>
        <v>0</v>
      </c>
      <c r="F10" s="43" t="n">
        <f aca="false">IFERROR(E10/SUM(E3:E10),0)</f>
        <v>0</v>
      </c>
      <c r="H10" s="1" t="s">
        <v>128</v>
      </c>
      <c r="I10" s="44" t="n">
        <f aca="false">SUMIF('📋 Downtime Log'!I5:I104,H10,'📋 Downtime Log'!H5:H104)</f>
        <v>0</v>
      </c>
      <c r="J10" s="43" t="n">
        <f aca="false">IFERROR(I10/SUM(I3:I10),0)</f>
        <v>0</v>
      </c>
      <c r="M10" s="45" t="str">
        <f aca="false">IFERROR(INDEX('📋 Downtime Log'!B5:B104,MATCH(LARGE('📋 Downtime Log'!H5:H104,8),'📋 Downtime Log'!H5:H104,0)),"")</f>
        <v/>
      </c>
      <c r="N10" s="1" t="str">
        <f aca="false">IFERROR(INDEX('📋 Downtime Log'!C5:C104,MATCH(LARGE('📋 Downtime Log'!H5:H104,8),'📋 Downtime Log'!H5:H104,0)),"")</f>
        <v/>
      </c>
      <c r="O10" s="1" t="str">
        <f aca="false">IFERROR(INDEX('📋 Downtime Log'!I5:I104,MATCH(LARGE('📋 Downtime Log'!H5:H104,8),'📋 Downtime Log'!H5:H104,0)),"")</f>
        <v/>
      </c>
      <c r="P10" s="44" t="str">
        <f aca="false">IFERROR(LARGE('📋 Downtime Log'!H5:H104,8),"")</f>
        <v/>
      </c>
      <c r="Q10" s="1" t="str">
        <f aca="false">IFERROR(INDEX('📋 Downtime Log'!E5:E104,MATCH(LARGE('📋 Downtime Log'!H5:H104,8),'📋 Downtime Log'!H5:H104,0)),"")</f>
        <v/>
      </c>
      <c r="R10" s="1" t="str">
        <f aca="false">IFERROR(INDEX('📋 Downtime Log'!L5:L104,MATCH(LARGE('📋 Downtime Log'!H5:H104,8),'📋 Downtime Log'!H5:H104,0)),"")</f>
        <v/>
      </c>
      <c r="T10" s="1" t="s">
        <v>129</v>
      </c>
      <c r="U10" s="44" t="n">
        <f aca="false">IFERROR(SUMPRODUCT((TEXT('📋 Downtime Log'!B5:B104,"MMM")="Aug")*('📋 Downtime Log'!H5:H104)),0)</f>
        <v>0</v>
      </c>
      <c r="V10" s="46" t="n">
        <f aca="false">IFERROR(SUMPRODUCT((TEXT('📋 Downtime Log'!B5:B104,"MMM")="Aug")*1),0)</f>
        <v>0</v>
      </c>
      <c r="W10" s="44" t="n">
        <f aca="false">IFERROR((700-U10)/V10,0)</f>
        <v>0</v>
      </c>
      <c r="X10" s="44" t="n">
        <f aca="false">IFERROR(U10/V10,0)</f>
        <v>0</v>
      </c>
      <c r="Y10" s="43" t="n">
        <f aca="false">IFERROR((700-U10)/700*0.85*0.95,0)</f>
        <v>0.8075</v>
      </c>
    </row>
    <row r="11" customFormat="false" ht="15" hidden="false" customHeight="true" outlineLevel="0" collapsed="false">
      <c r="M11" s="45" t="str">
        <f aca="false">IFERROR(INDEX('📋 Downtime Log'!B5:B104,MATCH(LARGE('📋 Downtime Log'!H5:H104,9),'📋 Downtime Log'!H5:H104,0)),"")</f>
        <v/>
      </c>
      <c r="N11" s="1" t="str">
        <f aca="false">IFERROR(INDEX('📋 Downtime Log'!C5:C104,MATCH(LARGE('📋 Downtime Log'!H5:H104,9),'📋 Downtime Log'!H5:H104,0)),"")</f>
        <v/>
      </c>
      <c r="O11" s="1" t="str">
        <f aca="false">IFERROR(INDEX('📋 Downtime Log'!I5:I104,MATCH(LARGE('📋 Downtime Log'!H5:H104,9),'📋 Downtime Log'!H5:H104,0)),"")</f>
        <v/>
      </c>
      <c r="P11" s="44" t="str">
        <f aca="false">IFERROR(LARGE('📋 Downtime Log'!H5:H104,9),"")</f>
        <v/>
      </c>
      <c r="Q11" s="1" t="str">
        <f aca="false">IFERROR(INDEX('📋 Downtime Log'!E5:E104,MATCH(LARGE('📋 Downtime Log'!H5:H104,9),'📋 Downtime Log'!H5:H104,0)),"")</f>
        <v/>
      </c>
      <c r="R11" s="1" t="str">
        <f aca="false">IFERROR(INDEX('📋 Downtime Log'!L5:L104,MATCH(LARGE('📋 Downtime Log'!H5:H104,9),'📋 Downtime Log'!H5:H104,0)),"")</f>
        <v/>
      </c>
      <c r="T11" s="1" t="s">
        <v>130</v>
      </c>
      <c r="U11" s="44" t="n">
        <f aca="false">IFERROR(SUMPRODUCT((TEXT('📋 Downtime Log'!B5:B104,"MMM")="Sep")*('📋 Downtime Log'!H5:H104)),0)</f>
        <v>0</v>
      </c>
      <c r="V11" s="46" t="n">
        <f aca="false">IFERROR(SUMPRODUCT((TEXT('📋 Downtime Log'!B5:B104,"MMM")="Sep")*1),0)</f>
        <v>0</v>
      </c>
      <c r="W11" s="44" t="n">
        <f aca="false">IFERROR((700-U11)/V11,0)</f>
        <v>0</v>
      </c>
      <c r="X11" s="44" t="n">
        <f aca="false">IFERROR(U11/V11,0)</f>
        <v>0</v>
      </c>
      <c r="Y11" s="43" t="n">
        <f aca="false">IFERROR((700-U11)/700*0.85*0.95,0)</f>
        <v>0.8075</v>
      </c>
    </row>
    <row r="12" customFormat="false" ht="15" hidden="false" customHeight="true" outlineLevel="0" collapsed="false">
      <c r="M12" s="45" t="str">
        <f aca="false">IFERROR(INDEX('📋 Downtime Log'!B5:B104,MATCH(LARGE('📋 Downtime Log'!H5:H104,10),'📋 Downtime Log'!H5:H104,0)),"")</f>
        <v/>
      </c>
      <c r="N12" s="1" t="str">
        <f aca="false">IFERROR(INDEX('📋 Downtime Log'!C5:C104,MATCH(LARGE('📋 Downtime Log'!H5:H104,10),'📋 Downtime Log'!H5:H104,0)),"")</f>
        <v/>
      </c>
      <c r="O12" s="1" t="str">
        <f aca="false">IFERROR(INDEX('📋 Downtime Log'!I5:I104,MATCH(LARGE('📋 Downtime Log'!H5:H104,10),'📋 Downtime Log'!H5:H104,0)),"")</f>
        <v/>
      </c>
      <c r="P12" s="44" t="str">
        <f aca="false">IFERROR(LARGE('📋 Downtime Log'!H5:H104,10),"")</f>
        <v/>
      </c>
      <c r="Q12" s="1" t="str">
        <f aca="false">IFERROR(INDEX('📋 Downtime Log'!E5:E104,MATCH(LARGE('📋 Downtime Log'!H5:H104,10),'📋 Downtime Log'!H5:H104,0)),"")</f>
        <v/>
      </c>
      <c r="R12" s="1" t="str">
        <f aca="false">IFERROR(INDEX('📋 Downtime Log'!L5:L104,MATCH(LARGE('📋 Downtime Log'!H5:H104,10),'📋 Downtime Log'!H5:H104,0)),"")</f>
        <v/>
      </c>
      <c r="T12" s="1" t="s">
        <v>131</v>
      </c>
      <c r="U12" s="44" t="n">
        <f aca="false">IFERROR(SUMPRODUCT((TEXT('📋 Downtime Log'!B5:B104,"MMM")="Oct")*('📋 Downtime Log'!H5:H104)),0)</f>
        <v>0</v>
      </c>
      <c r="V12" s="46" t="n">
        <f aca="false">IFERROR(SUMPRODUCT((TEXT('📋 Downtime Log'!B5:B104,"MMM")="Oct")*1),0)</f>
        <v>0</v>
      </c>
      <c r="W12" s="44" t="n">
        <f aca="false">IFERROR((700-U12)/V12,0)</f>
        <v>0</v>
      </c>
      <c r="X12" s="44" t="n">
        <f aca="false">IFERROR(U12/V12,0)</f>
        <v>0</v>
      </c>
      <c r="Y12" s="43" t="n">
        <f aca="false">IFERROR((700-U12)/700*0.85*0.95,0)</f>
        <v>0.8075</v>
      </c>
    </row>
    <row r="13" customFormat="false" ht="15" hidden="false" customHeight="true" outlineLevel="0" collapsed="false">
      <c r="T13" s="1" t="s">
        <v>132</v>
      </c>
      <c r="U13" s="44" t="n">
        <f aca="false">IFERROR(SUMPRODUCT((TEXT('📋 Downtime Log'!B5:B104,"MMM")="Nov")*('📋 Downtime Log'!H5:H104)),0)</f>
        <v>0</v>
      </c>
      <c r="V13" s="46" t="n">
        <f aca="false">IFERROR(SUMPRODUCT((TEXT('📋 Downtime Log'!B5:B104,"MMM")="Nov")*1),0)</f>
        <v>0</v>
      </c>
      <c r="W13" s="44" t="n">
        <f aca="false">IFERROR((700-U13)/V13,0)</f>
        <v>0</v>
      </c>
      <c r="X13" s="44" t="n">
        <f aca="false">IFERROR(U13/V13,0)</f>
        <v>0</v>
      </c>
      <c r="Y13" s="43" t="n">
        <f aca="false">IFERROR((700-U13)/700*0.85*0.95,0)</f>
        <v>0.8075</v>
      </c>
    </row>
    <row r="14" customFormat="false" ht="15" hidden="false" customHeight="true" outlineLevel="0" collapsed="false">
      <c r="T14" s="1" t="s">
        <v>133</v>
      </c>
      <c r="U14" s="44" t="n">
        <f aca="false">IFERROR(SUMPRODUCT((TEXT('📋 Downtime Log'!B5:B104,"MMM")="Dec")*('📋 Downtime Log'!H5:H104)),0)</f>
        <v>0</v>
      </c>
      <c r="V14" s="46" t="n">
        <f aca="false">IFERROR(SUMPRODUCT((TEXT('📋 Downtime Log'!B5:B104,"MMM")="Dec")*1),0)</f>
        <v>100</v>
      </c>
      <c r="W14" s="44" t="n">
        <f aca="false">IFERROR((700-U14)/V14,0)</f>
        <v>7</v>
      </c>
      <c r="X14" s="44" t="n">
        <f aca="false">IFERROR(U14/V14,0)</f>
        <v>0</v>
      </c>
      <c r="Y14" s="43" t="n">
        <f aca="false">IFERROR((700-U14)/700*0.85*0.95,0)</f>
        <v>0.8075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2026-06-10T20:29:00Z</dcterms:created>
  <dc:creator>openpyxl</dc:creator>
  <dc:description/>
  <dc:language>en-US</dc:language>
  <cp:lastModifiedBy/>
  <dcterms:modified xsi:type="dcterms:W3CDTF">2026-06-10T20:29:55Z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