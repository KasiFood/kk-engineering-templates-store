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3d0c6584114127" /></Relationships>
</file>

<file path=xl/workbook.xml><?xml version="1.0" encoding="utf-8"?>
<x:workbook xmlns:x="http://schemas.openxmlformats.org/spreadsheetml/2006/main">
  <x:sheets>
    <x:sheet xmlns:r="http://schemas.openxmlformats.org/officeDocument/2006/relationships" name="ℹ Instructions" sheetId="1" r:id="Ra7c2d676783a4935"/>
    <x:sheet xmlns:r="http://schemas.openxmlformats.org/officeDocument/2006/relationships" name="📊 Dashboard" sheetId="2" r:id="R51abd3b3872c4a87"/>
    <x:sheet xmlns:r="http://schemas.openxmlformats.org/officeDocument/2006/relationships" name="📋 Downtime Log" sheetId="3" r:id="R697bbfccb995445e"/>
    <x:sheet xmlns:r="http://schemas.openxmlformats.org/officeDocument/2006/relationships" name="⚙ Equipment Register" sheetId="4" r:id="R3cf328f0f4aa4c55"/>
    <x:sheet xmlns:r="http://schemas.openxmlformats.org/officeDocument/2006/relationships" name="Calculations" sheetId="5" r:id="R7b2925cb6caf4414"/>
    <x:sheet xmlns:r="http://schemas.openxmlformats.org/officeDocument/2006/relationships" name="Premium Guide" sheetId="6" r:id="R649054a61d9e40e2"/>
    <x:sheet xmlns:r="http://schemas.openxmlformats.org/officeDocument/2006/relationships" name="Lists" sheetId="7" r:id="R4b9b849a7e2e4318"/>
    <x:sheet xmlns:r="http://schemas.openxmlformats.org/officeDocument/2006/relationships" name="Action Tracker" sheetId="8" r:id="R2b9395a560b847d7"/>
    <x:sheet xmlns:r="http://schemas.openxmlformats.org/officeDocument/2006/relationships" name="Premium Executive Dashboard" sheetId="9" r:id="Reacc8f6718e24e29"/>
    <x:sheet xmlns:r="http://schemas.openxmlformats.org/officeDocument/2006/relationships" name="Bad Actor Register" sheetId="10" r:id="R6321eeb256c14644"/>
    <x:sheet xmlns:r="http://schemas.openxmlformats.org/officeDocument/2006/relationships" name="Management Meeting Summary" sheetId="11" r:id="R3913d89cfd0f4f9d"/>
  </x:sheets>
</x:workbook>
</file>

<file path=xl/sharedStrings.xml><?xml version="1.0" encoding="utf-8"?>
<x:sst xmlns:x="http://schemas.openxmlformats.org/spreadsheetml/2006/main">
  <x:si>
    <x:t xml:space="preserve">HOW TO USE THIS DASHBOARD</x:t>
  </x:si>
  <x:si>
    <x:t xml:space="preserve">STEP 1</x:t>
  </x:si>
  <x:si>
    <x:t xml:space="preserve">  Equipment Register</x:t>
  </x:si>
  <x:si>
    <x:t xml:space="preserve">Go to the '⚙ Equipment Register' sheet and list all your equipment. Fill in the Equipment Tag (e.g. P-101), name, area, category, criticality, and planned uptime hours per year. The Tag must be used consistently in the log.</x:t>
  </x:si>
  <x:si>
    <x:t xml:space="preserve">STEP 2</x:t>
  </x:si>
  <x:si>
    <x:t xml:space="preserve">  Log Each Breakdown</x:t>
  </x:si>
  <x:si>
    <x:t xml:space="preserve">Go to '📋 Downtime Log'. Fill in date, equipment tag, name, shift, start and end time of the breakdown. Downtime hours are calculated automatically. Select Failure Mode from the dropdown. Write a brief root cause and action taken.</x:t>
  </x:si>
  <x:si>
    <x:t xml:space="preserve">STEP 3</x:t>
  </x:si>
  <x:si>
    <x:t xml:space="preserve">  View the Dashboard</x:t>
  </x:si>
  <x:si>
    <x:t xml:space="preserve">Go to '📊 Dashboard'. All KPIs, Pareto charts, and the monthly trend table update automatically from your log data. No manual entry required.</x:t>
  </x:si>
  <x:si>
    <x:t xml:space="preserve">STEP 4</x:t>
  </x:si>
  <x:si>
    <x:t xml:space="preserve">  KPI Definitions</x:t>
  </x:si>
  <x:si>
    <x:t xml:space="preserve">OEE = Availability × Performance × Quality (approx). MTBF = (Planned hrs - Downtime) ÷ Incidents. MTTR = Total Downtime ÷ Incidents. Availability = (Planned hrs - Downtime) ÷ Planned hrs.</x:t>
  </x:si>
  <x:si>
    <x:t xml:space="preserve">STEP 5</x:t>
  </x:si>
  <x:si>
    <x:t xml:space="preserve">  Customise</x:t>
  </x:si>
  <x:si>
    <x:t xml:space="preserve">Change equipment names, tags, and planned hours in the Equipment Register. Add more rows in the Downtime Log as needed (copy the formula in column H). The Calculations sheet updates automatically — do not edit it.</x:t>
  </x:si>
  <x:si>
    <x:t xml:space="preserve">NOTE</x:t>
  </x:si>
  <x:si>
    <x:t xml:space="preserve">  Failure Mode Dropdowns</x:t>
  </x:si>
  <x:si>
    <x:t xml:space="preserve">Failure modes available: Mechanical, Electrical, Hydraulic, Pneumatic, Lubrication, Wear, Corrosion, Vibration, Overheating, Operator Error, Unknown. Contact us if you need custom categories.</x:t>
  </x:si>
  <x:si>
    <x:t xml:space="preserve">SUPPORT</x:t>
  </x:si>
  <x:si>
    <x:t xml:space="preserve">  Contact</x:t>
  </x:si>
  <x:si>
    <x:t xml:space="preserve">Template designed by Katleho Khoarane | Mechanical Engineer | Bloemfontein, ZA | linkedin.com/in/katleho-khoarane</x:t>
  </x:si>
  <x:si>
    <x:t xml:space="preserve">DOWNTIME TRACKING DASHBOARD</x:t>
  </x:si>
  <x:si>
    <x:t xml:space="preserve">OEE</x:t>
  </x:si>
  <x:si>
    <x:t xml:space="preserve">MTBF (hrs)</x:t>
  </x:si>
  <x:si>
    <x:t xml:space="preserve">MTTR (hrs)</x:t>
  </x:si>
  <x:si>
    <x:t xml:space="preserve">Availability %</x:t>
  </x:si>
  <x:si>
    <x:t xml:space="preserve">Downtime hrs</x:t>
  </x:si>
  <x:si>
    <x:t xml:space="preserve"># Incidents</x:t>
  </x:si>
  <x:si>
    <x:t xml:space="preserve">Overall Equip. Effectiveness</x:t>
  </x:si>
  <x:si>
    <x:t xml:space="preserve">Mean Time Between Failures</x:t>
  </x:si>
  <x:si>
    <x:t xml:space="preserve">Mean Time To Repair</x:t>
  </x:si>
  <x:si>
    <x:t xml:space="preserve">Total uptime / available time</x:t>
  </x:si>
  <x:si>
    <x:t xml:space="preserve">Total downtime this period</x:t>
  </x:si>
  <x:si>
    <x:t xml:space="preserve">Total events logged</x:t>
  </x:si>
  <x:si>
    <x:t xml:space="preserve">DOWNTIME BY EQUIPMENT</x:t>
  </x:si>
  <x:si>
    <x:t xml:space="preserve">DOWNTIME BY FAILURE MODE</x:t>
  </x:si>
  <x:si>
    <x:t xml:space="preserve">Equipment</x:t>
  </x:si>
  <x:si>
    <x:t xml:space="preserve">% of Total</x:t>
  </x:si>
  <x:si>
    <x:t xml:space="preserve">Failure Mode</x:t>
  </x:si>
  <x:si>
    <x:t xml:space="preserve">TOP 10 INCIDENTS (by Downtime)</x:t>
  </x:si>
  <x:si>
    <x:t xml:space="preserve">MONTHLY TREND — Downtime Hours</x:t>
  </x:si>
  <x:si>
    <x:t xml:space="preserve">Date</x:t>
  </x:si>
  <x:si>
    <x:t xml:space="preserve">Month</x:t>
  </x:si>
  <x:si>
    <x:t xml:space="preserve">MTBF</x:t>
  </x:si>
  <x:si>
    <x:t xml:space="preserve">MTTR</x:t>
  </x:si>
  <x:si>
    <x:t xml:space="preserve">DOWNTIME LOG — Enter each breakdown event below</x:t>
  </x:si>
  <x:si>
    <x:t xml:space="preserve">► Fill in ALL yellow cells. Date format: DD/MM/YYYY  |  Times in 24hr (e.g. 14:30)  |  Downtime auto-calculates from Start/End</x:t>
  </x:si>
  <x:si>
    <x:t xml:space="preserve">Equipment Tag</x:t>
  </x:si>
  <x:si>
    <x:t xml:space="preserve">Equipment Name</x:t>
  </x:si>
  <x:si>
    <x:t xml:space="preserve">Shift</x:t>
  </x:si>
  <x:si>
    <x:t xml:space="preserve">Start Time</x:t>
  </x:si>
  <x:si>
    <x:t xml:space="preserve">End Time</x:t>
  </x:si>
  <x:si>
    <x:t xml:space="preserve">Downtime (hrs)</x:t>
  </x:si>
  <x:si>
    <x:t xml:space="preserve">Root Cause</x:t>
  </x:si>
  <x:si>
    <x:t xml:space="preserve">Action Taken</x:t>
  </x:si>
  <x:si>
    <x:t xml:space="preserve">Work Order #</x:t>
  </x:si>
  <x:si>
    <x:t xml:space="preserve">TOTALS</x:t>
  </x:si>
  <x:si>
    <x:t xml:space="preserve">EQUIPMENT REGISTER</x:t>
  </x:si>
  <x:si>
    <x:t xml:space="preserve">► Define all equipment here. The Equipment Tag must match exactly what you enter in the Downtime Log.</x:t>
  </x:si>
  <x:si>
    <x:t xml:space="preserve">Area / Plant</x:t>
  </x:si>
  <x:si>
    <x:t xml:space="preserve">Category</x:t>
  </x:si>
  <x:si>
    <x:t xml:space="preserve">Criticality</x:t>
  </x:si>
  <x:si>
    <x:t xml:space="preserve">Install Date</x:t>
  </x:si>
  <x:si>
    <x:t xml:space="preserve">Planned Uptime (hrs/yr)</x:t>
  </x:si>
  <x:si>
    <x:t xml:space="preserve">Notes</x:t>
  </x:si>
  <x:si>
    <x:t xml:space="preserve">P-101</x:t>
  </x:si>
  <x:si>
    <x:t xml:space="preserve">Feed Pump</x:t>
  </x:si>
  <x:si>
    <x:t xml:space="preserve">Concentrator</x:t>
  </x:si>
  <x:si>
    <x:t xml:space="preserve">Pump</x:t>
  </x:si>
  <x:si>
    <x:t xml:space="preserve">A</x:t>
  </x:si>
  <x:si>
    <x:t xml:space="preserve">P-102</x:t>
  </x:si>
  <x:si>
    <x:t xml:space="preserve">Tailings Pump</x:t>
  </x:si>
  <x:si>
    <x:t xml:space="preserve">Tailings Dam</x:t>
  </x:si>
  <x:si>
    <x:t xml:space="preserve">B</x:t>
  </x:si>
  <x:si>
    <x:t xml:space="preserve">CV-001</x:t>
  </x:si>
  <x:si>
    <x:t xml:space="preserve">Primary Conveyor</x:t>
  </x:si>
  <x:si>
    <x:t xml:space="preserve">ROM Pad</x:t>
  </x:si>
  <x:si>
    <x:t xml:space="preserve">Conveyor</x:t>
  </x:si>
  <x:si>
    <x:t xml:space="preserve">CV-002</x:t>
  </x:si>
  <x:si>
    <x:t xml:space="preserve">Overland Conveyor</x:t>
  </x:si>
  <x:si>
    <x:t xml:space="preserve">Overland</x:t>
  </x:si>
  <x:si>
    <x:t xml:space="preserve">GB-001</x:t>
  </x:si>
  <x:si>
    <x:t xml:space="preserve">Crusher Gearbox</x:t>
  </x:si>
  <x:si>
    <x:t xml:space="preserve">Crushing</x:t>
  </x:si>
  <x:si>
    <x:t xml:space="preserve">Gearbox</x:t>
  </x:si>
  <x:si>
    <x:t xml:space="preserve">GB-002</x:t>
  </x:si>
  <x:si>
    <x:t xml:space="preserve">Mill Gearbox</x:t>
  </x:si>
  <x:si>
    <x:t xml:space="preserve">Milling</x:t>
  </x:si>
  <x:si>
    <x:t xml:space="preserve">M-101</x:t>
  </x:si>
  <x:si>
    <x:t xml:space="preserve">Primary Crusher</x:t>
  </x:si>
  <x:si>
    <x:t xml:space="preserve">Crusher</x:t>
  </x:si>
  <x:si>
    <x:t xml:space="preserve">M-102</x:t>
  </x:si>
  <x:si>
    <x:t xml:space="preserve">Ball Mill</x:t>
  </x:si>
  <x:si>
    <x:t xml:space="preserve">Mill</x:t>
  </x:si>
  <x:si>
    <x:t xml:space="preserve">C-101</x:t>
  </x:si>
  <x:si>
    <x:t xml:space="preserve">Air Compressor</x:t>
  </x:si>
  <x:si>
    <x:t xml:space="preserve">Utilities</x:t>
  </x:si>
  <x:si>
    <x:t xml:space="preserve">Compressor</x:t>
  </x:si>
  <x:si>
    <x:t xml:space="preserve">FN-001</x:t>
  </x:si>
  <x:si>
    <x:t xml:space="preserve">Cooling Fan</x:t>
  </x:si>
  <x:si>
    <x:t xml:space="preserve">Process</x:t>
  </x:si>
  <x:si>
    <x:t xml:space="preserve">Fan</x:t>
  </x:si>
  <x:si>
    <x:t xml:space="preserve">C</x:t>
  </x:si>
  <x:si>
    <x:t xml:space="preserve">KPI</x:t>
  </x:si>
  <x:si>
    <x:t xml:space="preserve">Value</x:t>
  </x:si>
  <x:si>
    <x:t xml:space="preserve">Downtime</x:t>
  </x:si>
  <x:si>
    <x:t xml:space="preserve">% Total</x:t>
  </x:si>
  <x:si>
    <x:t xml:space="preserve">Failure</x:t>
  </x:si>
  <x:si>
    <x:t xml:space="preserve">WO#</x:t>
  </x:si>
  <x:si>
    <x:t xml:space="preserve">Incidents</x:t>
  </x:si>
  <x:si>
    <x:t xml:space="preserve">Mechanical</x:t>
  </x:si>
  <x:si>
    <x:t xml:space="preserve">Jan</x:t>
  </x:si>
  <x:si>
    <x:t xml:space="preserve">Electrical</x:t>
  </x:si>
  <x:si>
    <x:t xml:space="preserve">Feb</x:t>
  </x:si>
  <x:si>
    <x:t xml:space="preserve">Hydraulic</x:t>
  </x:si>
  <x:si>
    <x:t xml:space="preserve">Mar</x:t>
  </x:si>
  <x:si>
    <x:t xml:space="preserve">Total Downtime</x:t>
  </x:si>
  <x:si>
    <x:t xml:space="preserve">Pneumatic</x:t>
  </x:si>
  <x:si>
    <x:t xml:space="preserve">Apr</x:t>
  </x:si>
  <x:si>
    <x:t xml:space="preserve">Incident Count</x:t>
  </x:si>
  <x:si>
    <x:t xml:space="preserve">Lubrication</x:t>
  </x:si>
  <x:si>
    <x:t xml:space="preserve">May</x:t>
  </x:si>
  <x:si>
    <x:t xml:space="preserve">Planned Hours</x:t>
  </x:si>
  <x:si>
    <x:t xml:space="preserve">Wear</x:t>
  </x:si>
  <x:si>
    <x:t xml:space="preserve">Jun</x:t>
  </x:si>
  <x:si>
    <x:t xml:space="preserve">Corrosion</x:t>
  </x:si>
  <x:si>
    <x:t xml:space="preserve">Jul</x:t>
  </x:si>
  <x:si>
    <x:t xml:space="preserve">Overheating</x:t>
  </x:si>
  <x:si>
    <x:t xml:space="preserve">Aug</x:t>
  </x:si>
  <x:si>
    <x:t xml:space="preserve">Sep</x:t>
  </x:si>
  <x:si>
    <x:t xml:space="preserve">Oct</x:t>
  </x:si>
  <x:si>
    <x:t xml:space="preserve">Nov</x:t>
  </x:si>
  <x:si>
    <x:t xml:space="preserve">Dec</x:t>
  </x:si>
</x:sst>
</file>

<file path=xl/styles.xml><?xml version="1.0" encoding="utf-8"?>
<x:styleSheet xmlns:x="http://schemas.openxmlformats.org/spreadsheetml/2006/main">
  <x:numFmts count="9">
    <x:numFmt numFmtId="164" formatCode="General"/>
    <x:numFmt numFmtId="165" formatCode="0.0%"/>
    <x:numFmt numFmtId="166" formatCode="0.0"/>
    <x:numFmt numFmtId="167" formatCode="0.00"/>
    <x:numFmt numFmtId="168" formatCode="0"/>
    <x:numFmt numFmtId="169" formatCode="dd\-mmm\-yy"/>
    <x:numFmt numFmtId="170" formatCode="hh:mm"/>
    <x:numFmt numFmtId="200" formatCode="yyyy-mm-dd"/>
    <x:numFmt numFmtId="201" formatCode="R #,##0.00"/>
  </x:numFmts>
  <x:fonts count="22">
    <x:font>
      <x:sz val="11"/>
      <x:color theme="1"/>
      <x:name val="Calibri"/>
    </x:font>
    <x:font>
      <x:sz val="10"/>
      <x:name val="Arial"/>
    </x:font>
    <x:font>
      <x:sz val="10"/>
      <x:name val="Arial"/>
    </x:font>
    <x:font>
      <x:sz val="10"/>
      <x:name val="Arial"/>
    </x:font>
    <x:font>
      <x:b/>
      <x:sz val="16"/>
      <x:color rgb="FFE8A020"/>
      <x:name val="Arial"/>
    </x:font>
    <x:font>
      <x:b/>
      <x:sz val="10"/>
      <x:color rgb="FFE8A020"/>
      <x:name val="Arial"/>
    </x:font>
    <x:font>
      <x:b/>
      <x:sz val="10"/>
      <x:color rgb="FFFFFFFF"/>
      <x:name val="Arial"/>
    </x:font>
    <x:font>
      <x:sz val="10"/>
      <x:color rgb="FF1A1A2E"/>
      <x:name val="Arial"/>
    </x:font>
    <x:font>
      <x:b/>
      <x:sz val="18"/>
      <x:color rgb="FFE8A020"/>
      <x:name val="Arial"/>
    </x:font>
    <x:font>
      <x:b/>
      <x:sz val="9"/>
      <x:color rgb="FFFFFFFF"/>
      <x:name val="Arial"/>
    </x:font>
    <x:font>
      <x:b/>
      <x:sz val="18"/>
      <x:color rgb="FF1A1A2E"/>
      <x:name val="Arial"/>
    </x:font>
    <x:font>
      <x:i/>
      <x:sz val="8"/>
      <x:color rgb="FF717D7E"/>
      <x:name val="Arial"/>
    </x:font>
    <x:font>
      <x:sz val="9"/>
      <x:color rgb="FF1A1A2E"/>
      <x:name val="Arial"/>
    </x:font>
    <x:font>
      <x:b/>
      <x:sz val="14"/>
      <x:color rgb="FFE8A020"/>
      <x:name val="Arial"/>
    </x:font>
    <x:font>
      <x:i/>
      <x:sz val="9"/>
      <x:color rgb="FF717D7E"/>
      <x:name val="Arial"/>
    </x:font>
    <x:font>
      <x:sz val="9"/>
      <x:color rgb="FF1F618D"/>
      <x:name val="Arial"/>
    </x:font>
    <x:font>
      <x:sz val="11"/>
      <x:color rgb="FF1A1A2E"/>
      <x:name val="Arial"/>
    </x:font>
    <x:font>
      <x:b/>
      <x:sz val="16"/>
      <x:color rgb="FFFFFFFF"/>
      <x:name val="Calibri"/>
    </x:font>
    <x:font>
      <x:i/>
      <x:sz val="10"/>
      <x:color rgb="FF1F2937"/>
      <x:name val="Calibri"/>
    </x:font>
    <x:font>
      <x:b/>
      <x:sz val="10"/>
      <x:color rgb="FFFFFFFF"/>
      <x:name val="Calibri"/>
    </x:font>
    <x:font>
      <x:b/>
      <x:sz val="11"/>
      <x:color rgb="FFFFFFFF"/>
      <x:name val="Calibri"/>
    </x:font>
    <x:font>
      <x:b/>
      <x:sz val="11"/>
      <x:color theme="1"/>
      <x:name val="Calibri"/>
    </x:font>
  </x:fonts>
  <x:fills count="14">
    <x:fill>
      <x:patternFill patternType="none"/>
    </x:fill>
    <x:fill>
      <x:patternFill patternType="gray125"/>
    </x:fill>
    <x:fill>
      <x:patternFill patternType="solid">
        <x:fgColor rgb="FF1A1A2E"/>
      </x:patternFill>
    </x:fill>
    <x:fill>
      <x:patternFill patternType="solid">
        <x:fgColor rgb="FFF2F3F4"/>
      </x:patternFill>
    </x:fill>
    <x:fill>
      <x:patternFill patternType="solid">
        <x:fgColor rgb="FF16213E"/>
      </x:patternFill>
    </x:fill>
    <x:fill>
      <x:patternFill patternType="solid">
        <x:fgColor rgb="FF1F618D"/>
      </x:patternFill>
    </x:fill>
    <x:fill>
      <x:patternFill patternType="solid">
        <x:fgColor rgb="FFFFFFFF"/>
      </x:patternFill>
    </x:fill>
    <x:fill>
      <x:patternFill patternType="solid">
        <x:fgColor rgb="FFFFF3CD"/>
      </x:patternFill>
    </x:fill>
    <x:fill>
      <x:patternFill patternType="solid">
        <x:fgColor rgb="FFD6EAF8"/>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0F766E"/>
      </x:patternFill>
    </x:fill>
    <x:fill>
      <x:patternFill patternType="solid">
        <x:fgColor rgb="FFDBEAFE"/>
      </x:patternFill>
    </x:fill>
  </x:fills>
  <x:borders count="6">
    <x:border diagonalUp="0" diagonalDown="0"/>
    <x:border diagonalUp="0" diagonalDown="0">
      <x:bottom style="medium">
        <x:color rgb="FFE8A020"/>
      </x:bottom>
    </x:border>
    <x:border diagonalUp="0" diagonalDown="0">
      <x:left style="thin">
        <x:color rgb="FFCCCCCC"/>
      </x:left>
      <x:right style="thin">
        <x:color rgb="FFCCCCCC"/>
      </x:right>
      <x:top style="thin">
        <x:color rgb="FFCCCCCC"/>
      </x:top>
      <x:bottom style="thin">
        <x:color rgb="FFCCCCCC"/>
      </x:bottom>
    </x:border>
    <x:border diagonalUp="0" diagonalDown="0"/>
    <x:border diagonalUp="0" diagonalDown="0">
      <x:bottom style="medium">
        <x:color rgb="FFE8A020"/>
      </x:bottom>
    </x:border>
    <x:border diagonalUp="0" diagonalDown="0">
      <x:left style="thin">
        <x:color rgb="FFCCCCCC"/>
      </x:left>
      <x:right style="thin">
        <x:color rgb="FFCCCCCC"/>
      </x:right>
      <x:top style="thin">
        <x:color rgb="FFCCCCCC"/>
      </x:top>
      <x:bottom style="thin">
        <x:color rgb="FFCCCCCC"/>
      </x:bottom>
    </x:border>
  </x:borders>
  <x:cellStyleXfs count="20">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48">
    <x:xf numFmtId="164" fontId="0" fillId="0" borderId="0" xfId="0" applyFont="0" applyBorder="0" applyAlignment="0">
      <x:alignment horizontal="general" vertical="bottom" wrapText="0"/>
    </x:xf>
    <x:xf numFmtId="164" fontId="0" fillId="0" borderId="0" xfId="0" applyFont="0" applyBorder="0" applyAlignment="1">
      <x:alignment horizontal="general" vertical="bottom" wrapText="0"/>
    </x:xf>
    <x:xf numFmtId="164" fontId="0" fillId="2" borderId="0" xfId="0" applyFont="0" applyBorder="0" applyAlignment="1">
      <x:alignment horizontal="general" vertical="bottom" wrapText="0"/>
    </x:xf>
    <x:xf numFmtId="164" fontId="4" fillId="2" borderId="0" xfId="0" applyFont="1" applyBorder="1" applyAlignment="1">
      <x:alignment horizontal="center" vertical="center" wrapText="0"/>
    </x:xf>
    <x:xf numFmtId="164" fontId="5" fillId="2" borderId="1" xfId="0" applyFont="1" applyBorder="1" applyAlignment="1">
      <x:alignment horizontal="left" vertical="center" wrapText="0"/>
    </x:xf>
    <x:xf numFmtId="164" fontId="6" fillId="2" borderId="1" xfId="0" applyFont="1" applyBorder="1" applyAlignment="1">
      <x:alignment horizontal="left" vertical="center" wrapText="0"/>
    </x:xf>
    <x:xf numFmtId="164" fontId="0" fillId="3" borderId="2" xfId="0" applyFont="0" applyBorder="1" applyAlignment="1">
      <x:alignment horizontal="general" vertical="bottom" wrapText="0"/>
    </x:xf>
    <x:xf numFmtId="164" fontId="7" fillId="3" borderId="2" xfId="0" applyFont="1" applyBorder="1" applyAlignment="1">
      <x:alignment horizontal="left" vertical="center" wrapText="1"/>
    </x:xf>
    <x:xf numFmtId="164" fontId="8" fillId="2" borderId="0" xfId="0" applyFont="1" applyBorder="1" applyAlignment="1">
      <x:alignment horizontal="center" vertical="center" wrapText="0"/>
    </x:xf>
    <x:xf numFmtId="164" fontId="9" fillId="4" borderId="2" xfId="0" applyFont="1" applyBorder="1" applyAlignment="1">
      <x:alignment horizontal="center" vertical="center" wrapText="0"/>
    </x:xf>
    <x:xf numFmtId="165" fontId="10" fillId="3" borderId="2" xfId="0" applyFont="1" applyBorder="1" applyAlignment="1">
      <x:alignment horizontal="center" vertical="center" wrapText="0"/>
    </x:xf>
    <x:xf numFmtId="166" fontId="10" fillId="3" borderId="2" xfId="0" applyFont="1" applyBorder="1" applyAlignment="1">
      <x:alignment horizontal="center" vertical="center" wrapText="0"/>
    </x:xf>
    <x:xf numFmtId="167" fontId="10" fillId="3" borderId="2" xfId="0" applyFont="1" applyBorder="1" applyAlignment="1">
      <x:alignment horizontal="center" vertical="center" wrapText="0"/>
    </x:xf>
    <x:xf numFmtId="168" fontId="10" fillId="3" borderId="2" xfId="0" applyFont="1" applyBorder="1" applyAlignment="1">
      <x:alignment horizontal="center" vertical="center" wrapText="0"/>
    </x:xf>
    <x:xf numFmtId="164" fontId="11" fillId="3" borderId="2" xfId="0" applyFont="1" applyBorder="1" applyAlignment="1">
      <x:alignment horizontal="center" vertical="center" wrapText="1"/>
    </x:xf>
    <x:xf numFmtId="164" fontId="6" fillId="5" borderId="0" xfId="0" applyFont="1" applyBorder="1" applyAlignment="1">
      <x:alignment horizontal="left" vertical="center" wrapText="0"/>
    </x:xf>
    <x:xf numFmtId="164" fontId="6" fillId="2" borderId="2" xfId="0" applyFont="1" applyBorder="1" applyAlignment="1">
      <x:alignment horizontal="center" vertical="center" wrapText="0"/>
    </x:xf>
    <x:xf numFmtId="164" fontId="12" fillId="3" borderId="2" xfId="0" applyFont="1" applyBorder="1" applyAlignment="1">
      <x:alignment horizontal="left" vertical="center" wrapText="0"/>
    </x:xf>
    <x:xf numFmtId="166" fontId="12" fillId="3" borderId="2" xfId="0" applyFont="1" applyBorder="1" applyAlignment="1">
      <x:alignment horizontal="center" vertical="center" wrapText="0"/>
    </x:xf>
    <x:xf numFmtId="165" fontId="12" fillId="3" borderId="2" xfId="0" applyFont="1" applyBorder="1" applyAlignment="1">
      <x:alignment horizontal="center" vertical="center" wrapText="0"/>
    </x:xf>
    <x:xf numFmtId="164" fontId="12" fillId="6" borderId="2" xfId="0" applyFont="1" applyBorder="1" applyAlignment="1">
      <x:alignment horizontal="left" vertical="center" wrapText="0"/>
    </x:xf>
    <x:xf numFmtId="166" fontId="12" fillId="6" borderId="2" xfId="0" applyFont="1" applyBorder="1" applyAlignment="1">
      <x:alignment horizontal="center" vertical="center" wrapText="0"/>
    </x:xf>
    <x:xf numFmtId="165" fontId="12" fillId="6" borderId="2" xfId="0" applyFont="1" applyBorder="1" applyAlignment="1">
      <x:alignment horizontal="center" vertical="center" wrapText="0"/>
    </x:xf>
    <x:xf numFmtId="164" fontId="6" fillId="4" borderId="0" xfId="0" applyFont="1" applyBorder="1" applyAlignment="1">
      <x:alignment horizontal="left" vertical="center" wrapText="0"/>
    </x:xf>
    <x:xf numFmtId="164" fontId="6" fillId="4" borderId="2" xfId="0" applyFont="1" applyBorder="1" applyAlignment="1">
      <x:alignment horizontal="center" vertical="center" wrapText="0"/>
    </x:xf>
    <x:xf numFmtId="169" fontId="12" fillId="3" borderId="2" xfId="0" applyFont="1" applyBorder="1" applyAlignment="1">
      <x:alignment horizontal="left" vertical="center" wrapText="0"/>
    </x:xf>
    <x:xf numFmtId="164" fontId="12" fillId="3" borderId="2" xfId="0" applyFont="1" applyBorder="1" applyAlignment="1">
      <x:alignment horizontal="center" vertical="center" wrapText="0"/>
    </x:xf>
    <x:xf numFmtId="168" fontId="12" fillId="3" borderId="2" xfId="0" applyFont="1" applyBorder="1" applyAlignment="1">
      <x:alignment horizontal="center" vertical="center" wrapText="0"/>
    </x:xf>
    <x:xf numFmtId="169" fontId="12" fillId="6" borderId="2" xfId="0" applyFont="1" applyBorder="1" applyAlignment="1">
      <x:alignment horizontal="left" vertical="center" wrapText="0"/>
    </x:xf>
    <x:xf numFmtId="164" fontId="12" fillId="6" borderId="2" xfId="0" applyFont="1" applyBorder="1" applyAlignment="1">
      <x:alignment horizontal="center" vertical="center" wrapText="0"/>
    </x:xf>
    <x:xf numFmtId="168" fontId="12" fillId="6" borderId="2" xfId="0" applyFont="1" applyBorder="1" applyAlignment="1">
      <x:alignment horizontal="center" vertical="center" wrapText="0"/>
    </x:xf>
    <x:xf numFmtId="164" fontId="13" fillId="2" borderId="0" xfId="0" applyFont="1" applyBorder="1" applyAlignment="1">
      <x:alignment horizontal="center" vertical="center" wrapText="0"/>
    </x:xf>
    <x:xf numFmtId="164" fontId="14" fillId="7" borderId="0" xfId="0" applyFont="1" applyBorder="1" applyAlignment="1">
      <x:alignment horizontal="left" vertical="center" wrapText="0"/>
    </x:xf>
    <x:xf numFmtId="164" fontId="6" fillId="2" borderId="2" xfId="0" applyFont="1" applyBorder="1" applyAlignment="1">
      <x:alignment horizontal="center" vertical="center" wrapText="1"/>
    </x:xf>
    <x:xf numFmtId="169" fontId="12" fillId="7" borderId="2" xfId="0" applyFont="1" applyBorder="1" applyAlignment="1">
      <x:alignment horizontal="center" vertical="center" wrapText="0"/>
    </x:xf>
    <x:xf numFmtId="164" fontId="12" fillId="7" borderId="2" xfId="0" applyFont="1" applyBorder="1" applyAlignment="1">
      <x:alignment horizontal="left" vertical="center" wrapText="0"/>
    </x:xf>
    <x:xf numFmtId="164" fontId="12" fillId="7" borderId="2" xfId="0" applyFont="1" applyBorder="1" applyAlignment="1">
      <x:alignment horizontal="center" vertical="center" wrapText="0"/>
    </x:xf>
    <x:xf numFmtId="170" fontId="12" fillId="7" borderId="2" xfId="0" applyFont="1" applyBorder="1" applyAlignment="1">
      <x:alignment horizontal="center" vertical="center" wrapText="0"/>
    </x:xf>
    <x:xf numFmtId="167" fontId="15" fillId="8" borderId="2" xfId="0" applyFont="1" applyBorder="1" applyAlignment="1">
      <x:alignment horizontal="center" vertical="center" wrapText="0"/>
    </x:xf>
    <x:xf numFmtId="164" fontId="6" fillId="4" borderId="0" xfId="0" applyFont="1" applyBorder="1" applyAlignment="1">
      <x:alignment horizontal="right" vertical="center" wrapText="0"/>
    </x:xf>
    <x:xf numFmtId="167" fontId="6" fillId="4" borderId="2" xfId="0" applyFont="1" applyBorder="1" applyAlignment="1">
      <x:alignment horizontal="center" vertical="center" wrapText="0"/>
    </x:xf>
    <x:xf numFmtId="168" fontId="16" fillId="4" borderId="0" xfId="0" applyFont="1" applyBorder="1" applyAlignment="1">
      <x:alignment horizontal="left" vertical="center" wrapText="0"/>
    </x:xf>
    <x:xf numFmtId="168" fontId="12" fillId="7" borderId="2" xfId="0" applyFont="1" applyBorder="1" applyAlignment="1">
      <x:alignment horizontal="center" vertical="center" wrapText="0"/>
    </x:xf>
    <x:xf numFmtId="165" fontId="0" fillId="0" borderId="0" xfId="0" applyFont="0" applyBorder="0" applyAlignment="1">
      <x:alignment horizontal="general" vertical="bottom" wrapText="0"/>
    </x:xf>
    <x:xf numFmtId="166" fontId="0" fillId="0" borderId="0" xfId="0" applyFont="0" applyBorder="0" applyAlignment="1">
      <x:alignment horizontal="general" vertical="bottom" wrapText="0"/>
    </x:xf>
    <x:xf numFmtId="169" fontId="0" fillId="0" borderId="0" xfId="0" applyFont="0" applyBorder="0" applyAlignment="1">
      <x:alignment horizontal="general" vertical="bottom" wrapText="0"/>
    </x:xf>
    <x:xf numFmtId="168" fontId="0" fillId="0" borderId="0" xfId="0" applyFont="0" applyBorder="0" applyAlignment="1">
      <x:alignment horizontal="general" vertical="bottom" wrapText="0"/>
    </x:xf>
    <x:xf numFmtId="167" fontId="0" fillId="0" borderId="0" xfId="0" applyFont="0" applyBorder="0" applyAlignment="1">
      <x:alignment horizontal="general" vertical="bottom" wrapText="0"/>
    </x:xf>
    <x:xf numFmtId="164" fontId="0" fillId="0" borderId="3" xfId="0" applyNumberFormat="1" applyFont="1" applyFill="1" applyBorder="1" applyAlignment="1">
      <x:alignment horizontal="general" vertical="bottom" wrapText="0"/>
    </x:xf>
    <x:xf numFmtId="164" fontId="0" fillId="2" borderId="3" xfId="0" applyNumberFormat="1" applyFont="1" applyFill="1" applyBorder="1" applyAlignment="1">
      <x:alignment horizontal="general" vertical="bottom" wrapText="0"/>
    </x:xf>
    <x:xf numFmtId="164" fontId="4" fillId="2" borderId="3" xfId="0" applyNumberFormat="1" applyFont="1" applyFill="1" applyBorder="1" applyAlignment="1">
      <x:alignment horizontal="center" vertical="center" wrapText="0"/>
    </x:xf>
    <x:xf numFmtId="164" fontId="5" fillId="2" borderId="4" xfId="0" applyNumberFormat="1" applyFont="1" applyFill="1" applyBorder="1" applyAlignment="1">
      <x:alignment horizontal="left" vertical="center" wrapText="0"/>
    </x:xf>
    <x:xf numFmtId="164" fontId="6" fillId="2" borderId="4" xfId="0" applyNumberFormat="1" applyFont="1" applyFill="1" applyBorder="1" applyAlignment="1">
      <x:alignment horizontal="left" vertical="center" wrapText="0"/>
    </x:xf>
    <x:xf numFmtId="164" fontId="0" fillId="3" borderId="5" xfId="0" applyNumberFormat="1" applyFont="1" applyFill="1" applyBorder="1" applyAlignment="1">
      <x:alignment horizontal="general" vertical="bottom" wrapText="0"/>
    </x:xf>
    <x:xf numFmtId="164" fontId="7" fillId="3" borderId="5" xfId="0" applyNumberFormat="1" applyFont="1" applyFill="1" applyBorder="1" applyAlignment="1">
      <x:alignment horizontal="left" vertical="center" wrapText="1"/>
    </x:xf>
    <x:xf numFmtId="164" fontId="8" fillId="2" borderId="3" xfId="0" applyNumberFormat="1" applyFont="1" applyFill="1" applyBorder="1" applyAlignment="1">
      <x:alignment horizontal="center" vertical="center" wrapText="0"/>
    </x:xf>
    <x:xf numFmtId="164" fontId="9" fillId="4" borderId="5" xfId="0" applyNumberFormat="1" applyFont="1" applyFill="1" applyBorder="1" applyAlignment="1">
      <x:alignment horizontal="center" vertical="center" wrapText="0"/>
    </x:xf>
    <x:xf numFmtId="165" fontId="10" fillId="3" borderId="5" xfId="0" applyNumberFormat="1" applyFont="1" applyFill="1" applyBorder="1" applyAlignment="1">
      <x:alignment horizontal="center" vertical="center" wrapText="0"/>
    </x:xf>
    <x:xf numFmtId="166" fontId="10" fillId="3" borderId="5" xfId="0" applyNumberFormat="1" applyFont="1" applyFill="1" applyBorder="1" applyAlignment="1">
      <x:alignment horizontal="center" vertical="center" wrapText="0"/>
    </x:xf>
    <x:xf numFmtId="167" fontId="10" fillId="3" borderId="5" xfId="0" applyNumberFormat="1" applyFont="1" applyFill="1" applyBorder="1" applyAlignment="1">
      <x:alignment horizontal="center" vertical="center" wrapText="0"/>
    </x:xf>
    <x:xf numFmtId="168" fontId="10" fillId="3" borderId="5" xfId="0" applyNumberFormat="1" applyFont="1" applyFill="1" applyBorder="1" applyAlignment="1">
      <x:alignment horizontal="center" vertical="center" wrapText="0"/>
    </x:xf>
    <x:xf numFmtId="164" fontId="11" fillId="3" borderId="5" xfId="0" applyNumberFormat="1" applyFont="1" applyFill="1" applyBorder="1" applyAlignment="1">
      <x:alignment horizontal="center" vertical="center" wrapText="1"/>
    </x:xf>
    <x:xf numFmtId="164" fontId="6" fillId="5" borderId="3" xfId="0" applyNumberFormat="1" applyFont="1" applyFill="1" applyBorder="1" applyAlignment="1">
      <x:alignment horizontal="left" vertical="center" wrapText="0"/>
    </x:xf>
    <x:xf numFmtId="164" fontId="6" fillId="2" borderId="5" xfId="0" applyNumberFormat="1" applyFont="1" applyFill="1" applyBorder="1" applyAlignment="1">
      <x:alignment horizontal="center" vertical="center" wrapText="0"/>
    </x:xf>
    <x:xf numFmtId="164" fontId="12" fillId="3" borderId="5" xfId="0" applyNumberFormat="1" applyFont="1" applyFill="1" applyBorder="1" applyAlignment="1">
      <x:alignment horizontal="left" vertical="center" wrapText="0"/>
    </x:xf>
    <x:xf numFmtId="166" fontId="12" fillId="3" borderId="5" xfId="0" applyNumberFormat="1" applyFont="1" applyFill="1" applyBorder="1" applyAlignment="1">
      <x:alignment horizontal="center" vertical="center" wrapText="0"/>
    </x:xf>
    <x:xf numFmtId="165" fontId="12" fillId="3" borderId="5" xfId="0" applyNumberFormat="1" applyFont="1" applyFill="1" applyBorder="1" applyAlignment="1">
      <x:alignment horizontal="center" vertical="center" wrapText="0"/>
    </x:xf>
    <x:xf numFmtId="164" fontId="12" fillId="6" borderId="5" xfId="0" applyNumberFormat="1" applyFont="1" applyFill="1" applyBorder="1" applyAlignment="1">
      <x:alignment horizontal="left" vertical="center" wrapText="0"/>
    </x:xf>
    <x:xf numFmtId="166" fontId="12" fillId="6" borderId="5" xfId="0" applyNumberFormat="1" applyFont="1" applyFill="1" applyBorder="1" applyAlignment="1">
      <x:alignment horizontal="center" vertical="center" wrapText="0"/>
    </x:xf>
    <x:xf numFmtId="165" fontId="12" fillId="6" borderId="5" xfId="0" applyNumberFormat="1" applyFont="1" applyFill="1" applyBorder="1" applyAlignment="1">
      <x:alignment horizontal="center" vertical="center" wrapText="0"/>
    </x:xf>
    <x:xf numFmtId="164" fontId="6" fillId="4" borderId="3" xfId="0" applyNumberFormat="1" applyFont="1" applyFill="1" applyBorder="1" applyAlignment="1">
      <x:alignment horizontal="left" vertical="center" wrapText="0"/>
    </x:xf>
    <x:xf numFmtId="164" fontId="6" fillId="4" borderId="5" xfId="0" applyNumberFormat="1" applyFont="1" applyFill="1" applyBorder="1" applyAlignment="1">
      <x:alignment horizontal="center" vertical="center" wrapText="0"/>
    </x:xf>
    <x:xf numFmtId="169" fontId="12" fillId="3" borderId="5" xfId="0" applyNumberFormat="1" applyFont="1" applyFill="1" applyBorder="1" applyAlignment="1">
      <x:alignment horizontal="left" vertical="center" wrapText="0"/>
    </x:xf>
    <x:xf numFmtId="164" fontId="12" fillId="3" borderId="5" xfId="0" applyNumberFormat="1" applyFont="1" applyFill="1" applyBorder="1" applyAlignment="1">
      <x:alignment horizontal="center" vertical="center" wrapText="0"/>
    </x:xf>
    <x:xf numFmtId="168" fontId="12" fillId="3" borderId="5" xfId="0" applyNumberFormat="1" applyFont="1" applyFill="1" applyBorder="1" applyAlignment="1">
      <x:alignment horizontal="center" vertical="center" wrapText="0"/>
    </x:xf>
    <x:xf numFmtId="169" fontId="12" fillId="6" borderId="5" xfId="0" applyNumberFormat="1" applyFont="1" applyFill="1" applyBorder="1" applyAlignment="1">
      <x:alignment horizontal="left" vertical="center" wrapText="0"/>
    </x:xf>
    <x:xf numFmtId="164" fontId="12" fillId="6" borderId="5" xfId="0" applyNumberFormat="1" applyFont="1" applyFill="1" applyBorder="1" applyAlignment="1">
      <x:alignment horizontal="center" vertical="center" wrapText="0"/>
    </x:xf>
    <x:xf numFmtId="168" fontId="12" fillId="6" borderId="5" xfId="0" applyNumberFormat="1" applyFont="1" applyFill="1" applyBorder="1" applyAlignment="1">
      <x:alignment horizontal="center" vertical="center" wrapText="0"/>
    </x:xf>
    <x:xf numFmtId="164" fontId="13" fillId="2" borderId="3" xfId="0" applyNumberFormat="1" applyFont="1" applyFill="1" applyBorder="1" applyAlignment="1">
      <x:alignment horizontal="center" vertical="center" wrapText="0"/>
    </x:xf>
    <x:xf numFmtId="164" fontId="14" fillId="7" borderId="3" xfId="0" applyNumberFormat="1" applyFont="1" applyFill="1" applyBorder="1" applyAlignment="1">
      <x:alignment horizontal="left" vertical="center" wrapText="0"/>
    </x:xf>
    <x:xf numFmtId="164" fontId="6" fillId="2" borderId="5" xfId="0" applyNumberFormat="1" applyFont="1" applyFill="1" applyBorder="1" applyAlignment="1">
      <x:alignment horizontal="center" vertical="center" wrapText="1"/>
    </x:xf>
    <x:xf numFmtId="169" fontId="12" fillId="7" borderId="5" xfId="0" applyNumberFormat="1" applyFont="1" applyFill="1" applyBorder="1" applyAlignment="1">
      <x:alignment horizontal="center" vertical="center" wrapText="0"/>
    </x:xf>
    <x:xf numFmtId="164" fontId="12" fillId="7" borderId="5" xfId="0" applyNumberFormat="1" applyFont="1" applyFill="1" applyBorder="1" applyAlignment="1">
      <x:alignment horizontal="left" vertical="center" wrapText="0"/>
    </x:xf>
    <x:xf numFmtId="164" fontId="12" fillId="7" borderId="5" xfId="0" applyNumberFormat="1" applyFont="1" applyFill="1" applyBorder="1" applyAlignment="1">
      <x:alignment horizontal="center" vertical="center" wrapText="0"/>
    </x:xf>
    <x:xf numFmtId="170" fontId="12" fillId="7" borderId="5" xfId="0" applyNumberFormat="1" applyFont="1" applyFill="1" applyBorder="1" applyAlignment="1">
      <x:alignment horizontal="center" vertical="center" wrapText="0"/>
    </x:xf>
    <x:xf numFmtId="167" fontId="15" fillId="8" borderId="5" xfId="0" applyNumberFormat="1" applyFont="1" applyFill="1" applyBorder="1" applyAlignment="1">
      <x:alignment horizontal="center" vertical="center" wrapText="0"/>
    </x:xf>
    <x:xf numFmtId="164" fontId="6" fillId="4" borderId="3" xfId="0" applyNumberFormat="1" applyFont="1" applyFill="1" applyBorder="1" applyAlignment="1">
      <x:alignment horizontal="right" vertical="center" wrapText="0"/>
    </x:xf>
    <x:xf numFmtId="167" fontId="6" fillId="4" borderId="5" xfId="0" applyNumberFormat="1" applyFont="1" applyFill="1" applyBorder="1" applyAlignment="1">
      <x:alignment horizontal="center" vertical="center" wrapText="0"/>
    </x:xf>
    <x:xf numFmtId="168" fontId="16" fillId="4" borderId="3" xfId="0" applyNumberFormat="1" applyFont="1" applyFill="1" applyBorder="1" applyAlignment="1">
      <x:alignment horizontal="left" vertical="center" wrapText="0"/>
    </x:xf>
    <x:xf numFmtId="168" fontId="12" fillId="7" borderId="5" xfId="0" applyNumberFormat="1" applyFont="1" applyFill="1" applyBorder="1" applyAlignment="1">
      <x:alignment horizontal="center" vertical="center" wrapText="0"/>
    </x:xf>
    <x:xf numFmtId="165" fontId="0" fillId="0" borderId="3" xfId="0" applyNumberFormat="1" applyFont="1" applyFill="1" applyBorder="1" applyAlignment="1">
      <x:alignment horizontal="general" vertical="bottom" wrapText="0"/>
    </x:xf>
    <x:xf numFmtId="166" fontId="0" fillId="0" borderId="3" xfId="0" applyNumberFormat="1" applyFont="1" applyFill="1" applyBorder="1" applyAlignment="1">
      <x:alignment horizontal="general" vertical="bottom" wrapText="0"/>
    </x:xf>
    <x:xf numFmtId="169" fontId="0" fillId="0" borderId="3" xfId="0" applyNumberFormat="1" applyFont="1" applyFill="1" applyBorder="1" applyAlignment="1">
      <x:alignment horizontal="general" vertical="bottom" wrapText="0"/>
    </x:xf>
    <x:xf numFmtId="168" fontId="0" fillId="0" borderId="3" xfId="0" applyNumberFormat="1" applyFont="1" applyFill="1" applyBorder="1" applyAlignment="1">
      <x:alignment horizontal="general" vertical="bottom" wrapText="0"/>
    </x:xf>
    <x:xf numFmtId="167" fontId="0" fillId="0" borderId="3" xfId="0" applyNumberFormat="1" applyFont="1" applyFill="1" applyBorder="1" applyAlignment="1">
      <x:alignment horizontal="general" vertical="bottom" wrapText="0"/>
    </x:xf>
    <x:xf numFmtId="164" fontId="0" fillId="9" borderId="0" xfId="0" applyNumberFormat="1" applyFont="1" applyFill="1" applyBorder="1" applyAlignment="1">
      <x:alignment horizontal="general" vertical="bottom" wrapText="0"/>
    </x:xf>
    <x:xf numFmtId="164" fontId="17" fillId="9" borderId="0" xfId="0" applyNumberFormat="1" applyFont="1" applyFill="1" applyBorder="1" applyAlignment="1">
      <x:alignment horizontal="general" vertical="bottom" wrapText="0"/>
    </x:xf>
    <x:xf numFmtId="164" fontId="17" fillId="9" borderId="0" xfId="0" applyNumberFormat="1" applyFont="1" applyFill="1" applyBorder="1" applyAlignment="1">
      <x:alignment horizontal="left" vertical="bottom" wrapText="0"/>
    </x:xf>
    <x:xf numFmtId="164" fontId="17" fillId="9" borderId="0" xfId="0" applyNumberFormat="1" applyFont="1" applyFill="1" applyBorder="1" applyAlignment="1">
      <x:alignment horizontal="left" vertical="center" wrapText="0"/>
    </x:xf>
    <x:xf numFmtId="164" fontId="0" fillId="9" borderId="3" xfId="0" applyNumberFormat="1" applyFont="1" applyFill="1" applyBorder="1" applyAlignment="1">
      <x:alignment horizontal="general" vertical="bottom" wrapText="0"/>
    </x:xf>
    <x:xf numFmtId="164" fontId="17" fillId="9" borderId="3" xfId="0" applyNumberFormat="1" applyFont="1" applyFill="1" applyBorder="1" applyAlignment="1">
      <x:alignment horizontal="general" vertical="bottom" wrapText="0"/>
    </x:xf>
    <x:xf numFmtId="164" fontId="17" fillId="9" borderId="3" xfId="0" applyNumberFormat="1" applyFont="1" applyFill="1" applyBorder="1" applyAlignment="1">
      <x:alignment horizontal="left" vertical="bottom" wrapText="0"/>
    </x:xf>
    <x:xf numFmtId="164" fontId="17" fillId="9" borderId="3" xfId="0" applyNumberFormat="1" applyFont="1" applyFill="1" applyBorder="1" applyAlignment="1">
      <x:alignment horizontal="left" vertical="center" wrapText="0"/>
    </x:xf>
    <x:xf numFmtId="164" fontId="0" fillId="10" borderId="0" xfId="0" applyNumberFormat="1" applyFont="1" applyFill="1" applyBorder="1" applyAlignment="1">
      <x:alignment horizontal="general" vertical="bottom" wrapText="0"/>
    </x:xf>
    <x:xf numFmtId="164" fontId="18" fillId="10" borderId="0" xfId="0" applyNumberFormat="1" applyFont="1" applyFill="1" applyBorder="1" applyAlignment="1">
      <x:alignment horizontal="general" vertical="bottom" wrapText="0"/>
    </x:xf>
    <x:xf numFmtId="164" fontId="18" fillId="10" borderId="0" xfId="0" applyNumberFormat="1" applyFont="1" applyFill="1" applyBorder="1" applyAlignment="1">
      <x:alignment horizontal="general" vertical="bottom" wrapText="1"/>
    </x:xf>
    <x:xf numFmtId="164" fontId="0" fillId="10" borderId="3" xfId="0" applyNumberFormat="1" applyFont="1" applyFill="1" applyBorder="1" applyAlignment="1">
      <x:alignment horizontal="general" vertical="bottom" wrapText="0"/>
    </x:xf>
    <x:xf numFmtId="164" fontId="18" fillId="10" borderId="3" xfId="0" applyNumberFormat="1" applyFont="1" applyFill="1" applyBorder="1" applyAlignment="1">
      <x:alignment horizontal="general" vertical="bottom" wrapText="0"/>
    </x:xf>
    <x:xf numFmtId="164" fontId="18" fillId="10" borderId="3" xfId="0" applyNumberFormat="1" applyFont="1" applyFill="1" applyBorder="1" applyAlignment="1">
      <x:alignment horizontal="general" vertical="bottom" wrapText="1"/>
    </x:xf>
    <x:xf numFmtId="164" fontId="0" fillId="11" borderId="0" xfId="0" applyNumberFormat="1" applyFont="1" applyFill="1" applyBorder="1" applyAlignment="1">
      <x:alignment horizontal="general" vertical="bottom" wrapText="0"/>
    </x:xf>
    <x:xf numFmtId="164" fontId="19" fillId="11" borderId="0" xfId="0" applyNumberFormat="1" applyFont="1" applyFill="1" applyBorder="1" applyAlignment="1">
      <x:alignment horizontal="general" vertical="bottom" wrapText="0"/>
    </x:xf>
    <x:xf numFmtId="164" fontId="19" fillId="11" borderId="0" xfId="0" applyNumberFormat="1" applyFont="1" applyFill="1" applyBorder="1" applyAlignment="1">
      <x:alignment horizontal="general" vertical="bottom" wrapText="1"/>
    </x:xf>
    <x:xf numFmtId="164" fontId="19" fillId="11" borderId="0" xfId="0" applyNumberFormat="1" applyFont="1" applyFill="1" applyBorder="1" applyAlignment="1">
      <x:alignment horizontal="center" vertical="bottom" wrapText="1"/>
    </x:xf>
    <x:xf numFmtId="164" fontId="19" fillId="11" borderId="0" xfId="0" applyNumberFormat="1" applyFont="1" applyFill="1" applyBorder="1" applyAlignment="1">
      <x:alignment horizontal="center" vertical="center" wrapText="1"/>
    </x:xf>
    <x:xf numFmtId="164" fontId="0" fillId="11" borderId="3" xfId="0" applyNumberFormat="1" applyFont="1" applyFill="1" applyBorder="1" applyAlignment="1">
      <x:alignment horizontal="general" vertical="bottom" wrapText="0"/>
    </x:xf>
    <x:xf numFmtId="164" fontId="19" fillId="11" borderId="3" xfId="0" applyNumberFormat="1" applyFont="1" applyFill="1" applyBorder="1" applyAlignment="1">
      <x:alignment horizontal="general" vertical="bottom" wrapText="0"/>
    </x:xf>
    <x:xf numFmtId="164" fontId="19" fillId="11" borderId="3" xfId="0" applyNumberFormat="1" applyFont="1" applyFill="1" applyBorder="1" applyAlignment="1">
      <x:alignment horizontal="general" vertical="bottom" wrapText="1"/>
    </x:xf>
    <x:xf numFmtId="164" fontId="19" fillId="11" borderId="3" xfId="0" applyNumberFormat="1" applyFont="1" applyFill="1" applyBorder="1" applyAlignment="1">
      <x:alignment horizontal="center" vertical="bottom" wrapText="1"/>
    </x:xf>
    <x:xf numFmtId="164" fontId="19" fillId="11" borderId="3"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bottom" wrapText="0"/>
    </x:xf>
    <x:xf numFmtId="164"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0" fillId="0" borderId="3" xfId="0" applyNumberFormat="1" applyFont="1" applyFill="1" applyBorder="1" applyAlignment="1">
      <x:alignment horizontal="general" vertical="bottom" wrapText="1"/>
    </x:xf>
    <x:xf numFmtId="164" fontId="0" fillId="0" borderId="3" xfId="0" applyNumberFormat="1" applyFont="1" applyFill="1" applyBorder="1" applyAlignment="1">
      <x:alignment horizontal="general" vertical="top" wrapText="1"/>
    </x:xf>
    <x:xf numFmtId="164" fontId="0" fillId="12" borderId="0" xfId="0" applyNumberFormat="1" applyFont="1" applyFill="1" applyBorder="1" applyAlignment="1">
      <x:alignment horizontal="general" vertical="bottom" wrapText="0"/>
    </x:xf>
    <x:xf numFmtId="164" fontId="20" fillId="12" borderId="0" xfId="0" applyNumberFormat="1" applyFont="1" applyFill="1" applyBorder="1" applyAlignment="1">
      <x:alignment horizontal="general" vertical="bottom" wrapText="0"/>
    </x:xf>
    <x:xf numFmtId="164" fontId="0" fillId="12" borderId="3" xfId="0" applyNumberFormat="1" applyFont="1" applyFill="1" applyBorder="1" applyAlignment="1">
      <x:alignment horizontal="general" vertical="bottom" wrapText="0"/>
    </x:xf>
    <x:xf numFmtId="164" fontId="20" fillId="12" borderId="3" xfId="0" applyNumberFormat="1" applyFont="1" applyFill="1" applyBorder="1" applyAlignment="1">
      <x:alignment horizontal="general" vertical="bottom" wrapText="0"/>
    </x:xf>
    <x:xf numFmtId="164" fontId="0" fillId="13" borderId="0" xfId="0" applyNumberFormat="1" applyFont="1" applyFill="1" applyBorder="1" applyAlignment="1">
      <x:alignment horizontal="general" vertical="bottom" wrapText="0"/>
    </x:xf>
    <x:xf numFmtId="164" fontId="0" fillId="13" borderId="0" xfId="0" applyNumberFormat="1" applyFont="1" applyFill="1" applyBorder="1" applyAlignment="1">
      <x:alignment horizontal="general" vertical="bottom" wrapText="1"/>
    </x:xf>
    <x:xf numFmtId="164" fontId="0" fillId="13" borderId="3" xfId="0" applyNumberFormat="1" applyFont="1" applyFill="1" applyBorder="1" applyAlignment="1">
      <x:alignment horizontal="general" vertical="bottom" wrapText="0"/>
    </x:xf>
    <x:xf numFmtId="164" fontId="0" fillId="13" borderId="3" xfId="0" applyNumberFormat="1" applyFont="1" applyFill="1" applyBorder="1" applyAlignment="1">
      <x:alignment horizontal="general" vertical="bottom" wrapText="1"/>
    </x:xf>
    <x:xf numFmtId="164" fontId="20" fillId="11" borderId="0" xfId="0" applyNumberFormat="1" applyFont="1" applyFill="1" applyBorder="1" applyAlignment="1">
      <x:alignment horizontal="general" vertical="bottom" wrapText="0"/>
    </x:xf>
    <x:xf numFmtId="164" fontId="20" fillId="11" borderId="3" xfId="0" applyNumberFormat="1" applyFont="1" applyFill="1" applyBorder="1" applyAlignment="1">
      <x:alignment horizontal="general" vertical="bottom" wrapText="0"/>
    </x:xf>
    <x:xf numFmtId="200" fontId="0" fillId="0" borderId="0" xfId="0" applyNumberFormat="1" applyFont="1" applyFill="1" applyBorder="1" applyAlignment="1">
      <x:alignment horizontal="general" vertical="top" wrapText="1"/>
    </x:xf>
    <x:xf numFmtId="200" fontId="0" fillId="0" borderId="3" xfId="0" applyNumberFormat="1" applyFont="1" applyFill="1" applyBorder="1" applyAlignment="1">
      <x:alignment horizontal="general" vertical="top" wrapText="1"/>
    </x:xf>
    <x:xf numFmtId="164" fontId="20" fillId="12" borderId="0" xfId="0" applyNumberFormat="1" applyFont="1" applyFill="1" applyBorder="1" applyAlignment="1">
      <x:alignment horizontal="general" vertical="bottom" wrapText="1"/>
    </x:xf>
    <x:xf numFmtId="164" fontId="20" fillId="12" borderId="3" xfId="0" applyNumberFormat="1" applyFont="1" applyFill="1" applyBorder="1" applyAlignment="1">
      <x:alignment horizontal="general" vertical="bottom" wrapText="1"/>
    </x:xf>
    <x:xf numFmtId="201" fontId="0" fillId="2" borderId="0" xfId="0" applyNumberFormat="1" applyFont="1" applyFill="1" applyBorder="1" applyAlignment="1">
      <x:alignment horizontal="general" vertical="bottom" wrapText="0"/>
    </x:xf>
    <x:xf numFmtId="201" fontId="0" fillId="0" borderId="0" xfId="0" applyNumberFormat="1" applyFont="1" applyFill="1" applyBorder="1" applyAlignment="1">
      <x:alignment horizontal="general" vertical="bottom" wrapText="0"/>
    </x:xf>
    <x:xf numFmtId="201" fontId="0" fillId="2" borderId="3" xfId="0" applyNumberFormat="1" applyFont="1" applyFill="1" applyBorder="1" applyAlignment="1">
      <x:alignment horizontal="general" vertical="bottom" wrapText="0"/>
    </x:xf>
    <x:xf numFmtId="201" fontId="0" fillId="0" borderId="3" xfId="0" applyNumberFormat="1" applyFont="1" applyFill="1" applyBorder="1" applyAlignment="1">
      <x:alignment horizontal="general" vertical="bottom" wrapText="0"/>
    </x:xf>
    <x:xf numFmtId="200" fontId="0" fillId="0" borderId="0" xfId="0" applyNumberFormat="1" applyFont="1" applyFill="1" applyBorder="1" applyAlignment="1">
      <x:alignment horizontal="general" vertical="bottom" wrapText="0"/>
    </x:xf>
    <x:xf numFmtId="200" fontId="0" fillId="0" borderId="3" xfId="0" applyNumberFormat="1" applyFont="1" applyFill="1" applyBorder="1" applyAlignment="1">
      <x:alignment horizontal="general" vertical="bottom" wrapText="0"/>
    </x:xf>
    <x:xf numFmtId="164" fontId="21" fillId="10" borderId="0" xfId="0" applyNumberFormat="1" applyFont="1" applyFill="1" applyBorder="1" applyAlignment="1">
      <x:alignment horizontal="general" vertical="bottom" wrapText="0"/>
    </x:xf>
    <x:xf numFmtId="164" fontId="21" fillId="10" borderId="3" xfId="0" applyNumberFormat="1" applyFont="1" applyFill="1" applyBorder="1" applyAlignment="1">
      <x:alignment horizontal="general" vertical="bottom" wrapText="0"/>
    </x:xf>
    <x:xf numFmtId="201" fontId="0" fillId="0" borderId="0" xfId="0" applyNumberFormat="1" applyFont="1" applyFill="1" applyBorder="1" applyAlignment="1">
      <x:alignment horizontal="general" vertical="top" wrapText="1"/>
    </x:xf>
    <x:xf numFmtId="201" fontId="0" fillId="0" borderId="3"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dxfs count="5">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F3C7"/>
        </x:patternFill>
      </x:fill>
    </x:dxf>
    <x:dxf>
      <x:fill>
        <x:patternFill patternType="solid">
          <x:bgColor rgb="FFFEE2E2"/>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CCCCC"/>
      <x:rgbColor rgb="FF717D7E"/>
      <x:rgbColor rgb="FF9999FF"/>
      <x:rgbColor rgb="FF993366"/>
      <x:rgbColor rgb="FFFFF3CD"/>
      <x:rgbColor rgb="FFD6EAF8"/>
      <x:rgbColor rgb="FF660066"/>
      <x:rgbColor rgb="FFFF8080"/>
      <x:rgbColor rgb="FF1F618D"/>
      <x:rgbColor rgb="FFCCCCFF"/>
      <x:rgbColor rgb="FF000080"/>
      <x:rgbColor rgb="FFFF00FF"/>
      <x:rgbColor rgb="FFFFFF00"/>
      <x:rgbColor rgb="FF00FFFF"/>
      <x:rgbColor rgb="FF800080"/>
      <x:rgbColor rgb="FF800000"/>
      <x:rgbColor rgb="FF008080"/>
      <x:rgbColor rgb="FF0000FF"/>
      <x:rgbColor rgb="FF00CCFF"/>
      <x:rgbColor rgb="FFF2F3F4"/>
      <x:rgbColor rgb="FFCCFFCC"/>
      <x:rgbColor rgb="FFFFFF99"/>
      <x:rgbColor rgb="FF99CCFF"/>
      <x:rgbColor rgb="FFFF99CC"/>
      <x:rgbColor rgb="FFCC99FF"/>
      <x:rgbColor rgb="FFFFCC99"/>
      <x:rgbColor rgb="FF3366FF"/>
      <x:rgbColor rgb="FF33CCCC"/>
      <x:rgbColor rgb="FF99CC00"/>
      <x:rgbColor rgb="FFFFCC00"/>
      <x:rgbColor rgb="FFE8A020"/>
      <x:rgbColor rgb="FFFF6600"/>
      <x:rgbColor rgb="FF666699"/>
      <x:rgbColor rgb="FF969696"/>
      <x:rgbColor rgb="FF003366"/>
      <x:rgbColor rgb="FF1E8449"/>
      <x:rgbColor rgb="FF003300"/>
      <x:rgbColor rgb="FF1A1A2E"/>
      <x:rgbColor rgb="FF993300"/>
      <x:rgbColor rgb="FF993366"/>
      <x:rgbColor rgb="FF333399"/>
      <x:rgbColor rgb="FF16213E"/>
    </x:indexedColors>
  </x:colors>
</x:styleSheet>
</file>

<file path=xl/_rels/workbook.xml.rels>&#65279;<?xml version="1.0" encoding="utf-8"?><Relationships xmlns="http://schemas.openxmlformats.org/package/2006/relationships"><Relationship Type="http://schemas.openxmlformats.org/officeDocument/2006/relationships/styles" Target="/xl/styles.xml" Id="Rc10bcebf24534589" /><Relationship Type="http://schemas.openxmlformats.org/officeDocument/2006/relationships/theme" Target="/xl/theme/theme1.xml" Id="R16c276e41b964f35" /><Relationship Type="http://schemas.openxmlformats.org/officeDocument/2006/relationships/sharedStrings" Target="/xl/sharedStrings.xml" Id="Rc7ab68e09a25435f" /><Relationship Type="http://schemas.openxmlformats.org/officeDocument/2006/relationships/worksheet" Target="/xl/worksheets/sheet1.xml" Id="Ra7c2d676783a4935" /><Relationship Type="http://schemas.openxmlformats.org/officeDocument/2006/relationships/worksheet" Target="/xl/worksheets/sheet2.xml" Id="R51abd3b3872c4a87" /><Relationship Type="http://schemas.openxmlformats.org/officeDocument/2006/relationships/worksheet" Target="/xl/worksheets/sheet3.xml" Id="R697bbfccb995445e" /><Relationship Type="http://schemas.openxmlformats.org/officeDocument/2006/relationships/worksheet" Target="/xl/worksheets/sheet4.xml" Id="R3cf328f0f4aa4c55" /><Relationship Type="http://schemas.openxmlformats.org/officeDocument/2006/relationships/worksheet" Target="/xl/worksheets/sheet5.xml" Id="R7b2925cb6caf4414" /><Relationship Type="http://schemas.openxmlformats.org/officeDocument/2006/relationships/worksheet" Target="/xl/worksheets/sheet6.xml" Id="R649054a61d9e40e2" /><Relationship Type="http://schemas.openxmlformats.org/officeDocument/2006/relationships/worksheet" Target="/xl/worksheets/sheet7.xml" Id="R4b9b849a7e2e4318" /><Relationship Type="http://schemas.openxmlformats.org/officeDocument/2006/relationships/worksheet" Target="/xl/worksheets/sheet8.xml" Id="R2b9395a560b847d7" /><Relationship Type="http://schemas.openxmlformats.org/officeDocument/2006/relationships/worksheet" Target="/xl/worksheets/sheet9.xml" Id="Reacc8f6718e24e29" /><Relationship Type="http://schemas.openxmlformats.org/officeDocument/2006/relationships/worksheet" Target="/xl/worksheets/sheet10.xml" Id="R6321eeb256c14644" /><Relationship Type="http://schemas.openxmlformats.org/officeDocument/2006/relationships/worksheet" Target="/xl/worksheets/sheet11.xml" Id="R3913d89cfd0f4f9d" /></Relationships>
</file>

<file path=xl/tables/table1.xml><?xml version="1.0" encoding="utf-8"?>
<x:table xmlns:x="http://schemas.openxmlformats.org/spreadsheetml/2006/main" id="1" name="DowntimeActionTracker" displayName="DowntimeActionTracker" ref="A4:K34" headerRowCount="1">
  <x:tableColumns count="11">
    <x:tableColumn id="1" name="Source/Sheet"/>
    <x:tableColumn id="2" name="Asset / Equipment"/>
    <x:tableColumn id="3" name="Finding / Defect"/>
    <x:tableColumn id="4" name="Risk / Impact"/>
    <x:tableColumn id="5" name="Priority"/>
    <x:tableColumn id="6" name="Responsible Person"/>
    <x:tableColumn id="7" name="Due Date"/>
    <x:tableColumn id="8" name="Status"/>
    <x:tableColumn id="9" name="Close-out Date"/>
    <x:tableColumn id="10" name="Verification / Evidence"/>
    <x:tableColumn id="11" name="Days Overdue"/>
  </x:tableColumns>
  <x:tableStyleInfo name="TableStyleMedium2" showRowStripes="1"/>
</x:table>
</file>

<file path=xl/tables/table2.xml><?xml version="1.0" encoding="utf-8"?>
<x:table xmlns:x="http://schemas.openxmlformats.org/spreadsheetml/2006/main" id="2" name="BadActorRegister" displayName="BadActorRegister" ref="A4:J24" headerRowCount="1">
  <x:tableColumns count="10">
    <x:tableColumn id="1" name="Equipment Tag"/>
    <x:tableColumn id="2" name="Equipment Name"/>
    <x:tableColumn id="3" name="Area"/>
    <x:tableColumn id="4" name="Incidents"/>
    <x:tableColumn id="5" name="Downtime Hours"/>
    <x:tableColumn id="6" name="Downtime Cost"/>
    <x:tableColumn id="7" name="Top Failure Mode"/>
    <x:tableColumn id="8" name="RCA Required?"/>
    <x:tableColumn id="9" name="Improvement Action"/>
    <x:tableColumn id="10" name="Owner"/>
  </x:tableColumns>
  <x:tableStyleInfo name="TableStyleMedium2" showRowStripes="1"/>
</x:table>
</file>

<file path=xl/tables/table3.xml><?xml version="1.0" encoding="utf-8"?>
<x:table xmlns:x="http://schemas.openxmlformats.org/spreadsheetml/2006/main" id="3" name="DowntimeMeetingSummary" displayName="DowntimeMeetingSummary" ref="A4:K24" headerRowCount="1">
  <x:tableColumns count="11">
    <x:tableColumn id="1" name="Meeting Date"/>
    <x:tableColumn id="2" name="Period Reviewed"/>
    <x:tableColumn id="3" name="Key Downtime Driver"/>
    <x:tableColumn id="4" name="Decision"/>
    <x:tableColumn id="5" name="Action"/>
    <x:tableColumn id="6" name="Owner"/>
    <x:tableColumn id="7" name="Due Date"/>
    <x:tableColumn id="8" name="Status"/>
    <x:tableColumn id="9" name="Escalation Required?"/>
    <x:tableColumn id="10" name="Evidence"/>
    <x:tableColumn id="11" name="Comments"/>
  </x:tableColumns>
  <x:tableStyleInfo name="TableStyleMedium2" showRowStripes="1"/>
</x: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31fb6a17ecf349df" /></Relationships>
</file>

<file path=xl/worksheets/_rels/sheet10.xml.rels>&#65279;<?xml version="1.0" encoding="utf-8"?><Relationships xmlns="http://schemas.openxmlformats.org/package/2006/relationships"><Relationship Type="http://schemas.openxmlformats.org/officeDocument/2006/relationships/table" Target="/xl/tables/table2.xml" Id="R5b076039088b447a" /></Relationships>
</file>

<file path=xl/worksheets/_rels/sheet11.xml.rels>&#65279;<?xml version="1.0" encoding="utf-8"?><Relationships xmlns="http://schemas.openxmlformats.org/package/2006/relationships"><Relationship Type="http://schemas.openxmlformats.org/officeDocument/2006/relationships/table" Target="/xl/tables/table3.xml" Id="R3beb9d2c86774813" /></Relationships>
</file>

<file path=xl/worksheets/sheet1.xml><?xml version="1.0" encoding="utf-8"?>
<x:worksheet xmlns:x="http://schemas.openxmlformats.org/spreadsheetml/2006/main">
  <x:sheetPr>
    <x:tabColor rgb="FF717D7E"/>
  </x:sheetPr>
  <x:sheetViews>
    <x:sheetView showGridLines="0" workbookViewId="0"/>
  </x:sheetViews>
  <x:sheetFormatPr defaultColWidth="8.6796875" defaultRowHeight="15"/>
  <x:cols>
    <x:col min="2" max="2" width="4" style="1" hidden="0" customWidth="1"/>
    <x:col min="3" max="3" width="28" style="1" hidden="0" customWidth="1"/>
    <x:col min="4" max="4" width="60" style="1" hidden="0" customWidth="1"/>
    <x:col min="5" max="5" width="20" style="1" hidden="0" customWidth="1"/>
  </x:cols>
  <x:sheetData>
    <x:row r="2" ht="39.75" hidden="0" customHeight="1">
      <x:c r="A2" s="2"/>
      <x:c r="B2" s="3" t="s">
        <x:v>0</x:v>
      </x:c>
      <x:c r="C2" s="3"/>
      <x:c r="D2" s="3"/>
      <x:c r="E2" s="3"/>
      <x:c r="F2" s="3"/>
      <x:c r="G2" s="3"/>
      <x:c r="H2" s="3"/>
      <x:c r="I2" s="3"/>
      <x:c r="J2" s="3"/>
      <x:c r="K2" s="3"/>
    </x:row>
    <x:row r="5" ht="9.75" hidden="0" customHeight="1"/>
    <x:row r="6" ht="21.75" hidden="0" customHeight="1">
      <x:c r="C6" s="4" t="s">
        <x:v>1</x:v>
      </x:c>
      <x:c r="D6" s="5" t="s">
        <x:v>2</x:v>
      </x:c>
    </x:row>
    <x:row r="7" ht="49.5" hidden="0" customHeight="1">
      <x:c r="C7" s="6"/>
      <x:c r="D7" s="7" t="s">
        <x:v>3</x:v>
      </x:c>
    </x:row>
    <x:row r="8" ht="9.75" hidden="0" customHeight="1"/>
    <x:row r="9" ht="21.75" hidden="0" customHeight="1">
      <x:c r="C9" s="4" t="s">
        <x:v>4</x:v>
      </x:c>
      <x:c r="D9" s="5" t="s">
        <x:v>5</x:v>
      </x:c>
    </x:row>
    <x:row r="10" ht="49.5" hidden="0" customHeight="1">
      <x:c r="C10" s="6"/>
      <x:c r="D10" s="7" t="s">
        <x:v>6</x:v>
      </x:c>
    </x:row>
    <x:row r="11" ht="9.75" hidden="0" customHeight="1"/>
    <x:row r="12" ht="21.75" hidden="0" customHeight="1">
      <x:c r="C12" s="4" t="s">
        <x:v>7</x:v>
      </x:c>
      <x:c r="D12" s="5" t="s">
        <x:v>8</x:v>
      </x:c>
    </x:row>
    <x:row r="13" ht="49.5" hidden="0" customHeight="1">
      <x:c r="C13" s="6"/>
      <x:c r="D13" s="7" t="s">
        <x:v>9</x:v>
      </x:c>
    </x:row>
    <x:row r="14" ht="9.75" hidden="0" customHeight="1"/>
    <x:row r="15" ht="21.75" hidden="0" customHeight="1">
      <x:c r="C15" s="4" t="s">
        <x:v>10</x:v>
      </x:c>
      <x:c r="D15" s="5" t="s">
        <x:v>11</x:v>
      </x:c>
    </x:row>
    <x:row r="16" ht="49.5" hidden="0" customHeight="1">
      <x:c r="C16" s="6"/>
      <x:c r="D16" s="7" t="s">
        <x:v>12</x:v>
      </x:c>
    </x:row>
    <x:row r="17" ht="9.75" hidden="0" customHeight="1"/>
    <x:row r="18" ht="21.75" hidden="0" customHeight="1">
      <x:c r="C18" s="4" t="s">
        <x:v>13</x:v>
      </x:c>
      <x:c r="D18" s="5" t="s">
        <x:v>14</x:v>
      </x:c>
    </x:row>
    <x:row r="19" ht="49.5" hidden="0" customHeight="1">
      <x:c r="C19" s="6"/>
      <x:c r="D19" s="7" t="s">
        <x:v>15</x:v>
      </x:c>
    </x:row>
    <x:row r="20" ht="9.75" hidden="0" customHeight="1"/>
    <x:row r="21" ht="21.75" hidden="0" customHeight="1">
      <x:c r="C21" s="4" t="s">
        <x:v>16</x:v>
      </x:c>
      <x:c r="D21" s="5" t="s">
        <x:v>17</x:v>
      </x:c>
    </x:row>
    <x:row r="22" ht="49.5" hidden="0" customHeight="1">
      <x:c r="C22" s="6"/>
      <x:c r="D22" s="7" t="s">
        <x:v>18</x:v>
      </x:c>
    </x:row>
    <x:row r="23" ht="9.75" hidden="0" customHeight="1"/>
    <x:row r="24" ht="21.75" hidden="0" customHeight="1">
      <x:c r="C24" s="4" t="s">
        <x:v>19</x:v>
      </x:c>
      <x:c r="D24" s="5" t="s">
        <x:v>20</x:v>
      </x:c>
    </x:row>
    <x:row r="25" ht="49.5" hidden="0" customHeight="1">
      <x:c r="C25" s="6"/>
      <x:c r="D25" s="7" t="s">
        <x:v>21</x:v>
      </x:c>
    </x:row>
  </x:sheetData>
  <x:mergeCells>
    <x:mergeCell ref="B2:K2"/>
  </x:mergeCells>
  <x:pageMargins left="0.7" right="0.7" top="0.75" bottom="0.75" header="0.3" footer="0.3"/>
</x:worksheet>
</file>

<file path=xl/worksheets/sheet2.xml><?xml version="1.0" encoding="utf-8"?>
<x:worksheet xmlns:x="http://schemas.openxmlformats.org/spreadsheetml/2006/main">
  <x:sheetPr>
    <x:tabColor rgb="FFE8A020"/>
  </x:sheetPr>
  <x:sheetViews>
    <x:sheetView showGridLines="0" workbookViewId="0"/>
  </x:sheetViews>
  <x:sheetFormatPr defaultColWidth="8.6796875" defaultRowHeight="15"/>
  <x:cols>
    <x:col min="1" max="1" width="1" style="1" hidden="0" customWidth="1"/>
    <x:col min="2" max="2" width="18" style="1" hidden="0" customWidth="1"/>
    <x:col min="3" max="11" width="14" style="1" hidden="0" customWidth="1"/>
    <x:col min="12" max="12" width="1" style="1" hidden="0" customWidth="1"/>
  </x:cols>
  <x:sheetData>
    <x:row r="1" ht="7.5" hidden="0" customHeight="1"/>
    <x:row r="2" ht="39.75" hidden="0" customHeight="1">
      <x:c r="A2" s="2"/>
      <x:c r="B2" s="8" t="s">
        <x:v>22</x:v>
      </x:c>
      <x:c r="C2" s="8"/>
      <x:c r="D2" s="8"/>
      <x:c r="E2" s="8"/>
      <x:c r="F2" s="8"/>
      <x:c r="G2" s="8"/>
      <x:c r="H2" s="8"/>
      <x:c r="I2" s="8"/>
      <x:c r="J2" s="8"/>
      <x:c r="K2" s="8"/>
      <x:c r="L2" s="2"/>
    </x:row>
    <x:row r="3" ht="7.5" hidden="0" customHeight="1"/>
    <x:row r="4" ht="27.75" hidden="0" customHeight="1">
      <x:c r="B4" s="9" t="s">
        <x:v>23</x:v>
      </x:c>
      <x:c r="C4" s="9" t="s">
        <x:v>24</x:v>
      </x:c>
      <x:c r="D4" s="9" t="s">
        <x:v>25</x:v>
      </x:c>
      <x:c r="E4" s="9" t="s">
        <x:v>26</x:v>
      </x:c>
      <x:c r="F4" s="9" t="s">
        <x:v>27</x:v>
      </x:c>
      <x:c r="G4" s="9" t="s">
        <x:v>28</x:v>
      </x:c>
    </x:row>
    <x:row r="5" ht="7.5" hidden="0" customHeight="1"/>
    <x:row r="6" ht="24" hidden="0" customHeight="1">
      <x:c r="B6" s="10" t="n">
        <x:f aca="0">IFERROR(Calculations!B2,"N/A")</x:f>
        <x:v>0.8075</x:v>
      </x:c>
      <x:c r="C6" s="11" t="n">
        <x:f aca="0">IFERROR(Calculations!B3,"N/A")</x:f>
        <x:v>0</x:v>
      </x:c>
      <x:c r="D6" s="11" t="n">
        <x:f aca="0">IFERROR(Calculations!B4,"N/A")</x:f>
        <x:v>0</x:v>
      </x:c>
      <x:c r="E6" s="10" t="n">
        <x:f aca="0">IFERROR(Calculations!B5,"N/A")</x:f>
        <x:v>1</x:v>
      </x:c>
      <x:c r="F6" s="12" t="n">
        <x:f aca="0">IFERROR(Calculations!B6,"N/A")</x:f>
        <x:v>0</x:v>
      </x:c>
      <x:c r="G6" s="13" t="n">
        <x:f aca="0">IFERROR(Calculations!B7,"N/A")</x:f>
        <x:v>0</x:v>
      </x:c>
    </x:row>
    <x:row r="7" ht="24" hidden="0" customHeight="1">
      <x:c r="B7" s="14" t="s">
        <x:v>29</x:v>
      </x:c>
      <x:c r="C7" s="14" t="s">
        <x:v>30</x:v>
      </x:c>
      <x:c r="D7" s="14" t="s">
        <x:v>31</x:v>
      </x:c>
      <x:c r="E7" s="14" t="s">
        <x:v>32</x:v>
      </x:c>
      <x:c r="F7" s="14" t="s">
        <x:v>33</x:v>
      </x:c>
      <x:c r="G7" s="14" t="s">
        <x:v>34</x:v>
      </x:c>
    </x:row>
    <x:row r="8" ht="24" hidden="0" customHeight="1">
      <x:c r="B8" s="6"/>
      <x:c r="C8" s="6"/>
      <x:c r="D8" s="6"/>
      <x:c r="E8" s="6"/>
      <x:c r="F8" s="6"/>
      <x:c r="G8" s="6"/>
    </x:row>
    <x:row r="9" ht="24" hidden="0" customHeight="1">
      <x:c r="B9" s="6"/>
      <x:c r="C9" s="6"/>
      <x:c r="D9" s="6"/>
      <x:c r="E9" s="6"/>
      <x:c r="F9" s="6"/>
      <x:c r="G9" s="6"/>
    </x:row>
    <x:row r="10" ht="18" hidden="0" customHeight="1"/>
    <x:row r="11" ht="24" hidden="0" customHeight="1">
      <x:c r="B11" s="15" t="s">
        <x:v>35</x:v>
      </x:c>
      <x:c r="C11" s="15"/>
      <x:c r="D11" s="15"/>
      <x:c r="F11" s="15" t="s">
        <x:v>36</x:v>
      </x:c>
      <x:c r="G11" s="15"/>
      <x:c r="H11" s="15"/>
    </x:row>
    <x:row r="12" ht="18" hidden="0" customHeight="1">
      <x:c r="B12" s="16" t="s">
        <x:v>37</x:v>
      </x:c>
      <x:c r="C12" s="16" t="s">
        <x:v>27</x:v>
      </x:c>
      <x:c r="D12" s="16" t="s">
        <x:v>38</x:v>
      </x:c>
      <x:c r="F12" s="16" t="s">
        <x:v>39</x:v>
      </x:c>
      <x:c r="G12" s="16" t="s">
        <x:v>27</x:v>
      </x:c>
      <x:c r="H12" s="16" t="s">
        <x:v>38</x:v>
      </x:c>
    </x:row>
    <x:row r="13" ht="16.5" hidden="0" customHeight="1">
      <x:c r="B13" s="17" t="str">
        <x:f aca="0">IFERROR(Calculations!D3,"")</x:f>
        <x:v>P-101</x:v>
      </x:c>
      <x:c r="C13" s="18" t="n">
        <x:f aca="0">IFERROR(Calculations!E3,"")</x:f>
        <x:v>0</x:v>
      </x:c>
      <x:c r="D13" s="19" t="n">
        <x:f aca="0">IFERROR(Calculations!F3,"")</x:f>
        <x:v>0</x:v>
      </x:c>
      <x:c r="F13" s="17" t="str">
        <x:f aca="0">IFERROR(Calculations!H3,"")</x:f>
        <x:v>Mechanical</x:v>
      </x:c>
      <x:c r="G13" s="18" t="n">
        <x:f aca="0">IFERROR(Calculations!I3,"")</x:f>
        <x:v>0</x:v>
      </x:c>
      <x:c r="H13" s="19" t="n">
        <x:f aca="0">IFERROR(Calculations!J3,"")</x:f>
        <x:v>0</x:v>
      </x:c>
    </x:row>
    <x:row r="14" ht="16.5" hidden="0" customHeight="1">
      <x:c r="B14" s="20" t="str">
        <x:f aca="0">IFERROR(Calculations!D4,"")</x:f>
        <x:v>P-102</x:v>
      </x:c>
      <x:c r="C14" s="21" t="n">
        <x:f aca="0">IFERROR(Calculations!E4,"")</x:f>
        <x:v>0</x:v>
      </x:c>
      <x:c r="D14" s="22" t="n">
        <x:f aca="0">IFERROR(Calculations!F4,"")</x:f>
        <x:v>0</x:v>
      </x:c>
      <x:c r="F14" s="20" t="str">
        <x:f aca="0">IFERROR(Calculations!H4,"")</x:f>
        <x:v>Electrical</x:v>
      </x:c>
      <x:c r="G14" s="21" t="n">
        <x:f aca="0">IFERROR(Calculations!I4,"")</x:f>
        <x:v>0</x:v>
      </x:c>
      <x:c r="H14" s="22" t="n">
        <x:f aca="0">IFERROR(Calculations!J4,"")</x:f>
        <x:v>0</x:v>
      </x:c>
    </x:row>
    <x:row r="15" ht="16.5" hidden="0" customHeight="1">
      <x:c r="B15" s="17" t="str">
        <x:f aca="0">IFERROR(Calculations!D5,"")</x:f>
        <x:v>CV-001</x:v>
      </x:c>
      <x:c r="C15" s="18" t="n">
        <x:f aca="0">IFERROR(Calculations!E5,"")</x:f>
        <x:v>0</x:v>
      </x:c>
      <x:c r="D15" s="19" t="n">
        <x:f aca="0">IFERROR(Calculations!F5,"")</x:f>
        <x:v>0</x:v>
      </x:c>
      <x:c r="F15" s="17" t="str">
        <x:f aca="0">IFERROR(Calculations!H5,"")</x:f>
        <x:v>Hydraulic</x:v>
      </x:c>
      <x:c r="G15" s="18" t="n">
        <x:f aca="0">IFERROR(Calculations!I5,"")</x:f>
        <x:v>0</x:v>
      </x:c>
      <x:c r="H15" s="19" t="n">
        <x:f aca="0">IFERROR(Calculations!J5,"")</x:f>
        <x:v>0</x:v>
      </x:c>
    </x:row>
    <x:row r="16" ht="16.5" hidden="0" customHeight="1">
      <x:c r="B16" s="20" t="str">
        <x:f aca="0">IFERROR(Calculations!D6,"")</x:f>
        <x:v>CV-002</x:v>
      </x:c>
      <x:c r="C16" s="21" t="n">
        <x:f aca="0">IFERROR(Calculations!E6,"")</x:f>
        <x:v>0</x:v>
      </x:c>
      <x:c r="D16" s="22" t="n">
        <x:f aca="0">IFERROR(Calculations!F6,"")</x:f>
        <x:v>0</x:v>
      </x:c>
      <x:c r="F16" s="20" t="str">
        <x:f aca="0">IFERROR(Calculations!H6,"")</x:f>
        <x:v>Pneumatic</x:v>
      </x:c>
      <x:c r="G16" s="21" t="n">
        <x:f aca="0">IFERROR(Calculations!I6,"")</x:f>
        <x:v>0</x:v>
      </x:c>
      <x:c r="H16" s="22" t="n">
        <x:f aca="0">IFERROR(Calculations!J6,"")</x:f>
        <x:v>0</x:v>
      </x:c>
    </x:row>
    <x:row r="17" ht="16.5" hidden="0" customHeight="1">
      <x:c r="B17" s="17" t="str">
        <x:f aca="0">IFERROR(Calculations!D7,"")</x:f>
        <x:v>GB-001</x:v>
      </x:c>
      <x:c r="C17" s="18" t="n">
        <x:f aca="0">IFERROR(Calculations!E7,"")</x:f>
        <x:v>0</x:v>
      </x:c>
      <x:c r="D17" s="19" t="n">
        <x:f aca="0">IFERROR(Calculations!F7,"")</x:f>
        <x:v>0</x:v>
      </x:c>
      <x:c r="F17" s="17" t="str">
        <x:f aca="0">IFERROR(Calculations!H7,"")</x:f>
        <x:v>Lubrication</x:v>
      </x:c>
      <x:c r="G17" s="18" t="n">
        <x:f aca="0">IFERROR(Calculations!I7,"")</x:f>
        <x:v>0</x:v>
      </x:c>
      <x:c r="H17" s="19" t="n">
        <x:f aca="0">IFERROR(Calculations!J7,"")</x:f>
        <x:v>0</x:v>
      </x:c>
    </x:row>
    <x:row r="18" ht="16.5" hidden="0" customHeight="1">
      <x:c r="B18" s="20" t="str">
        <x:f aca="0">IFERROR(Calculations!D8,"")</x:f>
        <x:v>GB-002</x:v>
      </x:c>
      <x:c r="C18" s="21" t="n">
        <x:f aca="0">IFERROR(Calculations!E8,"")</x:f>
        <x:v>0</x:v>
      </x:c>
      <x:c r="D18" s="22" t="n">
        <x:f aca="0">IFERROR(Calculations!F8,"")</x:f>
        <x:v>0</x:v>
      </x:c>
      <x:c r="F18" s="20" t="str">
        <x:f aca="0">IFERROR(Calculations!H8,"")</x:f>
        <x:v>Wear</x:v>
      </x:c>
      <x:c r="G18" s="21" t="n">
        <x:f aca="0">IFERROR(Calculations!I8,"")</x:f>
        <x:v>0</x:v>
      </x:c>
      <x:c r="H18" s="22" t="n">
        <x:f aca="0">IFERROR(Calculations!J8,"")</x:f>
        <x:v>0</x:v>
      </x:c>
    </x:row>
    <x:row r="19" ht="16.5" hidden="0" customHeight="1">
      <x:c r="B19" s="17" t="str">
        <x:f aca="0">IFERROR(Calculations!D9,"")</x:f>
        <x:v>M-101</x:v>
      </x:c>
      <x:c r="C19" s="18" t="n">
        <x:f aca="0">IFERROR(Calculations!E9,"")</x:f>
        <x:v>0</x:v>
      </x:c>
      <x:c r="D19" s="19" t="n">
        <x:f aca="0">IFERROR(Calculations!F9,"")</x:f>
        <x:v>0</x:v>
      </x:c>
      <x:c r="F19" s="17" t="str">
        <x:f aca="0">IFERROR(Calculations!H9,"")</x:f>
        <x:v>Corrosion</x:v>
      </x:c>
      <x:c r="G19" s="18" t="n">
        <x:f aca="0">IFERROR(Calculations!I9,"")</x:f>
        <x:v>0</x:v>
      </x:c>
      <x:c r="H19" s="19" t="n">
        <x:f aca="0">IFERROR(Calculations!J9,"")</x:f>
        <x:v>0</x:v>
      </x:c>
    </x:row>
    <x:row r="20" ht="16.5" hidden="0" customHeight="1">
      <x:c r="B20" s="20" t="str">
        <x:f aca="0">IFERROR(Calculations!D10,"")</x:f>
        <x:v>M-102</x:v>
      </x:c>
      <x:c r="C20" s="21" t="n">
        <x:f aca="0">IFERROR(Calculations!E10,"")</x:f>
        <x:v>0</x:v>
      </x:c>
      <x:c r="D20" s="22" t="n">
        <x:f aca="0">IFERROR(Calculations!F10,"")</x:f>
        <x:v>0</x:v>
      </x:c>
      <x:c r="F20" s="20" t="str">
        <x:f aca="0">IFERROR(Calculations!H10,"")</x:f>
        <x:v>Overheating</x:v>
      </x:c>
      <x:c r="G20" s="21" t="n">
        <x:f aca="0">IFERROR(Calculations!I10,"")</x:f>
        <x:v>0</x:v>
      </x:c>
      <x:c r="H20" s="22" t="n">
        <x:f aca="0">IFERROR(Calculations!J10,"")</x:f>
        <x:v>0</x:v>
      </x:c>
    </x:row>
    <x:row r="21" ht="18" hidden="0" customHeight="1"/>
    <x:row r="22" ht="18" hidden="0" customHeight="1"/>
    <x:row r="23" ht="18" hidden="0" customHeight="1"/>
    <x:row r="24" ht="18" hidden="0" customHeight="1"/>
    <x:row r="25" ht="18" hidden="0" customHeight="1"/>
    <x:row r="26" ht="18" hidden="0" customHeight="1"/>
    <x:row r="27" ht="18" hidden="0" customHeight="1"/>
    <x:row r="28" ht="24" hidden="0" customHeight="1">
      <x:c r="B28" s="23" t="s">
        <x:v>40</x:v>
      </x:c>
      <x:c r="C28" s="23"/>
      <x:c r="D28" s="23"/>
      <x:c r="F28" s="23" t="s">
        <x:v>41</x:v>
      </x:c>
      <x:c r="G28" s="23"/>
      <x:c r="H28" s="23"/>
      <x:c r="I28" s="23"/>
      <x:c r="J28" s="23"/>
      <x:c r="K28" s="23"/>
    </x:row>
    <x:row r="29" ht="18" hidden="0" customHeight="1">
      <x:c r="B29" s="24" t="s">
        <x:v>42</x:v>
      </x:c>
      <x:c r="C29" s="24" t="s">
        <x:v>37</x:v>
      </x:c>
      <x:c r="D29" s="24" t="s">
        <x:v>39</x:v>
      </x:c>
      <x:c r="E29" s="24" t="s">
        <x:v>27</x:v>
      </x:c>
      <x:c r="F29" s="24" t="s">
        <x:v>43</x:v>
      </x:c>
      <x:c r="G29" s="24" t="s">
        <x:v>27</x:v>
      </x:c>
      <x:c r="H29" s="24" t="s">
        <x:v>28</x:v>
      </x:c>
      <x:c r="I29" s="24" t="s">
        <x:v>44</x:v>
      </x:c>
      <x:c r="J29" s="24" t="s">
        <x:v>45</x:v>
      </x:c>
      <x:c r="K29" s="24" t="s">
        <x:v>23</x:v>
      </x:c>
    </x:row>
    <x:row r="30" ht="16.5" hidden="0" customHeight="1">
      <x:c r="B30" s="25" t="str">
        <x:f aca="0">IFERROR(Calculations!M3,"")</x:f>
      </x:c>
      <x:c r="C30" s="17" t="str">
        <x:f aca="0">IFERROR(Calculations!N3,"")</x:f>
      </x:c>
      <x:c r="D30" s="26" t="str">
        <x:f aca="0">IFERROR(Calculations!O3,"")</x:f>
      </x:c>
      <x:c r="E30" s="18" t="str">
        <x:f aca="0">IFERROR(Calculations!P3,"")</x:f>
      </x:c>
      <x:c r="F30" s="26" t="str">
        <x:f aca="0">IFERROR(Calculations!T3,"")</x:f>
        <x:v>Jan</x:v>
      </x:c>
      <x:c r="G30" s="18" t="n">
        <x:f aca="0">IFERROR(Calculations!U3,"")</x:f>
        <x:v>0</x:v>
      </x:c>
      <x:c r="H30" s="27" t="n">
        <x:f aca="0">IFERROR(Calculations!V3,"")</x:f>
        <x:v>0</x:v>
      </x:c>
      <x:c r="I30" s="18" t="n">
        <x:f aca="0">IFERROR(Calculations!W3,"")</x:f>
        <x:v>0</x:v>
      </x:c>
      <x:c r="J30" s="18" t="n">
        <x:f aca="0">IFERROR(Calculations!X3,"")</x:f>
        <x:v>0</x:v>
      </x:c>
      <x:c r="K30" s="19" t="n">
        <x:f aca="0">IFERROR(Calculations!Y3,"")</x:f>
        <x:v>0.8075</x:v>
      </x:c>
    </x:row>
    <x:row r="31" ht="16.5" hidden="0" customHeight="1">
      <x:c r="B31" s="28" t="str">
        <x:f aca="0">IFERROR(Calculations!M4,"")</x:f>
      </x:c>
      <x:c r="C31" s="20" t="str">
        <x:f aca="0">IFERROR(Calculations!N4,"")</x:f>
      </x:c>
      <x:c r="D31" s="29" t="str">
        <x:f aca="0">IFERROR(Calculations!O4,"")</x:f>
      </x:c>
      <x:c r="E31" s="21" t="str">
        <x:f aca="0">IFERROR(Calculations!P4,"")</x:f>
      </x:c>
      <x:c r="F31" s="29" t="str">
        <x:f aca="0">IFERROR(Calculations!T4,"")</x:f>
        <x:v>Feb</x:v>
      </x:c>
      <x:c r="G31" s="21" t="n">
        <x:f aca="0">IFERROR(Calculations!U4,"")</x:f>
        <x:v>0</x:v>
      </x:c>
      <x:c r="H31" s="30" t="n">
        <x:f aca="0">IFERROR(Calculations!V4,"")</x:f>
        <x:v>0</x:v>
      </x:c>
      <x:c r="I31" s="21" t="n">
        <x:f aca="0">IFERROR(Calculations!W4,"")</x:f>
        <x:v>0</x:v>
      </x:c>
      <x:c r="J31" s="21" t="n">
        <x:f aca="0">IFERROR(Calculations!X4,"")</x:f>
        <x:v>0</x:v>
      </x:c>
      <x:c r="K31" s="22" t="n">
        <x:f aca="0">IFERROR(Calculations!Y4,"")</x:f>
        <x:v>0.8075</x:v>
      </x:c>
    </x:row>
    <x:row r="32" ht="16.5" hidden="0" customHeight="1">
      <x:c r="B32" s="25" t="str">
        <x:f aca="0">IFERROR(Calculations!M5,"")</x:f>
      </x:c>
      <x:c r="C32" s="17" t="str">
        <x:f aca="0">IFERROR(Calculations!N5,"")</x:f>
      </x:c>
      <x:c r="D32" s="26" t="str">
        <x:f aca="0">IFERROR(Calculations!O5,"")</x:f>
      </x:c>
      <x:c r="E32" s="18" t="str">
        <x:f aca="0">IFERROR(Calculations!P5,"")</x:f>
      </x:c>
      <x:c r="F32" s="26" t="str">
        <x:f aca="0">IFERROR(Calculations!T5,"")</x:f>
        <x:v>Mar</x:v>
      </x:c>
      <x:c r="G32" s="18" t="n">
        <x:f aca="0">IFERROR(Calculations!U5,"")</x:f>
        <x:v>0</x:v>
      </x:c>
      <x:c r="H32" s="27" t="n">
        <x:f aca="0">IFERROR(Calculations!V5,"")</x:f>
        <x:v>0</x:v>
      </x:c>
      <x:c r="I32" s="18" t="n">
        <x:f aca="0">IFERROR(Calculations!W5,"")</x:f>
        <x:v>0</x:v>
      </x:c>
      <x:c r="J32" s="18" t="n">
        <x:f aca="0">IFERROR(Calculations!X5,"")</x:f>
        <x:v>0</x:v>
      </x:c>
      <x:c r="K32" s="19" t="n">
        <x:f aca="0">IFERROR(Calculations!Y5,"")</x:f>
        <x:v>0.8075</x:v>
      </x:c>
    </x:row>
    <x:row r="33" ht="16.5" hidden="0" customHeight="1">
      <x:c r="B33" s="28" t="str">
        <x:f aca="0">IFERROR(Calculations!M6,"")</x:f>
      </x:c>
      <x:c r="C33" s="20" t="str">
        <x:f aca="0">IFERROR(Calculations!N6,"")</x:f>
      </x:c>
      <x:c r="D33" s="29" t="str">
        <x:f aca="0">IFERROR(Calculations!O6,"")</x:f>
      </x:c>
      <x:c r="E33" s="21" t="str">
        <x:f aca="0">IFERROR(Calculations!P6,"")</x:f>
      </x:c>
      <x:c r="F33" s="29" t="str">
        <x:f aca="0">IFERROR(Calculations!T6,"")</x:f>
        <x:v>Apr</x:v>
      </x:c>
      <x:c r="G33" s="21" t="n">
        <x:f aca="0">IFERROR(Calculations!U6,"")</x:f>
        <x:v>0</x:v>
      </x:c>
      <x:c r="H33" s="30" t="n">
        <x:f aca="0">IFERROR(Calculations!V6,"")</x:f>
        <x:v>0</x:v>
      </x:c>
      <x:c r="I33" s="21" t="n">
        <x:f aca="0">IFERROR(Calculations!W6,"")</x:f>
        <x:v>0</x:v>
      </x:c>
      <x:c r="J33" s="21" t="n">
        <x:f aca="0">IFERROR(Calculations!X6,"")</x:f>
        <x:v>0</x:v>
      </x:c>
      <x:c r="K33" s="22" t="n">
        <x:f aca="0">IFERROR(Calculations!Y6,"")</x:f>
        <x:v>0.8075</x:v>
      </x:c>
    </x:row>
    <x:row r="34" ht="16.5" hidden="0" customHeight="1">
      <x:c r="B34" s="25" t="str">
        <x:f aca="0">IFERROR(Calculations!M7,"")</x:f>
      </x:c>
      <x:c r="C34" s="17" t="str">
        <x:f aca="0">IFERROR(Calculations!N7,"")</x:f>
      </x:c>
      <x:c r="D34" s="26" t="str">
        <x:f aca="0">IFERROR(Calculations!O7,"")</x:f>
      </x:c>
      <x:c r="E34" s="18" t="str">
        <x:f aca="0">IFERROR(Calculations!P7,"")</x:f>
      </x:c>
      <x:c r="F34" s="26" t="str">
        <x:f aca="0">IFERROR(Calculations!T7,"")</x:f>
        <x:v>May</x:v>
      </x:c>
      <x:c r="G34" s="18" t="n">
        <x:f aca="0">IFERROR(Calculations!U7,"")</x:f>
        <x:v>0</x:v>
      </x:c>
      <x:c r="H34" s="27" t="n">
        <x:f aca="0">IFERROR(Calculations!V7,"")</x:f>
        <x:v>0</x:v>
      </x:c>
      <x:c r="I34" s="18" t="n">
        <x:f aca="0">IFERROR(Calculations!W7,"")</x:f>
        <x:v>0</x:v>
      </x:c>
      <x:c r="J34" s="18" t="n">
        <x:f aca="0">IFERROR(Calculations!X7,"")</x:f>
        <x:v>0</x:v>
      </x:c>
      <x:c r="K34" s="19" t="n">
        <x:f aca="0">IFERROR(Calculations!Y7,"")</x:f>
        <x:v>0.8075</x:v>
      </x:c>
    </x:row>
    <x:row r="35" ht="16.5" hidden="0" customHeight="1">
      <x:c r="B35" s="28" t="str">
        <x:f aca="0">IFERROR(Calculations!M8,"")</x:f>
      </x:c>
      <x:c r="C35" s="20" t="str">
        <x:f aca="0">IFERROR(Calculations!N8,"")</x:f>
      </x:c>
      <x:c r="D35" s="29" t="str">
        <x:f aca="0">IFERROR(Calculations!O8,"")</x:f>
      </x:c>
      <x:c r="E35" s="21" t="str">
        <x:f aca="0">IFERROR(Calculations!P8,"")</x:f>
      </x:c>
      <x:c r="F35" s="29" t="str">
        <x:f aca="0">IFERROR(Calculations!T8,"")</x:f>
        <x:v>Jun</x:v>
      </x:c>
      <x:c r="G35" s="21" t="n">
        <x:f aca="0">IFERROR(Calculations!U8,"")</x:f>
        <x:v>0</x:v>
      </x:c>
      <x:c r="H35" s="30" t="n">
        <x:f aca="0">IFERROR(Calculations!V8,"")</x:f>
        <x:v>0</x:v>
      </x:c>
      <x:c r="I35" s="21" t="n">
        <x:f aca="0">IFERROR(Calculations!W8,"")</x:f>
        <x:v>0</x:v>
      </x:c>
      <x:c r="J35" s="21" t="n">
        <x:f aca="0">IFERROR(Calculations!X8,"")</x:f>
        <x:v>0</x:v>
      </x:c>
      <x:c r="K35" s="22" t="n">
        <x:f aca="0">IFERROR(Calculations!Y8,"")</x:f>
        <x:v>0.8075</x:v>
      </x:c>
    </x:row>
    <x:row r="36" ht="16.5" hidden="0" customHeight="1">
      <x:c r="B36" s="25" t="str">
        <x:f aca="0">IFERROR(Calculations!M9,"")</x:f>
      </x:c>
      <x:c r="C36" s="17" t="str">
        <x:f aca="0">IFERROR(Calculations!N9,"")</x:f>
      </x:c>
      <x:c r="D36" s="26" t="str">
        <x:f aca="0">IFERROR(Calculations!O9,"")</x:f>
      </x:c>
      <x:c r="E36" s="18" t="str">
        <x:f aca="0">IFERROR(Calculations!P9,"")</x:f>
      </x:c>
      <x:c r="F36" s="26" t="str">
        <x:f aca="0">IFERROR(Calculations!T9,"")</x:f>
        <x:v>Jul</x:v>
      </x:c>
      <x:c r="G36" s="18" t="n">
        <x:f aca="0">IFERROR(Calculations!U9,"")</x:f>
        <x:v>0</x:v>
      </x:c>
      <x:c r="H36" s="27" t="n">
        <x:f aca="0">IFERROR(Calculations!V9,"")</x:f>
        <x:v>0</x:v>
      </x:c>
      <x:c r="I36" s="18" t="n">
        <x:f aca="0">IFERROR(Calculations!W9,"")</x:f>
        <x:v>0</x:v>
      </x:c>
      <x:c r="J36" s="18" t="n">
        <x:f aca="0">IFERROR(Calculations!X9,"")</x:f>
        <x:v>0</x:v>
      </x:c>
      <x:c r="K36" s="19" t="n">
        <x:f aca="0">IFERROR(Calculations!Y9,"")</x:f>
        <x:v>0.8075</x:v>
      </x:c>
    </x:row>
    <x:row r="37" ht="16.5" hidden="0" customHeight="1">
      <x:c r="B37" s="28" t="str">
        <x:f aca="0">IFERROR(Calculations!M10,"")</x:f>
      </x:c>
      <x:c r="C37" s="20" t="str">
        <x:f aca="0">IFERROR(Calculations!N10,"")</x:f>
      </x:c>
      <x:c r="D37" s="29" t="str">
        <x:f aca="0">IFERROR(Calculations!O10,"")</x:f>
      </x:c>
      <x:c r="E37" s="21" t="str">
        <x:f aca="0">IFERROR(Calculations!P10,"")</x:f>
      </x:c>
      <x:c r="F37" s="29" t="str">
        <x:f aca="0">IFERROR(Calculations!T10,"")</x:f>
        <x:v>Aug</x:v>
      </x:c>
      <x:c r="G37" s="21" t="n">
        <x:f aca="0">IFERROR(Calculations!U10,"")</x:f>
        <x:v>0</x:v>
      </x:c>
      <x:c r="H37" s="30" t="n">
        <x:f aca="0">IFERROR(Calculations!V10,"")</x:f>
        <x:v>0</x:v>
      </x:c>
      <x:c r="I37" s="21" t="n">
        <x:f aca="0">IFERROR(Calculations!W10,"")</x:f>
        <x:v>0</x:v>
      </x:c>
      <x:c r="J37" s="21" t="n">
        <x:f aca="0">IFERROR(Calculations!X10,"")</x:f>
        <x:v>0</x:v>
      </x:c>
      <x:c r="K37" s="22" t="n">
        <x:f aca="0">IFERROR(Calculations!Y10,"")</x:f>
        <x:v>0.8075</x:v>
      </x:c>
    </x:row>
    <x:row r="38" ht="16.5" hidden="0" customHeight="1">
      <x:c r="B38" s="25" t="str">
        <x:f aca="0">IFERROR(Calculations!M11,"")</x:f>
      </x:c>
      <x:c r="C38" s="17" t="str">
        <x:f aca="0">IFERROR(Calculations!N11,"")</x:f>
      </x:c>
      <x:c r="D38" s="26" t="str">
        <x:f aca="0">IFERROR(Calculations!O11,"")</x:f>
      </x:c>
      <x:c r="E38" s="18" t="str">
        <x:f aca="0">IFERROR(Calculations!P11,"")</x:f>
      </x:c>
      <x:c r="F38" s="26" t="str">
        <x:f aca="0">IFERROR(Calculations!T11,"")</x:f>
        <x:v>Sep</x:v>
      </x:c>
      <x:c r="G38" s="18" t="n">
        <x:f aca="0">IFERROR(Calculations!U11,"")</x:f>
        <x:v>0</x:v>
      </x:c>
      <x:c r="H38" s="27" t="n">
        <x:f aca="0">IFERROR(Calculations!V11,"")</x:f>
        <x:v>0</x:v>
      </x:c>
      <x:c r="I38" s="18" t="n">
        <x:f aca="0">IFERROR(Calculations!W11,"")</x:f>
        <x:v>0</x:v>
      </x:c>
      <x:c r="J38" s="18" t="n">
        <x:f aca="0">IFERROR(Calculations!X11,"")</x:f>
        <x:v>0</x:v>
      </x:c>
      <x:c r="K38" s="19" t="n">
        <x:f aca="0">IFERROR(Calculations!Y11,"")</x:f>
        <x:v>0.8075</x:v>
      </x:c>
    </x:row>
    <x:row r="39" ht="16.5" hidden="0" customHeight="1">
      <x:c r="B39" s="28" t="str">
        <x:f aca="0">IFERROR(Calculations!M12,"")</x:f>
      </x:c>
      <x:c r="C39" s="20" t="str">
        <x:f aca="0">IFERROR(Calculations!N12,"")</x:f>
      </x:c>
      <x:c r="D39" s="29" t="str">
        <x:f aca="0">IFERROR(Calculations!O12,"")</x:f>
      </x:c>
      <x:c r="E39" s="21" t="str">
        <x:f aca="0">IFERROR(Calculations!P12,"")</x:f>
      </x:c>
      <x:c r="F39" s="29" t="str">
        <x:f aca="0">IFERROR(Calculations!T12,"")</x:f>
        <x:v>Oct</x:v>
      </x:c>
      <x:c r="G39" s="21" t="n">
        <x:f aca="0">IFERROR(Calculations!U12,"")</x:f>
        <x:v>0</x:v>
      </x:c>
      <x:c r="H39" s="30" t="n">
        <x:f aca="0">IFERROR(Calculations!V12,"")</x:f>
        <x:v>0</x:v>
      </x:c>
      <x:c r="I39" s="21" t="n">
        <x:f aca="0">IFERROR(Calculations!W12,"")</x:f>
        <x:v>0</x:v>
      </x:c>
      <x:c r="J39" s="21" t="n">
        <x:f aca="0">IFERROR(Calculations!X12,"")</x:f>
        <x:v>0</x:v>
      </x:c>
      <x:c r="K39" s="22" t="n">
        <x:f aca="0">IFERROR(Calculations!Y12,"")</x:f>
        <x:v>0.8075</x:v>
      </x:c>
    </x:row>
    <x:row r="40" ht="18" hidden="0" customHeight="1">
      <x:c r="F40" s="26" t="str">
        <x:f aca="0">IFERROR(Calculations!T13,"")</x:f>
        <x:v>Nov</x:v>
      </x:c>
      <x:c r="G40" s="18" t="n">
        <x:f aca="0">IFERROR(Calculations!U13,"")</x:f>
        <x:v>0</x:v>
      </x:c>
      <x:c r="H40" s="27" t="n">
        <x:f aca="0">IFERROR(Calculations!V13,"")</x:f>
        <x:v>0</x:v>
      </x:c>
      <x:c r="I40" s="18" t="n">
        <x:f aca="0">IFERROR(Calculations!W13,"")</x:f>
        <x:v>0</x:v>
      </x:c>
      <x:c r="J40" s="18" t="n">
        <x:f aca="0">IFERROR(Calculations!X13,"")</x:f>
        <x:v>0</x:v>
      </x:c>
      <x:c r="K40" s="19" t="n">
        <x:f aca="0">IFERROR(Calculations!Y13,"")</x:f>
        <x:v>0.8075</x:v>
      </x:c>
    </x:row>
    <x:row r="41" ht="18" hidden="0" customHeight="1">
      <x:c r="F41" s="29" t="str">
        <x:f aca="0">IFERROR(Calculations!T14,"")</x:f>
        <x:v>Dec</x:v>
      </x:c>
      <x:c r="G41" s="21" t="n">
        <x:f aca="0">IFERROR(Calculations!U14,"")</x:f>
        <x:v>0</x:v>
      </x:c>
      <x:c r="H41" s="30" t="n">
        <x:f aca="0">IFERROR(Calculations!V14,"")</x:f>
        <x:v>0</x:v>
      </x:c>
      <x:c r="I41" s="21" t="n">
        <x:f aca="0">IFERROR(Calculations!W14,"")</x:f>
        <x:v>0</x:v>
      </x:c>
      <x:c r="J41" s="21" t="n">
        <x:f aca="0">IFERROR(Calculations!X14,"")</x:f>
        <x:v>0</x:v>
      </x:c>
      <x:c r="K41" s="22" t="n">
        <x:f aca="0">IFERROR(Calculations!Y14,"")</x:f>
        <x:v>0.8075</x:v>
      </x:c>
    </x:row>
    <x:row r="42" ht="18" hidden="0" customHeight="1"/>
    <x:row r="43" ht="18" hidden="0" customHeight="1"/>
    <x:row r="44" ht="18" hidden="0" customHeight="1"/>
    <x:row r="45" ht="18" hidden="0" customHeight="1"/>
    <x:row r="46" ht="18" hidden="0" customHeight="1"/>
    <x:row r="47" ht="18" hidden="0" customHeight="1"/>
    <x:row r="48" ht="18" hidden="0" customHeight="1"/>
    <x:row r="49" ht="18" hidden="0" customHeight="1"/>
    <x:row r="50" ht="18" hidden="0" customHeight="1"/>
    <x:row r="51" ht="18" hidden="0" customHeight="1"/>
    <x:row r="52" ht="18" hidden="0" customHeight="1"/>
    <x:row r="53" ht="18" hidden="0" customHeight="1"/>
    <x:row r="54" ht="18" hidden="0" customHeight="1"/>
    <x:row r="55" ht="18" hidden="0" customHeight="1"/>
    <x:row r="56" ht="18" hidden="0" customHeight="1"/>
    <x:row r="57" ht="18" hidden="0" customHeight="1"/>
    <x:row r="58" ht="18" hidden="0" customHeight="1"/>
    <x:row r="59" ht="18" hidden="0" customHeight="1"/>
    <x:row r="60" ht="18" hidden="0" customHeight="1"/>
    <x:row r="61" ht="18" hidden="0" customHeight="1"/>
    <x:row r="62" ht="18" hidden="0" customHeight="1"/>
    <x:row r="63" ht="18" hidden="0" customHeight="1"/>
    <x:row r="64" ht="18" hidden="0" customHeight="1"/>
    <x:row r="65" ht="18" hidden="0" customHeight="1"/>
    <x:row r="66" ht="18" hidden="0" customHeight="1"/>
    <x:row r="67" ht="18" hidden="0" customHeight="1"/>
    <x:row r="68" ht="18" hidden="0" customHeight="1"/>
    <x:row r="69" ht="18" hidden="0" customHeight="1"/>
    <x:row r="70" ht="18" hidden="0" customHeight="1"/>
    <x:row r="71" ht="18" hidden="0" customHeight="1"/>
    <x:row r="72" ht="18" hidden="0" customHeight="1"/>
    <x:row r="73" ht="18" hidden="0" customHeight="1"/>
    <x:row r="74" ht="18" hidden="0" customHeight="1"/>
    <x:row r="75" ht="18" hidden="0" customHeight="1"/>
    <x:row r="76" ht="18" hidden="0" customHeight="1"/>
    <x:row r="77" ht="18" hidden="0" customHeight="1"/>
    <x:row r="78" ht="18" hidden="0" customHeight="1"/>
    <x:row r="79" ht="18" hidden="0" customHeight="1"/>
    <x:row r="80" ht="18" hidden="0" customHeight="1"/>
    <x:row r="81" ht="18" hidden="0" customHeight="1"/>
    <x:row r="82" ht="18" hidden="0" customHeight="1"/>
    <x:row r="83" ht="18" hidden="0" customHeight="1"/>
    <x:row r="84" ht="18" hidden="0" customHeight="1"/>
    <x:row r="85" ht="18" hidden="0" customHeight="1"/>
    <x:row r="86" ht="18" hidden="0" customHeight="1"/>
    <x:row r="87" ht="18" hidden="0" customHeight="1"/>
    <x:row r="88" ht="18" hidden="0" customHeight="1"/>
    <x:row r="89" ht="18" hidden="0" customHeight="1"/>
  </x:sheetData>
  <x:mergeCells>
    <x:mergeCell ref="B2:K2"/>
    <x:mergeCell ref="B11:D11"/>
    <x:mergeCell ref="F11:H11"/>
    <x:mergeCell ref="B28:D28"/>
    <x:mergeCell ref="F28:K28"/>
  </x:mergeCells>
  <x:pageMargins left="0.7" right="0.7" top="0.75" bottom="0.75" header="0.3" footer="0.3"/>
</x:worksheet>
</file>

<file path=xl/worksheets/sheet3.xml><?xml version="1.0" encoding="utf-8"?>
<x:worksheet xmlns:x="http://schemas.openxmlformats.org/spreadsheetml/2006/main">
  <x:sheetPr>
    <x:tabColor rgb="FF1F618D"/>
  </x:sheetPr>
  <x:sheetViews>
    <x:sheetView showGridLines="0" workbookViewId="0"/>
  </x:sheetViews>
  <x:sheetFormatPr defaultColWidth="8.6796875" defaultRowHeight="15"/>
  <x:cols>
    <x:col min="1" max="1" width="1" style="1" hidden="0" customWidth="1"/>
    <x:col min="2" max="2" width="13" style="1" hidden="0" customWidth="1"/>
    <x:col min="3" max="4" width="22" style="1" hidden="0" customWidth="1"/>
    <x:col min="5" max="6" width="10" style="1" hidden="0" customWidth="1"/>
    <x:col min="7" max="7" width="12" style="1" hidden="0" customWidth="1"/>
    <x:col min="8" max="8" width="16" style="1" hidden="0" customWidth="1"/>
    <x:col min="9" max="9" width="22" style="1" hidden="0" customWidth="1"/>
    <x:col min="10" max="11" width="18" style="1" hidden="0" customWidth="1"/>
    <x:col min="12" max="12" width="20" style="1" hidden="0" customWidth="1"/>
    <x:col min="13" max="13" width="16" style="1" hidden="0" customWidth="1"/>
    <x:col min="14" max="14" width="16" hidden="0" customWidth="1"/>
    <x:col min="15" max="15" width="16" hidden="0" customWidth="1"/>
    <x:col min="16" max="16" width="14" hidden="0" customWidth="1"/>
    <x:col min="17" max="17" width="34" hidden="0" customWidth="1"/>
    <x:col min="18" max="18" width="16" hidden="0" customWidth="1"/>
    <x:col min="19" max="19" width="13" hidden="0" customWidth="1"/>
    <x:col min="20" max="20" width="14" hidden="0" customWidth="1"/>
    <x:col min="21" max="21" width="24" hidden="0" customWidth="1"/>
    <x:col min="22" max="22" width="30" hidden="0" customWidth="1"/>
  </x:cols>
  <x:sheetData>
    <x:row r="1" ht="7.5" hidden="0" customHeight="1">
      <x:c r="M1" s="136" t="str">
        <x:v>Hourly Loss Rate</x:v>
      </x:c>
      <x:c r="N1" s="136" t="str">
        <x:v>Downtime Cost</x:v>
      </x:c>
      <x:c r="O1" s="136" t="str">
        <x:v>Repeat Failure?</x:v>
      </x:c>
      <x:c r="P1" s="136" t="str">
        <x:v>RCA Required?</x:v>
      </x:c>
      <x:c r="Q1" s="136" t="str">
        <x:v>RCA Reason</x:v>
      </x:c>
      <x:c r="R1" s="136" t="str">
        <x:v>Action Owner</x:v>
      </x:c>
      <x:c r="S1" s="136" t="str">
        <x:v>Action Due</x:v>
      </x:c>
      <x:c r="T1" s="136" t="str">
        <x:v>Action Status</x:v>
      </x:c>
      <x:c r="U1" s="136" t="str">
        <x:v>Closure Evidence</x:v>
      </x:c>
      <x:c r="V1" s="136" t="str">
        <x:v>Management Notes</x:v>
      </x:c>
    </x:row>
    <x:row r="2" ht="36" hidden="0" customHeight="1">
      <x:c r="A2" s="2"/>
      <x:c r="B2" s="31" t="s">
        <x:v>46</x:v>
      </x:c>
      <x:c r="C2" s="31"/>
      <x:c r="D2" s="31"/>
      <x:c r="E2" s="31"/>
      <x:c r="F2" s="31"/>
      <x:c r="G2" s="31"/>
      <x:c r="H2" s="31"/>
      <x:c r="I2" s="31"/>
      <x:c r="J2" s="31"/>
      <x:c r="K2" s="31"/>
      <x:c r="L2" s="31"/>
      <x:c r="M2" s="138"/>
      <x:c r="N2" s="139" t="str">
        <x:f>IF(OR(H2="",M2=""),"",H2*M2)</x:f>
      </x:c>
      <x:c r="O2" t="e">
        <x:f>IF(COUNTIFS($B:$B,B2,$A:$A,"&gt;="&amp;A2-90,$A:$A,"&lt;="&amp;A2)&gt;=2,"Yes","No")</x:f>
      </x:c>
      <x:c r="P2" t="e">
        <x:f>IF(OR(H2&gt;=4,N2&gt;=50000,O2="Yes"),"Yes","No")</x:f>
      </x:c>
      <x:c r="Q2" t="e">
        <x:f>IF(P2="Yes",TEXTJOIN(", ",TRUE,IF(H2&gt;=4,"Downtime &gt;=4h",""),IF(N2&gt;=50000,"Cost &gt;=R50k",""),IF(O2="Yes","Repeat failure","")),"")</x:f>
      </x:c>
      <x:c r="S2" s="142"/>
    </x:row>
    <x:row r="3" ht="19.5" hidden="0" customHeight="1">
      <x:c r="B3" s="32" t="s">
        <x:v>47</x:v>
      </x:c>
      <x:c r="C3" s="32"/>
      <x:c r="D3" s="32"/>
      <x:c r="E3" s="32"/>
      <x:c r="F3" s="32"/>
      <x:c r="G3" s="32"/>
      <x:c r="H3" s="32"/>
      <x:c r="I3" s="32"/>
      <x:c r="J3" s="32"/>
      <x:c r="K3" s="32"/>
      <x:c r="L3" s="32"/>
      <x:c r="M3" s="139"/>
      <x:c r="N3" s="139" t="str">
        <x:f>IF(OR(H3="",M3=""),"",H3*M3)</x:f>
      </x:c>
      <x:c r="O3" t="e">
        <x:f>IF(COUNTIFS($B:$B,B3,$A:$A,"&gt;="&amp;A3-90,$A:$A,"&lt;="&amp;A3)&gt;=2,"Yes","No")</x:f>
      </x:c>
      <x:c r="P3" t="e">
        <x:f>IF(OR(H3&gt;=4,N3&gt;=50000,O3="Yes"),"Yes","No")</x:f>
      </x:c>
      <x:c r="Q3" t="e">
        <x:f>IF(P3="Yes",TEXTJOIN(", ",TRUE,IF(H3&gt;=4,"Downtime &gt;=4h",""),IF(N3&gt;=50000,"Cost &gt;=R51k",""),IF(O3="Yes","Repeat failure","")),"")</x:f>
      </x:c>
      <x:c r="S3" s="142"/>
    </x:row>
    <x:row r="4" ht="27.75" hidden="0" customHeight="1">
      <x:c r="B4" s="33" t="s">
        <x:v>42</x:v>
      </x:c>
      <x:c r="C4" s="33" t="s">
        <x:v>48</x:v>
      </x:c>
      <x:c r="D4" s="33" t="s">
        <x:v>49</x:v>
      </x:c>
      <x:c r="E4" s="33" t="s">
        <x:v>50</x:v>
      </x:c>
      <x:c r="F4" s="33" t="s">
        <x:v>51</x:v>
      </x:c>
      <x:c r="G4" s="33" t="s">
        <x:v>52</x:v>
      </x:c>
      <x:c r="H4" s="33" t="s">
        <x:v>53</x:v>
      </x:c>
      <x:c r="I4" s="33" t="s">
        <x:v>39</x:v>
      </x:c>
      <x:c r="J4" s="33" t="s">
        <x:v>54</x:v>
      </x:c>
      <x:c r="K4" s="33" t="s">
        <x:v>55</x:v>
      </x:c>
      <x:c r="L4" s="33" t="s">
        <x:v>56</x:v>
      </x:c>
      <x:c r="M4" s="139"/>
      <x:c r="N4" s="139" t="str">
        <x:f>IF(OR(H4="",M4=""),"",H4*M4)</x:f>
      </x:c>
      <x:c r="O4" t="e">
        <x:f>IF(COUNTIFS($B:$B,B4,$A:$A,"&gt;="&amp;A4-90,$A:$A,"&lt;="&amp;A4)&gt;=2,"Yes","No")</x:f>
      </x:c>
      <x:c r="P4" t="e">
        <x:f>IF(OR(H4&gt;=4,N4&gt;=50000,O4="Yes"),"Yes","No")</x:f>
      </x:c>
      <x:c r="Q4" t="e">
        <x:f>IF(P4="Yes",TEXTJOIN(", ",TRUE,IF(H4&gt;=4,"Downtime &gt;=4h",""),IF(N4&gt;=50000,"Cost &gt;=R52k",""),IF(O4="Yes","Repeat failure","")),"")</x:f>
      </x:c>
      <x:c r="S4" s="142"/>
    </x:row>
    <x:row r="5" ht="18" hidden="0" customHeight="1">
      <x:c r="B5" s="34"/>
      <x:c r="C5" s="35"/>
      <x:c r="D5" s="35"/>
      <x:c r="E5" s="36"/>
      <x:c r="F5" s="37"/>
      <x:c r="G5" s="37"/>
      <x:c r="H5" s="38" t="str">
        <x:f aca="0">IFERROR(IF(AND(F5&lt;&gt;"",G5&lt;&gt;""),IF(G5&gt;F5,(G5-F5)*24,(1-(F5-G5))*24),""),"—")</x:f>
      </x:c>
      <x:c r="I5" s="36"/>
      <x:c r="J5" s="35"/>
      <x:c r="K5" s="35"/>
      <x:c r="L5" s="36"/>
      <x:c r="M5" s="139"/>
      <x:c r="N5" s="139" t="str">
        <x:f>IF(OR(H5="",M5=""),"",H5*M5)</x:f>
      </x:c>
      <x:c r="O5" t="e">
        <x:f>IF(COUNTIFS($B:$B,B5,$A:$A,"&gt;="&amp;A5-90,$A:$A,"&lt;="&amp;A5)&gt;=2,"Yes","No")</x:f>
      </x:c>
      <x:c r="P5" t="e">
        <x:f>IF(OR(H5&gt;=4,N5&gt;=50000,O5="Yes"),"Yes","No")</x:f>
      </x:c>
      <x:c r="Q5" t="e">
        <x:f>IF(P5="Yes",TEXTJOIN(", ",TRUE,IF(H5&gt;=4,"Downtime &gt;=4h",""),IF(N5&gt;=50000,"Cost &gt;=R53k",""),IF(O5="Yes","Repeat failure","")),"")</x:f>
      </x:c>
      <x:c r="S5" s="142"/>
    </x:row>
    <x:row r="6" ht="18" hidden="0" customHeight="1">
      <x:c r="B6" s="34"/>
      <x:c r="C6" s="35"/>
      <x:c r="D6" s="35"/>
      <x:c r="E6" s="36"/>
      <x:c r="F6" s="37"/>
      <x:c r="G6" s="37"/>
      <x:c r="H6" s="38" t="str">
        <x:f aca="0">IFERROR(IF(AND(F6&lt;&gt;"",G6&lt;&gt;""),IF(G6&gt;F6,(G6-F6)*24,(1-(F6-G6))*24),""),"—")</x:f>
      </x:c>
      <x:c r="I6" s="36"/>
      <x:c r="J6" s="35"/>
      <x:c r="K6" s="35"/>
      <x:c r="L6" s="36"/>
      <x:c r="M6" s="139"/>
      <x:c r="N6" s="139" t="str">
        <x:f>IF(OR(H6="",M6=""),"",H6*M6)</x:f>
      </x:c>
      <x:c r="O6" t="e">
        <x:f>IF(COUNTIFS($B:$B,B6,$A:$A,"&gt;="&amp;A6-90,$A:$A,"&lt;="&amp;A6)&gt;=2,"Yes","No")</x:f>
      </x:c>
      <x:c r="P6" t="e">
        <x:f>IF(OR(H6&gt;=4,N6&gt;=50000,O6="Yes"),"Yes","No")</x:f>
      </x:c>
      <x:c r="Q6" t="e">
        <x:f>IF(P6="Yes",TEXTJOIN(", ",TRUE,IF(H6&gt;=4,"Downtime &gt;=4h",""),IF(N6&gt;=50000,"Cost &gt;=R54k",""),IF(O6="Yes","Repeat failure","")),"")</x:f>
      </x:c>
      <x:c r="S6" s="142"/>
    </x:row>
    <x:row r="7" ht="18" hidden="0" customHeight="1">
      <x:c r="B7" s="34"/>
      <x:c r="C7" s="35"/>
      <x:c r="D7" s="35"/>
      <x:c r="E7" s="36"/>
      <x:c r="F7" s="37"/>
      <x:c r="G7" s="37"/>
      <x:c r="H7" s="38" t="str">
        <x:f aca="0">IFERROR(IF(AND(F7&lt;&gt;"",G7&lt;&gt;""),IF(G7&gt;F7,(G7-F7)*24,(1-(F7-G7))*24),""),"—")</x:f>
      </x:c>
      <x:c r="I7" s="36"/>
      <x:c r="J7" s="35"/>
      <x:c r="K7" s="35"/>
      <x:c r="L7" s="36"/>
      <x:c r="M7" s="139"/>
      <x:c r="N7" s="139" t="str">
        <x:f>IF(OR(H7="",M7=""),"",H7*M7)</x:f>
      </x:c>
      <x:c r="O7" t="e">
        <x:f>IF(COUNTIFS($B:$B,B7,$A:$A,"&gt;="&amp;A7-90,$A:$A,"&lt;="&amp;A7)&gt;=2,"Yes","No")</x:f>
      </x:c>
      <x:c r="P7" t="e">
        <x:f>IF(OR(H7&gt;=4,N7&gt;=50000,O7="Yes"),"Yes","No")</x:f>
      </x:c>
      <x:c r="Q7" t="e">
        <x:f>IF(P7="Yes",TEXTJOIN(", ",TRUE,IF(H7&gt;=4,"Downtime &gt;=4h",""),IF(N7&gt;=50000,"Cost &gt;=R55k",""),IF(O7="Yes","Repeat failure","")),"")</x:f>
      </x:c>
      <x:c r="S7" s="142"/>
    </x:row>
    <x:row r="8" ht="18" hidden="0" customHeight="1">
      <x:c r="B8" s="34"/>
      <x:c r="C8" s="35"/>
      <x:c r="D8" s="35"/>
      <x:c r="E8" s="36"/>
      <x:c r="F8" s="37"/>
      <x:c r="G8" s="37"/>
      <x:c r="H8" s="38" t="str">
        <x:f aca="0">IFERROR(IF(AND(F8&lt;&gt;"",G8&lt;&gt;""),IF(G8&gt;F8,(G8-F8)*24,(1-(F8-G8))*24),""),"—")</x:f>
      </x:c>
      <x:c r="I8" s="36"/>
      <x:c r="J8" s="35"/>
      <x:c r="K8" s="35"/>
      <x:c r="L8" s="36"/>
      <x:c r="M8" s="139"/>
      <x:c r="N8" s="139" t="str">
        <x:f>IF(OR(H8="",M8=""),"",H8*M8)</x:f>
      </x:c>
      <x:c r="O8" t="e">
        <x:f>IF(COUNTIFS($B:$B,B8,$A:$A,"&gt;="&amp;A8-90,$A:$A,"&lt;="&amp;A8)&gt;=2,"Yes","No")</x:f>
      </x:c>
      <x:c r="P8" t="e">
        <x:f>IF(OR(H8&gt;=4,N8&gt;=50000,O8="Yes"),"Yes","No")</x:f>
      </x:c>
      <x:c r="Q8" t="e">
        <x:f>IF(P8="Yes",TEXTJOIN(", ",TRUE,IF(H8&gt;=4,"Downtime &gt;=4h",""),IF(N8&gt;=50000,"Cost &gt;=R56k",""),IF(O8="Yes","Repeat failure","")),"")</x:f>
      </x:c>
      <x:c r="S8" s="142"/>
    </x:row>
    <x:row r="9" ht="18" hidden="0" customHeight="1">
      <x:c r="B9" s="34"/>
      <x:c r="C9" s="35"/>
      <x:c r="D9" s="35"/>
      <x:c r="E9" s="36"/>
      <x:c r="F9" s="37"/>
      <x:c r="G9" s="37"/>
      <x:c r="H9" s="38" t="str">
        <x:f aca="0">IFERROR(IF(AND(F9&lt;&gt;"",G9&lt;&gt;""),IF(G9&gt;F9,(G9-F9)*24,(1-(F9-G9))*24),""),"—")</x:f>
      </x:c>
      <x:c r="I9" s="36"/>
      <x:c r="J9" s="35"/>
      <x:c r="K9" s="35"/>
      <x:c r="L9" s="36"/>
      <x:c r="M9" s="139"/>
      <x:c r="N9" s="139" t="str">
        <x:f>IF(OR(H9="",M9=""),"",H9*M9)</x:f>
      </x:c>
      <x:c r="O9" t="e">
        <x:f>IF(COUNTIFS($B:$B,B9,$A:$A,"&gt;="&amp;A9-90,$A:$A,"&lt;="&amp;A9)&gt;=2,"Yes","No")</x:f>
      </x:c>
      <x:c r="P9" t="e">
        <x:f>IF(OR(H9&gt;=4,N9&gt;=50000,O9="Yes"),"Yes","No")</x:f>
      </x:c>
      <x:c r="Q9" t="e">
        <x:f>IF(P9="Yes",TEXTJOIN(", ",TRUE,IF(H9&gt;=4,"Downtime &gt;=4h",""),IF(N9&gt;=50000,"Cost &gt;=R57k",""),IF(O9="Yes","Repeat failure","")),"")</x:f>
      </x:c>
      <x:c r="S9" s="142"/>
    </x:row>
    <x:row r="10" ht="18" hidden="0" customHeight="1">
      <x:c r="B10" s="34"/>
      <x:c r="C10" s="35"/>
      <x:c r="D10" s="35"/>
      <x:c r="E10" s="36"/>
      <x:c r="F10" s="37"/>
      <x:c r="G10" s="37"/>
      <x:c r="H10" s="38" t="str">
        <x:f aca="0">IFERROR(IF(AND(F10&lt;&gt;"",G10&lt;&gt;""),IF(G10&gt;F10,(G10-F10)*24,(1-(F10-G10))*24),""),"—")</x:f>
      </x:c>
      <x:c r="I10" s="36"/>
      <x:c r="J10" s="35"/>
      <x:c r="K10" s="35"/>
      <x:c r="L10" s="36"/>
      <x:c r="M10" s="139"/>
      <x:c r="N10" s="139" t="str">
        <x:f>IF(OR(H10="",M10=""),"",H10*M10)</x:f>
      </x:c>
      <x:c r="O10" t="e">
        <x:f>IF(COUNTIFS($B:$B,B10,$A:$A,"&gt;="&amp;A10-90,$A:$A,"&lt;="&amp;A10)&gt;=2,"Yes","No")</x:f>
      </x:c>
      <x:c r="P10" t="e">
        <x:f>IF(OR(H10&gt;=4,N10&gt;=50000,O10="Yes"),"Yes","No")</x:f>
      </x:c>
      <x:c r="Q10" t="e">
        <x:f>IF(P10="Yes",TEXTJOIN(", ",TRUE,IF(H10&gt;=4,"Downtime &gt;=4h",""),IF(N10&gt;=50000,"Cost &gt;=R58k",""),IF(O10="Yes","Repeat failure","")),"")</x:f>
      </x:c>
      <x:c r="S10" s="142"/>
    </x:row>
    <x:row r="11" ht="18" hidden="0" customHeight="1">
      <x:c r="B11" s="34"/>
      <x:c r="C11" s="35"/>
      <x:c r="D11" s="35"/>
      <x:c r="E11" s="36"/>
      <x:c r="F11" s="37"/>
      <x:c r="G11" s="37"/>
      <x:c r="H11" s="38" t="str">
        <x:f aca="0">IFERROR(IF(AND(F11&lt;&gt;"",G11&lt;&gt;""),IF(G11&gt;F11,(G11-F11)*24,(1-(F11-G11))*24),""),"—")</x:f>
      </x:c>
      <x:c r="I11" s="36"/>
      <x:c r="J11" s="35"/>
      <x:c r="K11" s="35"/>
      <x:c r="L11" s="36"/>
      <x:c r="M11" s="139"/>
      <x:c r="N11" s="139" t="str">
        <x:f>IF(OR(H11="",M11=""),"",H11*M11)</x:f>
      </x:c>
      <x:c r="O11" t="e">
        <x:f>IF(COUNTIFS($B:$B,B11,$A:$A,"&gt;="&amp;A11-90,$A:$A,"&lt;="&amp;A11)&gt;=2,"Yes","No")</x:f>
      </x:c>
      <x:c r="P11" t="e">
        <x:f>IF(OR(H11&gt;=4,N11&gt;=50000,O11="Yes"),"Yes","No")</x:f>
      </x:c>
      <x:c r="Q11" t="e">
        <x:f>IF(P11="Yes",TEXTJOIN(", ",TRUE,IF(H11&gt;=4,"Downtime &gt;=4h",""),IF(N11&gt;=50000,"Cost &gt;=R59k",""),IF(O11="Yes","Repeat failure","")),"")</x:f>
      </x:c>
      <x:c r="S11" s="142"/>
    </x:row>
    <x:row r="12" ht="18" hidden="0" customHeight="1">
      <x:c r="B12" s="34"/>
      <x:c r="C12" s="35"/>
      <x:c r="D12" s="35"/>
      <x:c r="E12" s="36"/>
      <x:c r="F12" s="37"/>
      <x:c r="G12" s="37"/>
      <x:c r="H12" s="38" t="str">
        <x:f aca="0">IFERROR(IF(AND(F12&lt;&gt;"",G12&lt;&gt;""),IF(G12&gt;F12,(G12-F12)*24,(1-(F12-G12))*24),""),"—")</x:f>
      </x:c>
      <x:c r="I12" s="36"/>
      <x:c r="J12" s="35"/>
      <x:c r="K12" s="35"/>
      <x:c r="L12" s="36"/>
      <x:c r="M12" s="139"/>
      <x:c r="N12" s="139" t="str">
        <x:f>IF(OR(H12="",M12=""),"",H12*M12)</x:f>
      </x:c>
      <x:c r="O12" t="e">
        <x:f>IF(COUNTIFS($B:$B,B12,$A:$A,"&gt;="&amp;A12-90,$A:$A,"&lt;="&amp;A12)&gt;=2,"Yes","No")</x:f>
      </x:c>
      <x:c r="P12" t="e">
        <x:f>IF(OR(H12&gt;=4,N12&gt;=50000,O12="Yes"),"Yes","No")</x:f>
      </x:c>
      <x:c r="Q12" t="e">
        <x:f>IF(P12="Yes",TEXTJOIN(", ",TRUE,IF(H12&gt;=4,"Downtime &gt;=4h",""),IF(N12&gt;=50000,"Cost &gt;=R60k",""),IF(O12="Yes","Repeat failure","")),"")</x:f>
      </x:c>
      <x:c r="S12" s="142"/>
    </x:row>
    <x:row r="13" ht="18" hidden="0" customHeight="1">
      <x:c r="B13" s="34"/>
      <x:c r="C13" s="35"/>
      <x:c r="D13" s="35"/>
      <x:c r="E13" s="36"/>
      <x:c r="F13" s="37"/>
      <x:c r="G13" s="37"/>
      <x:c r="H13" s="38" t="str">
        <x:f aca="0">IFERROR(IF(AND(F13&lt;&gt;"",G13&lt;&gt;""),IF(G13&gt;F13,(G13-F13)*24,(1-(F13-G13))*24),""),"—")</x:f>
      </x:c>
      <x:c r="I13" s="36"/>
      <x:c r="J13" s="35"/>
      <x:c r="K13" s="35"/>
      <x:c r="L13" s="36"/>
      <x:c r="M13" s="139"/>
      <x:c r="N13" s="139" t="str">
        <x:f>IF(OR(H13="",M13=""),"",H13*M13)</x:f>
      </x:c>
      <x:c r="O13" t="e">
        <x:f>IF(COUNTIFS($B:$B,B13,$A:$A,"&gt;="&amp;A13-90,$A:$A,"&lt;="&amp;A13)&gt;=2,"Yes","No")</x:f>
      </x:c>
      <x:c r="P13" t="e">
        <x:f>IF(OR(H13&gt;=4,N13&gt;=50000,O13="Yes"),"Yes","No")</x:f>
      </x:c>
      <x:c r="Q13" t="e">
        <x:f>IF(P13="Yes",TEXTJOIN(", ",TRUE,IF(H13&gt;=4,"Downtime &gt;=4h",""),IF(N13&gt;=50000,"Cost &gt;=R61k",""),IF(O13="Yes","Repeat failure","")),"")</x:f>
      </x:c>
      <x:c r="S13" s="142"/>
    </x:row>
    <x:row r="14" ht="18" hidden="0" customHeight="1">
      <x:c r="B14" s="34"/>
      <x:c r="C14" s="35"/>
      <x:c r="D14" s="35"/>
      <x:c r="E14" s="36"/>
      <x:c r="F14" s="37"/>
      <x:c r="G14" s="37"/>
      <x:c r="H14" s="38" t="str">
        <x:f aca="0">IFERROR(IF(AND(F14&lt;&gt;"",G14&lt;&gt;""),IF(G14&gt;F14,(G14-F14)*24,(1-(F14-G14))*24),""),"—")</x:f>
      </x:c>
      <x:c r="I14" s="36"/>
      <x:c r="J14" s="35"/>
      <x:c r="K14" s="35"/>
      <x:c r="L14" s="36"/>
      <x:c r="M14" s="139"/>
      <x:c r="N14" s="139" t="str">
        <x:f>IF(OR(H14="",M14=""),"",H14*M14)</x:f>
      </x:c>
      <x:c r="O14" t="e">
        <x:f>IF(COUNTIFS($B:$B,B14,$A:$A,"&gt;="&amp;A14-90,$A:$A,"&lt;="&amp;A14)&gt;=2,"Yes","No")</x:f>
      </x:c>
      <x:c r="P14" t="e">
        <x:f>IF(OR(H14&gt;=4,N14&gt;=50000,O14="Yes"),"Yes","No")</x:f>
      </x:c>
      <x:c r="Q14" t="e">
        <x:f>IF(P14="Yes",TEXTJOIN(", ",TRUE,IF(H14&gt;=4,"Downtime &gt;=4h",""),IF(N14&gt;=50000,"Cost &gt;=R62k",""),IF(O14="Yes","Repeat failure","")),"")</x:f>
      </x:c>
      <x:c r="S14" s="142"/>
    </x:row>
    <x:row r="15" ht="18" hidden="0" customHeight="1">
      <x:c r="B15" s="34"/>
      <x:c r="C15" s="35"/>
      <x:c r="D15" s="35"/>
      <x:c r="E15" s="36"/>
      <x:c r="F15" s="37"/>
      <x:c r="G15" s="37"/>
      <x:c r="H15" s="38" t="str">
        <x:f aca="0">IFERROR(IF(AND(F15&lt;&gt;"",G15&lt;&gt;""),IF(G15&gt;F15,(G15-F15)*24,(1-(F15-G15))*24),""),"—")</x:f>
      </x:c>
      <x:c r="I15" s="36"/>
      <x:c r="J15" s="35"/>
      <x:c r="K15" s="35"/>
      <x:c r="L15" s="36"/>
      <x:c r="M15" s="139"/>
      <x:c r="N15" s="139" t="str">
        <x:f>IF(OR(H15="",M15=""),"",H15*M15)</x:f>
      </x:c>
      <x:c r="O15" t="e">
        <x:f>IF(COUNTIFS($B:$B,B15,$A:$A,"&gt;="&amp;A15-90,$A:$A,"&lt;="&amp;A15)&gt;=2,"Yes","No")</x:f>
      </x:c>
      <x:c r="P15" t="e">
        <x:f>IF(OR(H15&gt;=4,N15&gt;=50000,O15="Yes"),"Yes","No")</x:f>
      </x:c>
      <x:c r="Q15" t="e">
        <x:f>IF(P15="Yes",TEXTJOIN(", ",TRUE,IF(H15&gt;=4,"Downtime &gt;=4h",""),IF(N15&gt;=50000,"Cost &gt;=R63k",""),IF(O15="Yes","Repeat failure","")),"")</x:f>
      </x:c>
      <x:c r="S15" s="142"/>
    </x:row>
    <x:row r="16" ht="18" hidden="0" customHeight="1">
      <x:c r="B16" s="34"/>
      <x:c r="C16" s="35"/>
      <x:c r="D16" s="35"/>
      <x:c r="E16" s="36"/>
      <x:c r="F16" s="37"/>
      <x:c r="G16" s="37"/>
      <x:c r="H16" s="38" t="str">
        <x:f aca="0">IFERROR(IF(AND(F16&lt;&gt;"",G16&lt;&gt;""),IF(G16&gt;F16,(G16-F16)*24,(1-(F16-G16))*24),""),"—")</x:f>
      </x:c>
      <x:c r="I16" s="36"/>
      <x:c r="J16" s="35"/>
      <x:c r="K16" s="35"/>
      <x:c r="L16" s="36"/>
      <x:c r="M16" s="139"/>
      <x:c r="N16" s="139" t="str">
        <x:f>IF(OR(H16="",M16=""),"",H16*M16)</x:f>
      </x:c>
      <x:c r="O16" t="e">
        <x:f>IF(COUNTIFS($B:$B,B16,$A:$A,"&gt;="&amp;A16-90,$A:$A,"&lt;="&amp;A16)&gt;=2,"Yes","No")</x:f>
      </x:c>
      <x:c r="P16" t="e">
        <x:f>IF(OR(H16&gt;=4,N16&gt;=50000,O16="Yes"),"Yes","No")</x:f>
      </x:c>
      <x:c r="Q16" t="e">
        <x:f>IF(P16="Yes",TEXTJOIN(", ",TRUE,IF(H16&gt;=4,"Downtime &gt;=4h",""),IF(N16&gt;=50000,"Cost &gt;=R64k",""),IF(O16="Yes","Repeat failure","")),"")</x:f>
      </x:c>
      <x:c r="S16" s="142"/>
    </x:row>
    <x:row r="17" ht="18" hidden="0" customHeight="1">
      <x:c r="B17" s="34"/>
      <x:c r="C17" s="35"/>
      <x:c r="D17" s="35"/>
      <x:c r="E17" s="36"/>
      <x:c r="F17" s="37"/>
      <x:c r="G17" s="37"/>
      <x:c r="H17" s="38" t="str">
        <x:f aca="0">IFERROR(IF(AND(F17&lt;&gt;"",G17&lt;&gt;""),IF(G17&gt;F17,(G17-F17)*24,(1-(F17-G17))*24),""),"—")</x:f>
      </x:c>
      <x:c r="I17" s="36"/>
      <x:c r="J17" s="35"/>
      <x:c r="K17" s="35"/>
      <x:c r="L17" s="36"/>
      <x:c r="M17" s="139"/>
      <x:c r="N17" s="139" t="str">
        <x:f>IF(OR(H17="",M17=""),"",H17*M17)</x:f>
      </x:c>
      <x:c r="O17" t="e">
        <x:f>IF(COUNTIFS($B:$B,B17,$A:$A,"&gt;="&amp;A17-90,$A:$A,"&lt;="&amp;A17)&gt;=2,"Yes","No")</x:f>
      </x:c>
      <x:c r="P17" t="e">
        <x:f>IF(OR(H17&gt;=4,N17&gt;=50000,O17="Yes"),"Yes","No")</x:f>
      </x:c>
      <x:c r="Q17" t="e">
        <x:f>IF(P17="Yes",TEXTJOIN(", ",TRUE,IF(H17&gt;=4,"Downtime &gt;=4h",""),IF(N17&gt;=50000,"Cost &gt;=R65k",""),IF(O17="Yes","Repeat failure","")),"")</x:f>
      </x:c>
      <x:c r="S17" s="142"/>
    </x:row>
    <x:row r="18" ht="18" hidden="0" customHeight="1">
      <x:c r="B18" s="34"/>
      <x:c r="C18" s="35"/>
      <x:c r="D18" s="35"/>
      <x:c r="E18" s="36"/>
      <x:c r="F18" s="37"/>
      <x:c r="G18" s="37"/>
      <x:c r="H18" s="38" t="str">
        <x:f aca="0">IFERROR(IF(AND(F18&lt;&gt;"",G18&lt;&gt;""),IF(G18&gt;F18,(G18-F18)*24,(1-(F18-G18))*24),""),"—")</x:f>
      </x:c>
      <x:c r="I18" s="36"/>
      <x:c r="J18" s="35"/>
      <x:c r="K18" s="35"/>
      <x:c r="L18" s="36"/>
      <x:c r="M18" s="139"/>
      <x:c r="N18" s="139" t="str">
        <x:f>IF(OR(H18="",M18=""),"",H18*M18)</x:f>
      </x:c>
      <x:c r="O18" t="e">
        <x:f>IF(COUNTIFS($B:$B,B18,$A:$A,"&gt;="&amp;A18-90,$A:$A,"&lt;="&amp;A18)&gt;=2,"Yes","No")</x:f>
      </x:c>
      <x:c r="P18" t="e">
        <x:f>IF(OR(H18&gt;=4,N18&gt;=50000,O18="Yes"),"Yes","No")</x:f>
      </x:c>
      <x:c r="Q18" t="e">
        <x:f>IF(P18="Yes",TEXTJOIN(", ",TRUE,IF(H18&gt;=4,"Downtime &gt;=4h",""),IF(N18&gt;=50000,"Cost &gt;=R66k",""),IF(O18="Yes","Repeat failure","")),"")</x:f>
      </x:c>
      <x:c r="S18" s="142"/>
    </x:row>
    <x:row r="19" ht="18" hidden="0" customHeight="1">
      <x:c r="B19" s="34"/>
      <x:c r="C19" s="35"/>
      <x:c r="D19" s="35"/>
      <x:c r="E19" s="36"/>
      <x:c r="F19" s="37"/>
      <x:c r="G19" s="37"/>
      <x:c r="H19" s="38" t="str">
        <x:f aca="0">IFERROR(IF(AND(F19&lt;&gt;"",G19&lt;&gt;""),IF(G19&gt;F19,(G19-F19)*24,(1-(F19-G19))*24),""),"—")</x:f>
      </x:c>
      <x:c r="I19" s="36"/>
      <x:c r="J19" s="35"/>
      <x:c r="K19" s="35"/>
      <x:c r="L19" s="36"/>
      <x:c r="M19" s="139"/>
      <x:c r="N19" s="139" t="str">
        <x:f>IF(OR(H19="",M19=""),"",H19*M19)</x:f>
      </x:c>
      <x:c r="O19" t="e">
        <x:f>IF(COUNTIFS($B:$B,B19,$A:$A,"&gt;="&amp;A19-90,$A:$A,"&lt;="&amp;A19)&gt;=2,"Yes","No")</x:f>
      </x:c>
      <x:c r="P19" t="e">
        <x:f>IF(OR(H19&gt;=4,N19&gt;=50000,O19="Yes"),"Yes","No")</x:f>
      </x:c>
      <x:c r="Q19" t="e">
        <x:f>IF(P19="Yes",TEXTJOIN(", ",TRUE,IF(H19&gt;=4,"Downtime &gt;=4h",""),IF(N19&gt;=50000,"Cost &gt;=R67k",""),IF(O19="Yes","Repeat failure","")),"")</x:f>
      </x:c>
      <x:c r="S19" s="142"/>
    </x:row>
    <x:row r="20" ht="18" hidden="0" customHeight="1">
      <x:c r="B20" s="34"/>
      <x:c r="C20" s="35"/>
      <x:c r="D20" s="35"/>
      <x:c r="E20" s="36"/>
      <x:c r="F20" s="37"/>
      <x:c r="G20" s="37"/>
      <x:c r="H20" s="38" t="str">
        <x:f aca="0">IFERROR(IF(AND(F20&lt;&gt;"",G20&lt;&gt;""),IF(G20&gt;F20,(G20-F20)*24,(1-(F20-G20))*24),""),"—")</x:f>
      </x:c>
      <x:c r="I20" s="36"/>
      <x:c r="J20" s="35"/>
      <x:c r="K20" s="35"/>
      <x:c r="L20" s="36"/>
      <x:c r="M20" s="139"/>
      <x:c r="N20" s="139" t="str">
        <x:f>IF(OR(H20="",M20=""),"",H20*M20)</x:f>
      </x:c>
      <x:c r="O20" t="e">
        <x:f>IF(COUNTIFS($B:$B,B20,$A:$A,"&gt;="&amp;A20-90,$A:$A,"&lt;="&amp;A20)&gt;=2,"Yes","No")</x:f>
      </x:c>
      <x:c r="P20" t="e">
        <x:f>IF(OR(H20&gt;=4,N20&gt;=50000,O20="Yes"),"Yes","No")</x:f>
      </x:c>
      <x:c r="Q20" t="e">
        <x:f>IF(P20="Yes",TEXTJOIN(", ",TRUE,IF(H20&gt;=4,"Downtime &gt;=4h",""),IF(N20&gt;=50000,"Cost &gt;=R68k",""),IF(O20="Yes","Repeat failure","")),"")</x:f>
      </x:c>
      <x:c r="S20" s="142"/>
    </x:row>
    <x:row r="21" ht="18" hidden="0" customHeight="1">
      <x:c r="B21" s="34"/>
      <x:c r="C21" s="35"/>
      <x:c r="D21" s="35"/>
      <x:c r="E21" s="36"/>
      <x:c r="F21" s="37"/>
      <x:c r="G21" s="37"/>
      <x:c r="H21" s="38" t="str">
        <x:f aca="0">IFERROR(IF(AND(F21&lt;&gt;"",G21&lt;&gt;""),IF(G21&gt;F21,(G21-F21)*24,(1-(F21-G21))*24),""),"—")</x:f>
      </x:c>
      <x:c r="I21" s="36"/>
      <x:c r="J21" s="35"/>
      <x:c r="K21" s="35"/>
      <x:c r="L21" s="36"/>
      <x:c r="M21" s="139"/>
      <x:c r="N21" s="139" t="str">
        <x:f>IF(OR(H21="",M21=""),"",H21*M21)</x:f>
      </x:c>
      <x:c r="O21" t="e">
        <x:f>IF(COUNTIFS($B:$B,B21,$A:$A,"&gt;="&amp;A21-90,$A:$A,"&lt;="&amp;A21)&gt;=2,"Yes","No")</x:f>
      </x:c>
      <x:c r="P21" t="e">
        <x:f>IF(OR(H21&gt;=4,N21&gt;=50000,O21="Yes"),"Yes","No")</x:f>
      </x:c>
      <x:c r="Q21" t="e">
        <x:f>IF(P21="Yes",TEXTJOIN(", ",TRUE,IF(H21&gt;=4,"Downtime &gt;=4h",""),IF(N21&gt;=50000,"Cost &gt;=R69k",""),IF(O21="Yes","Repeat failure","")),"")</x:f>
      </x:c>
      <x:c r="S21" s="142"/>
    </x:row>
    <x:row r="22" ht="18" hidden="0" customHeight="1">
      <x:c r="B22" s="34"/>
      <x:c r="C22" s="35"/>
      <x:c r="D22" s="35"/>
      <x:c r="E22" s="36"/>
      <x:c r="F22" s="37"/>
      <x:c r="G22" s="37"/>
      <x:c r="H22" s="38" t="str">
        <x:f aca="0">IFERROR(IF(AND(F22&lt;&gt;"",G22&lt;&gt;""),IF(G22&gt;F22,(G22-F22)*24,(1-(F22-G22))*24),""),"—")</x:f>
      </x:c>
      <x:c r="I22" s="36"/>
      <x:c r="J22" s="35"/>
      <x:c r="K22" s="35"/>
      <x:c r="L22" s="36"/>
      <x:c r="M22" s="139"/>
      <x:c r="N22" s="139" t="str">
        <x:f>IF(OR(H22="",M22=""),"",H22*M22)</x:f>
      </x:c>
      <x:c r="O22" t="e">
        <x:f>IF(COUNTIFS($B:$B,B22,$A:$A,"&gt;="&amp;A22-90,$A:$A,"&lt;="&amp;A22)&gt;=2,"Yes","No")</x:f>
      </x:c>
      <x:c r="P22" t="e">
        <x:f>IF(OR(H22&gt;=4,N22&gt;=50000,O22="Yes"),"Yes","No")</x:f>
      </x:c>
      <x:c r="Q22" t="e">
        <x:f>IF(P22="Yes",TEXTJOIN(", ",TRUE,IF(H22&gt;=4,"Downtime &gt;=4h",""),IF(N22&gt;=50000,"Cost &gt;=R70k",""),IF(O22="Yes","Repeat failure","")),"")</x:f>
      </x:c>
      <x:c r="S22" s="142"/>
    </x:row>
    <x:row r="23" ht="18" hidden="0" customHeight="1">
      <x:c r="B23" s="34"/>
      <x:c r="C23" s="35"/>
      <x:c r="D23" s="35"/>
      <x:c r="E23" s="36"/>
      <x:c r="F23" s="37"/>
      <x:c r="G23" s="37"/>
      <x:c r="H23" s="38" t="str">
        <x:f aca="0">IFERROR(IF(AND(F23&lt;&gt;"",G23&lt;&gt;""),IF(G23&gt;F23,(G23-F23)*24,(1-(F23-G23))*24),""),"—")</x:f>
      </x:c>
      <x:c r="I23" s="36"/>
      <x:c r="J23" s="35"/>
      <x:c r="K23" s="35"/>
      <x:c r="L23" s="36"/>
      <x:c r="M23" s="139"/>
      <x:c r="N23" s="139" t="str">
        <x:f>IF(OR(H23="",M23=""),"",H23*M23)</x:f>
      </x:c>
      <x:c r="O23" t="e">
        <x:f>IF(COUNTIFS($B:$B,B23,$A:$A,"&gt;="&amp;A23-90,$A:$A,"&lt;="&amp;A23)&gt;=2,"Yes","No")</x:f>
      </x:c>
      <x:c r="P23" t="e">
        <x:f>IF(OR(H23&gt;=4,N23&gt;=50000,O23="Yes"),"Yes","No")</x:f>
      </x:c>
      <x:c r="Q23" t="e">
        <x:f>IF(P23="Yes",TEXTJOIN(", ",TRUE,IF(H23&gt;=4,"Downtime &gt;=4h",""),IF(N23&gt;=50000,"Cost &gt;=R71k",""),IF(O23="Yes","Repeat failure","")),"")</x:f>
      </x:c>
      <x:c r="S23" s="142"/>
    </x:row>
    <x:row r="24" ht="18" hidden="0" customHeight="1">
      <x:c r="B24" s="34"/>
      <x:c r="C24" s="35"/>
      <x:c r="D24" s="35"/>
      <x:c r="E24" s="36"/>
      <x:c r="F24" s="37"/>
      <x:c r="G24" s="37"/>
      <x:c r="H24" s="38" t="str">
        <x:f aca="0">IFERROR(IF(AND(F24&lt;&gt;"",G24&lt;&gt;""),IF(G24&gt;F24,(G24-F24)*24,(1-(F24-G24))*24),""),"—")</x:f>
      </x:c>
      <x:c r="I24" s="36"/>
      <x:c r="J24" s="35"/>
      <x:c r="K24" s="35"/>
      <x:c r="L24" s="36"/>
      <x:c r="M24" s="139"/>
      <x:c r="N24" s="139" t="str">
        <x:f>IF(OR(H24="",M24=""),"",H24*M24)</x:f>
      </x:c>
      <x:c r="O24" t="e">
        <x:f>IF(COUNTIFS($B:$B,B24,$A:$A,"&gt;="&amp;A24-90,$A:$A,"&lt;="&amp;A24)&gt;=2,"Yes","No")</x:f>
      </x:c>
      <x:c r="P24" t="e">
        <x:f>IF(OR(H24&gt;=4,N24&gt;=50000,O24="Yes"),"Yes","No")</x:f>
      </x:c>
      <x:c r="Q24" t="e">
        <x:f>IF(P24="Yes",TEXTJOIN(", ",TRUE,IF(H24&gt;=4,"Downtime &gt;=4h",""),IF(N24&gt;=50000,"Cost &gt;=R72k",""),IF(O24="Yes","Repeat failure","")),"")</x:f>
      </x:c>
      <x:c r="S24" s="142"/>
    </x:row>
    <x:row r="25" ht="18" hidden="0" customHeight="1">
      <x:c r="B25" s="34"/>
      <x:c r="C25" s="35"/>
      <x:c r="D25" s="35"/>
      <x:c r="E25" s="36"/>
      <x:c r="F25" s="37"/>
      <x:c r="G25" s="37"/>
      <x:c r="H25" s="38" t="str">
        <x:f aca="0">IFERROR(IF(AND(F25&lt;&gt;"",G25&lt;&gt;""),IF(G25&gt;F25,(G25-F25)*24,(1-(F25-G25))*24),""),"—")</x:f>
      </x:c>
      <x:c r="I25" s="36"/>
      <x:c r="J25" s="35"/>
      <x:c r="K25" s="35"/>
      <x:c r="L25" s="36"/>
      <x:c r="M25" s="139"/>
      <x:c r="N25" s="139" t="str">
        <x:f>IF(OR(H25="",M25=""),"",H25*M25)</x:f>
      </x:c>
      <x:c r="O25" t="e">
        <x:f>IF(COUNTIFS($B:$B,B25,$A:$A,"&gt;="&amp;A25-90,$A:$A,"&lt;="&amp;A25)&gt;=2,"Yes","No")</x:f>
      </x:c>
      <x:c r="P25" t="e">
        <x:f>IF(OR(H25&gt;=4,N25&gt;=50000,O25="Yes"),"Yes","No")</x:f>
      </x:c>
      <x:c r="Q25" t="e">
        <x:f>IF(P25="Yes",TEXTJOIN(", ",TRUE,IF(H25&gt;=4,"Downtime &gt;=4h",""),IF(N25&gt;=50000,"Cost &gt;=R73k",""),IF(O25="Yes","Repeat failure","")),"")</x:f>
      </x:c>
      <x:c r="S25" s="142"/>
    </x:row>
    <x:row r="26" ht="18" hidden="0" customHeight="1">
      <x:c r="B26" s="34"/>
      <x:c r="C26" s="35"/>
      <x:c r="D26" s="35"/>
      <x:c r="E26" s="36"/>
      <x:c r="F26" s="37"/>
      <x:c r="G26" s="37"/>
      <x:c r="H26" s="38" t="str">
        <x:f aca="0">IFERROR(IF(AND(F26&lt;&gt;"",G26&lt;&gt;""),IF(G26&gt;F26,(G26-F26)*24,(1-(F26-G26))*24),""),"—")</x:f>
      </x:c>
      <x:c r="I26" s="36"/>
      <x:c r="J26" s="35"/>
      <x:c r="K26" s="35"/>
      <x:c r="L26" s="36"/>
      <x:c r="M26" s="139"/>
      <x:c r="N26" s="139" t="str">
        <x:f>IF(OR(H26="",M26=""),"",H26*M26)</x:f>
      </x:c>
      <x:c r="O26" t="e">
        <x:f>IF(COUNTIFS($B:$B,B26,$A:$A,"&gt;="&amp;A26-90,$A:$A,"&lt;="&amp;A26)&gt;=2,"Yes","No")</x:f>
      </x:c>
      <x:c r="P26" t="e">
        <x:f>IF(OR(H26&gt;=4,N26&gt;=50000,O26="Yes"),"Yes","No")</x:f>
      </x:c>
      <x:c r="Q26" t="e">
        <x:f>IF(P26="Yes",TEXTJOIN(", ",TRUE,IF(H26&gt;=4,"Downtime &gt;=4h",""),IF(N26&gt;=50000,"Cost &gt;=R74k",""),IF(O26="Yes","Repeat failure","")),"")</x:f>
      </x:c>
      <x:c r="S26" s="142"/>
    </x:row>
    <x:row r="27" ht="18" hidden="0" customHeight="1">
      <x:c r="B27" s="34"/>
      <x:c r="C27" s="35"/>
      <x:c r="D27" s="35"/>
      <x:c r="E27" s="36"/>
      <x:c r="F27" s="37"/>
      <x:c r="G27" s="37"/>
      <x:c r="H27" s="38" t="str">
        <x:f aca="0">IFERROR(IF(AND(F27&lt;&gt;"",G27&lt;&gt;""),IF(G27&gt;F27,(G27-F27)*24,(1-(F27-G27))*24),""),"—")</x:f>
      </x:c>
      <x:c r="I27" s="36"/>
      <x:c r="J27" s="35"/>
      <x:c r="K27" s="35"/>
      <x:c r="L27" s="36"/>
      <x:c r="M27" s="139"/>
      <x:c r="N27" s="139" t="str">
        <x:f>IF(OR(H27="",M27=""),"",H27*M27)</x:f>
      </x:c>
      <x:c r="O27" t="e">
        <x:f>IF(COUNTIFS($B:$B,B27,$A:$A,"&gt;="&amp;A27-90,$A:$A,"&lt;="&amp;A27)&gt;=2,"Yes","No")</x:f>
      </x:c>
      <x:c r="P27" t="e">
        <x:f>IF(OR(H27&gt;=4,N27&gt;=50000,O27="Yes"),"Yes","No")</x:f>
      </x:c>
      <x:c r="Q27" t="e">
        <x:f>IF(P27="Yes",TEXTJOIN(", ",TRUE,IF(H27&gt;=4,"Downtime &gt;=4h",""),IF(N27&gt;=50000,"Cost &gt;=R75k",""),IF(O27="Yes","Repeat failure","")),"")</x:f>
      </x:c>
      <x:c r="S27" s="142"/>
    </x:row>
    <x:row r="28" ht="18" hidden="0" customHeight="1">
      <x:c r="B28" s="34"/>
      <x:c r="C28" s="35"/>
      <x:c r="D28" s="35"/>
      <x:c r="E28" s="36"/>
      <x:c r="F28" s="37"/>
      <x:c r="G28" s="37"/>
      <x:c r="H28" s="38" t="str">
        <x:f aca="0">IFERROR(IF(AND(F28&lt;&gt;"",G28&lt;&gt;""),IF(G28&gt;F28,(G28-F28)*24,(1-(F28-G28))*24),""),"—")</x:f>
      </x:c>
      <x:c r="I28" s="36"/>
      <x:c r="J28" s="35"/>
      <x:c r="K28" s="35"/>
      <x:c r="L28" s="36"/>
      <x:c r="M28" s="139"/>
      <x:c r="N28" s="139" t="str">
        <x:f>IF(OR(H28="",M28=""),"",H28*M28)</x:f>
      </x:c>
      <x:c r="O28" t="e">
        <x:f>IF(COUNTIFS($B:$B,B28,$A:$A,"&gt;="&amp;A28-90,$A:$A,"&lt;="&amp;A28)&gt;=2,"Yes","No")</x:f>
      </x:c>
      <x:c r="P28" t="e">
        <x:f>IF(OR(H28&gt;=4,N28&gt;=50000,O28="Yes"),"Yes","No")</x:f>
      </x:c>
      <x:c r="Q28" t="e">
        <x:f>IF(P28="Yes",TEXTJOIN(", ",TRUE,IF(H28&gt;=4,"Downtime &gt;=4h",""),IF(N28&gt;=50000,"Cost &gt;=R76k",""),IF(O28="Yes","Repeat failure","")),"")</x:f>
      </x:c>
      <x:c r="S28" s="142"/>
    </x:row>
    <x:row r="29" ht="18" hidden="0" customHeight="1">
      <x:c r="B29" s="34"/>
      <x:c r="C29" s="35"/>
      <x:c r="D29" s="35"/>
      <x:c r="E29" s="36"/>
      <x:c r="F29" s="37"/>
      <x:c r="G29" s="37"/>
      <x:c r="H29" s="38" t="str">
        <x:f aca="0">IFERROR(IF(AND(F29&lt;&gt;"",G29&lt;&gt;""),IF(G29&gt;F29,(G29-F29)*24,(1-(F29-G29))*24),""),"—")</x:f>
      </x:c>
      <x:c r="I29" s="36"/>
      <x:c r="J29" s="35"/>
      <x:c r="K29" s="35"/>
      <x:c r="L29" s="36"/>
      <x:c r="M29" s="139"/>
      <x:c r="N29" s="139" t="str">
        <x:f>IF(OR(H29="",M29=""),"",H29*M29)</x:f>
      </x:c>
      <x:c r="O29" t="e">
        <x:f>IF(COUNTIFS($B:$B,B29,$A:$A,"&gt;="&amp;A29-90,$A:$A,"&lt;="&amp;A29)&gt;=2,"Yes","No")</x:f>
      </x:c>
      <x:c r="P29" t="e">
        <x:f>IF(OR(H29&gt;=4,N29&gt;=50000,O29="Yes"),"Yes","No")</x:f>
      </x:c>
      <x:c r="Q29" t="e">
        <x:f>IF(P29="Yes",TEXTJOIN(", ",TRUE,IF(H29&gt;=4,"Downtime &gt;=4h",""),IF(N29&gt;=50000,"Cost &gt;=R77k",""),IF(O29="Yes","Repeat failure","")),"")</x:f>
      </x:c>
      <x:c r="S29" s="142"/>
    </x:row>
    <x:row r="30" ht="18" hidden="0" customHeight="1">
      <x:c r="B30" s="34"/>
      <x:c r="C30" s="35"/>
      <x:c r="D30" s="35"/>
      <x:c r="E30" s="36"/>
      <x:c r="F30" s="37"/>
      <x:c r="G30" s="37"/>
      <x:c r="H30" s="38" t="str">
        <x:f aca="0">IFERROR(IF(AND(F30&lt;&gt;"",G30&lt;&gt;""),IF(G30&gt;F30,(G30-F30)*24,(1-(F30-G30))*24),""),"—")</x:f>
      </x:c>
      <x:c r="I30" s="36"/>
      <x:c r="J30" s="35"/>
      <x:c r="K30" s="35"/>
      <x:c r="L30" s="36"/>
      <x:c r="M30" s="139"/>
      <x:c r="N30" s="139" t="str">
        <x:f>IF(OR(H30="",M30=""),"",H30*M30)</x:f>
      </x:c>
      <x:c r="O30" t="e">
        <x:f>IF(COUNTIFS($B:$B,B30,$A:$A,"&gt;="&amp;A30-90,$A:$A,"&lt;="&amp;A30)&gt;=2,"Yes","No")</x:f>
      </x:c>
      <x:c r="P30" t="e">
        <x:f>IF(OR(H30&gt;=4,N30&gt;=50000,O30="Yes"),"Yes","No")</x:f>
      </x:c>
      <x:c r="Q30" t="e">
        <x:f>IF(P30="Yes",TEXTJOIN(", ",TRUE,IF(H30&gt;=4,"Downtime &gt;=4h",""),IF(N30&gt;=50000,"Cost &gt;=R78k",""),IF(O30="Yes","Repeat failure","")),"")</x:f>
      </x:c>
      <x:c r="S30" s="142"/>
    </x:row>
    <x:row r="31" ht="18" hidden="0" customHeight="1">
      <x:c r="B31" s="34"/>
      <x:c r="C31" s="35"/>
      <x:c r="D31" s="35"/>
      <x:c r="E31" s="36"/>
      <x:c r="F31" s="37"/>
      <x:c r="G31" s="37"/>
      <x:c r="H31" s="38" t="str">
        <x:f aca="0">IFERROR(IF(AND(F31&lt;&gt;"",G31&lt;&gt;""),IF(G31&gt;F31,(G31-F31)*24,(1-(F31-G31))*24),""),"—")</x:f>
      </x:c>
      <x:c r="I31" s="36"/>
      <x:c r="J31" s="35"/>
      <x:c r="K31" s="35"/>
      <x:c r="L31" s="36"/>
      <x:c r="M31" s="139"/>
      <x:c r="N31" s="139" t="str">
        <x:f>IF(OR(H31="",M31=""),"",H31*M31)</x:f>
      </x:c>
      <x:c r="O31" t="e">
        <x:f>IF(COUNTIFS($B:$B,B31,$A:$A,"&gt;="&amp;A31-90,$A:$A,"&lt;="&amp;A31)&gt;=2,"Yes","No")</x:f>
      </x:c>
      <x:c r="P31" t="e">
        <x:f>IF(OR(H31&gt;=4,N31&gt;=50000,O31="Yes"),"Yes","No")</x:f>
      </x:c>
      <x:c r="Q31" t="e">
        <x:f>IF(P31="Yes",TEXTJOIN(", ",TRUE,IF(H31&gt;=4,"Downtime &gt;=4h",""),IF(N31&gt;=50000,"Cost &gt;=R79k",""),IF(O31="Yes","Repeat failure","")),"")</x:f>
      </x:c>
      <x:c r="S31" s="142"/>
    </x:row>
    <x:row r="32" ht="18" hidden="0" customHeight="1">
      <x:c r="B32" s="34"/>
      <x:c r="C32" s="35"/>
      <x:c r="D32" s="35"/>
      <x:c r="E32" s="36"/>
      <x:c r="F32" s="37"/>
      <x:c r="G32" s="37"/>
      <x:c r="H32" s="38" t="str">
        <x:f aca="0">IFERROR(IF(AND(F32&lt;&gt;"",G32&lt;&gt;""),IF(G32&gt;F32,(G32-F32)*24,(1-(F32-G32))*24),""),"—")</x:f>
      </x:c>
      <x:c r="I32" s="36"/>
      <x:c r="J32" s="35"/>
      <x:c r="K32" s="35"/>
      <x:c r="L32" s="36"/>
      <x:c r="M32" s="139"/>
      <x:c r="N32" s="139" t="str">
        <x:f>IF(OR(H32="",M32=""),"",H32*M32)</x:f>
      </x:c>
      <x:c r="O32" t="e">
        <x:f>IF(COUNTIFS($B:$B,B32,$A:$A,"&gt;="&amp;A32-90,$A:$A,"&lt;="&amp;A32)&gt;=2,"Yes","No")</x:f>
      </x:c>
      <x:c r="P32" t="e">
        <x:f>IF(OR(H32&gt;=4,N32&gt;=50000,O32="Yes"),"Yes","No")</x:f>
      </x:c>
      <x:c r="Q32" t="e">
        <x:f>IF(P32="Yes",TEXTJOIN(", ",TRUE,IF(H32&gt;=4,"Downtime &gt;=4h",""),IF(N32&gt;=50000,"Cost &gt;=R80k",""),IF(O32="Yes","Repeat failure","")),"")</x:f>
      </x:c>
      <x:c r="S32" s="142"/>
    </x:row>
    <x:row r="33" ht="18" hidden="0" customHeight="1">
      <x:c r="B33" s="34"/>
      <x:c r="C33" s="35"/>
      <x:c r="D33" s="35"/>
      <x:c r="E33" s="36"/>
      <x:c r="F33" s="37"/>
      <x:c r="G33" s="37"/>
      <x:c r="H33" s="38" t="str">
        <x:f aca="0">IFERROR(IF(AND(F33&lt;&gt;"",G33&lt;&gt;""),IF(G33&gt;F33,(G33-F33)*24,(1-(F33-G33))*24),""),"—")</x:f>
      </x:c>
      <x:c r="I33" s="36"/>
      <x:c r="J33" s="35"/>
      <x:c r="K33" s="35"/>
      <x:c r="L33" s="36"/>
      <x:c r="M33" s="139"/>
      <x:c r="N33" s="139" t="str">
        <x:f>IF(OR(H33="",M33=""),"",H33*M33)</x:f>
      </x:c>
      <x:c r="O33" t="e">
        <x:f>IF(COUNTIFS($B:$B,B33,$A:$A,"&gt;="&amp;A33-90,$A:$A,"&lt;="&amp;A33)&gt;=2,"Yes","No")</x:f>
      </x:c>
      <x:c r="P33" t="e">
        <x:f>IF(OR(H33&gt;=4,N33&gt;=50000,O33="Yes"),"Yes","No")</x:f>
      </x:c>
      <x:c r="Q33" t="e">
        <x:f>IF(P33="Yes",TEXTJOIN(", ",TRUE,IF(H33&gt;=4,"Downtime &gt;=4h",""),IF(N33&gt;=50000,"Cost &gt;=R81k",""),IF(O33="Yes","Repeat failure","")),"")</x:f>
      </x:c>
      <x:c r="S33" s="142"/>
    </x:row>
    <x:row r="34" ht="18" hidden="0" customHeight="1">
      <x:c r="B34" s="34"/>
      <x:c r="C34" s="35"/>
      <x:c r="D34" s="35"/>
      <x:c r="E34" s="36"/>
      <x:c r="F34" s="37"/>
      <x:c r="G34" s="37"/>
      <x:c r="H34" s="38" t="str">
        <x:f aca="0">IFERROR(IF(AND(F34&lt;&gt;"",G34&lt;&gt;""),IF(G34&gt;F34,(G34-F34)*24,(1-(F34-G34))*24),""),"—")</x:f>
      </x:c>
      <x:c r="I34" s="36"/>
      <x:c r="J34" s="35"/>
      <x:c r="K34" s="35"/>
      <x:c r="L34" s="36"/>
      <x:c r="M34" s="139"/>
      <x:c r="N34" s="139" t="str">
        <x:f>IF(OR(H34="",M34=""),"",H34*M34)</x:f>
      </x:c>
      <x:c r="O34" t="e">
        <x:f>IF(COUNTIFS($B:$B,B34,$A:$A,"&gt;="&amp;A34-90,$A:$A,"&lt;="&amp;A34)&gt;=2,"Yes","No")</x:f>
      </x:c>
      <x:c r="P34" t="e">
        <x:f>IF(OR(H34&gt;=4,N34&gt;=50000,O34="Yes"),"Yes","No")</x:f>
      </x:c>
      <x:c r="Q34" t="e">
        <x:f>IF(P34="Yes",TEXTJOIN(", ",TRUE,IF(H34&gt;=4,"Downtime &gt;=4h",""),IF(N34&gt;=50000,"Cost &gt;=R82k",""),IF(O34="Yes","Repeat failure","")),"")</x:f>
      </x:c>
      <x:c r="S34" s="142"/>
    </x:row>
    <x:row r="35" ht="18" hidden="0" customHeight="1">
      <x:c r="B35" s="34"/>
      <x:c r="C35" s="35"/>
      <x:c r="D35" s="35"/>
      <x:c r="E35" s="36"/>
      <x:c r="F35" s="37"/>
      <x:c r="G35" s="37"/>
      <x:c r="H35" s="38" t="str">
        <x:f aca="0">IFERROR(IF(AND(F35&lt;&gt;"",G35&lt;&gt;""),IF(G35&gt;F35,(G35-F35)*24,(1-(F35-G35))*24),""),"—")</x:f>
      </x:c>
      <x:c r="I35" s="36"/>
      <x:c r="J35" s="35"/>
      <x:c r="K35" s="35"/>
      <x:c r="L35" s="36"/>
      <x:c r="M35" s="139"/>
      <x:c r="N35" s="139" t="str">
        <x:f>IF(OR(H35="",M35=""),"",H35*M35)</x:f>
      </x:c>
      <x:c r="O35" t="e">
        <x:f>IF(COUNTIFS($B:$B,B35,$A:$A,"&gt;="&amp;A35-90,$A:$A,"&lt;="&amp;A35)&gt;=2,"Yes","No")</x:f>
      </x:c>
      <x:c r="P35" t="e">
        <x:f>IF(OR(H35&gt;=4,N35&gt;=50000,O35="Yes"),"Yes","No")</x:f>
      </x:c>
      <x:c r="Q35" t="e">
        <x:f>IF(P35="Yes",TEXTJOIN(", ",TRUE,IF(H35&gt;=4,"Downtime &gt;=4h",""),IF(N35&gt;=50000,"Cost &gt;=R83k",""),IF(O35="Yes","Repeat failure","")),"")</x:f>
      </x:c>
      <x:c r="S35" s="142"/>
    </x:row>
    <x:row r="36" ht="18" hidden="0" customHeight="1">
      <x:c r="B36" s="34"/>
      <x:c r="C36" s="35"/>
      <x:c r="D36" s="35"/>
      <x:c r="E36" s="36"/>
      <x:c r="F36" s="37"/>
      <x:c r="G36" s="37"/>
      <x:c r="H36" s="38" t="str">
        <x:f aca="0">IFERROR(IF(AND(F36&lt;&gt;"",G36&lt;&gt;""),IF(G36&gt;F36,(G36-F36)*24,(1-(F36-G36))*24),""),"—")</x:f>
      </x:c>
      <x:c r="I36" s="36"/>
      <x:c r="J36" s="35"/>
      <x:c r="K36" s="35"/>
      <x:c r="L36" s="36"/>
      <x:c r="M36" s="139"/>
      <x:c r="N36" s="139" t="str">
        <x:f>IF(OR(H36="",M36=""),"",H36*M36)</x:f>
      </x:c>
      <x:c r="O36" t="e">
        <x:f>IF(COUNTIFS($B:$B,B36,$A:$A,"&gt;="&amp;A36-90,$A:$A,"&lt;="&amp;A36)&gt;=2,"Yes","No")</x:f>
      </x:c>
      <x:c r="P36" t="e">
        <x:f>IF(OR(H36&gt;=4,N36&gt;=50000,O36="Yes"),"Yes","No")</x:f>
      </x:c>
      <x:c r="Q36" t="e">
        <x:f>IF(P36="Yes",TEXTJOIN(", ",TRUE,IF(H36&gt;=4,"Downtime &gt;=4h",""),IF(N36&gt;=50000,"Cost &gt;=R84k",""),IF(O36="Yes","Repeat failure","")),"")</x:f>
      </x:c>
      <x:c r="S36" s="142"/>
    </x:row>
    <x:row r="37" ht="18" hidden="0" customHeight="1">
      <x:c r="B37" s="34"/>
      <x:c r="C37" s="35"/>
      <x:c r="D37" s="35"/>
      <x:c r="E37" s="36"/>
      <x:c r="F37" s="37"/>
      <x:c r="G37" s="37"/>
      <x:c r="H37" s="38" t="str">
        <x:f aca="0">IFERROR(IF(AND(F37&lt;&gt;"",G37&lt;&gt;""),IF(G37&gt;F37,(G37-F37)*24,(1-(F37-G37))*24),""),"—")</x:f>
      </x:c>
      <x:c r="I37" s="36"/>
      <x:c r="J37" s="35"/>
      <x:c r="K37" s="35"/>
      <x:c r="L37" s="36"/>
      <x:c r="M37" s="139"/>
      <x:c r="N37" s="139" t="str">
        <x:f>IF(OR(H37="",M37=""),"",H37*M37)</x:f>
      </x:c>
      <x:c r="O37" t="e">
        <x:f>IF(COUNTIFS($B:$B,B37,$A:$A,"&gt;="&amp;A37-90,$A:$A,"&lt;="&amp;A37)&gt;=2,"Yes","No")</x:f>
      </x:c>
      <x:c r="P37" t="e">
        <x:f>IF(OR(H37&gt;=4,N37&gt;=50000,O37="Yes"),"Yes","No")</x:f>
      </x:c>
      <x:c r="Q37" t="e">
        <x:f>IF(P37="Yes",TEXTJOIN(", ",TRUE,IF(H37&gt;=4,"Downtime &gt;=4h",""),IF(N37&gt;=50000,"Cost &gt;=R85k",""),IF(O37="Yes","Repeat failure","")),"")</x:f>
      </x:c>
      <x:c r="S37" s="142"/>
    </x:row>
    <x:row r="38" ht="18" hidden="0" customHeight="1">
      <x:c r="B38" s="34"/>
      <x:c r="C38" s="35"/>
      <x:c r="D38" s="35"/>
      <x:c r="E38" s="36"/>
      <x:c r="F38" s="37"/>
      <x:c r="G38" s="37"/>
      <x:c r="H38" s="38" t="str">
        <x:f aca="0">IFERROR(IF(AND(F38&lt;&gt;"",G38&lt;&gt;""),IF(G38&gt;F38,(G38-F38)*24,(1-(F38-G38))*24),""),"—")</x:f>
      </x:c>
      <x:c r="I38" s="36"/>
      <x:c r="J38" s="35"/>
      <x:c r="K38" s="35"/>
      <x:c r="L38" s="36"/>
      <x:c r="M38" s="139"/>
      <x:c r="N38" s="139" t="str">
        <x:f>IF(OR(H38="",M38=""),"",H38*M38)</x:f>
      </x:c>
      <x:c r="O38" t="e">
        <x:f>IF(COUNTIFS($B:$B,B38,$A:$A,"&gt;="&amp;A38-90,$A:$A,"&lt;="&amp;A38)&gt;=2,"Yes","No")</x:f>
      </x:c>
      <x:c r="P38" t="e">
        <x:f>IF(OR(H38&gt;=4,N38&gt;=50000,O38="Yes"),"Yes","No")</x:f>
      </x:c>
      <x:c r="Q38" t="e">
        <x:f>IF(P38="Yes",TEXTJOIN(", ",TRUE,IF(H38&gt;=4,"Downtime &gt;=4h",""),IF(N38&gt;=50000,"Cost &gt;=R86k",""),IF(O38="Yes","Repeat failure","")),"")</x:f>
      </x:c>
      <x:c r="S38" s="142"/>
    </x:row>
    <x:row r="39" ht="18" hidden="0" customHeight="1">
      <x:c r="B39" s="34"/>
      <x:c r="C39" s="35"/>
      <x:c r="D39" s="35"/>
      <x:c r="E39" s="36"/>
      <x:c r="F39" s="37"/>
      <x:c r="G39" s="37"/>
      <x:c r="H39" s="38" t="str">
        <x:f aca="0">IFERROR(IF(AND(F39&lt;&gt;"",G39&lt;&gt;""),IF(G39&gt;F39,(G39-F39)*24,(1-(F39-G39))*24),""),"—")</x:f>
      </x:c>
      <x:c r="I39" s="36"/>
      <x:c r="J39" s="35"/>
      <x:c r="K39" s="35"/>
      <x:c r="L39" s="36"/>
      <x:c r="M39" s="139"/>
      <x:c r="N39" s="139" t="str">
        <x:f>IF(OR(H39="",M39=""),"",H39*M39)</x:f>
      </x:c>
      <x:c r="O39" t="e">
        <x:f>IF(COUNTIFS($B:$B,B39,$A:$A,"&gt;="&amp;A39-90,$A:$A,"&lt;="&amp;A39)&gt;=2,"Yes","No")</x:f>
      </x:c>
      <x:c r="P39" t="e">
        <x:f>IF(OR(H39&gt;=4,N39&gt;=50000,O39="Yes"),"Yes","No")</x:f>
      </x:c>
      <x:c r="Q39" t="e">
        <x:f>IF(P39="Yes",TEXTJOIN(", ",TRUE,IF(H39&gt;=4,"Downtime &gt;=4h",""),IF(N39&gt;=50000,"Cost &gt;=R87k",""),IF(O39="Yes","Repeat failure","")),"")</x:f>
      </x:c>
      <x:c r="S39" s="142"/>
    </x:row>
    <x:row r="40" ht="18" hidden="0" customHeight="1">
      <x:c r="B40" s="34"/>
      <x:c r="C40" s="35"/>
      <x:c r="D40" s="35"/>
      <x:c r="E40" s="36"/>
      <x:c r="F40" s="37"/>
      <x:c r="G40" s="37"/>
      <x:c r="H40" s="38" t="str">
        <x:f aca="0">IFERROR(IF(AND(F40&lt;&gt;"",G40&lt;&gt;""),IF(G40&gt;F40,(G40-F40)*24,(1-(F40-G40))*24),""),"—")</x:f>
      </x:c>
      <x:c r="I40" s="36"/>
      <x:c r="J40" s="35"/>
      <x:c r="K40" s="35"/>
      <x:c r="L40" s="36"/>
      <x:c r="M40" s="139"/>
      <x:c r="N40" s="139" t="str">
        <x:f>IF(OR(H40="",M40=""),"",H40*M40)</x:f>
      </x:c>
      <x:c r="O40" t="e">
        <x:f>IF(COUNTIFS($B:$B,B40,$A:$A,"&gt;="&amp;A40-90,$A:$A,"&lt;="&amp;A40)&gt;=2,"Yes","No")</x:f>
      </x:c>
      <x:c r="P40" t="e">
        <x:f>IF(OR(H40&gt;=4,N40&gt;=50000,O40="Yes"),"Yes","No")</x:f>
      </x:c>
      <x:c r="Q40" t="e">
        <x:f>IF(P40="Yes",TEXTJOIN(", ",TRUE,IF(H40&gt;=4,"Downtime &gt;=4h",""),IF(N40&gt;=50000,"Cost &gt;=R88k",""),IF(O40="Yes","Repeat failure","")),"")</x:f>
      </x:c>
      <x:c r="S40" s="142"/>
    </x:row>
    <x:row r="41" ht="18" hidden="0" customHeight="1">
      <x:c r="B41" s="34"/>
      <x:c r="C41" s="35"/>
      <x:c r="D41" s="35"/>
      <x:c r="E41" s="36"/>
      <x:c r="F41" s="37"/>
      <x:c r="G41" s="37"/>
      <x:c r="H41" s="38" t="str">
        <x:f aca="0">IFERROR(IF(AND(F41&lt;&gt;"",G41&lt;&gt;""),IF(G41&gt;F41,(G41-F41)*24,(1-(F41-G41))*24),""),"—")</x:f>
      </x:c>
      <x:c r="I41" s="36"/>
      <x:c r="J41" s="35"/>
      <x:c r="K41" s="35"/>
      <x:c r="L41" s="36"/>
      <x:c r="M41" s="139"/>
      <x:c r="N41" s="139" t="str">
        <x:f>IF(OR(H41="",M41=""),"",H41*M41)</x:f>
      </x:c>
      <x:c r="O41" t="e">
        <x:f>IF(COUNTIFS($B:$B,B41,$A:$A,"&gt;="&amp;A41-90,$A:$A,"&lt;="&amp;A41)&gt;=2,"Yes","No")</x:f>
      </x:c>
      <x:c r="P41" t="e">
        <x:f>IF(OR(H41&gt;=4,N41&gt;=50000,O41="Yes"),"Yes","No")</x:f>
      </x:c>
      <x:c r="Q41" t="e">
        <x:f>IF(P41="Yes",TEXTJOIN(", ",TRUE,IF(H41&gt;=4,"Downtime &gt;=4h",""),IF(N41&gt;=50000,"Cost &gt;=R89k",""),IF(O41="Yes","Repeat failure","")),"")</x:f>
      </x:c>
      <x:c r="S41" s="142"/>
    </x:row>
    <x:row r="42" ht="18" hidden="0" customHeight="1">
      <x:c r="B42" s="34"/>
      <x:c r="C42" s="35"/>
      <x:c r="D42" s="35"/>
      <x:c r="E42" s="36"/>
      <x:c r="F42" s="37"/>
      <x:c r="G42" s="37"/>
      <x:c r="H42" s="38" t="str">
        <x:f aca="0">IFERROR(IF(AND(F42&lt;&gt;"",G42&lt;&gt;""),IF(G42&gt;F42,(G42-F42)*24,(1-(F42-G42))*24),""),"—")</x:f>
      </x:c>
      <x:c r="I42" s="36"/>
      <x:c r="J42" s="35"/>
      <x:c r="K42" s="35"/>
      <x:c r="L42" s="36"/>
      <x:c r="M42" s="139"/>
      <x:c r="N42" s="139" t="str">
        <x:f>IF(OR(H42="",M42=""),"",H42*M42)</x:f>
      </x:c>
      <x:c r="O42" t="e">
        <x:f>IF(COUNTIFS($B:$B,B42,$A:$A,"&gt;="&amp;A42-90,$A:$A,"&lt;="&amp;A42)&gt;=2,"Yes","No")</x:f>
      </x:c>
      <x:c r="P42" t="e">
        <x:f>IF(OR(H42&gt;=4,N42&gt;=50000,O42="Yes"),"Yes","No")</x:f>
      </x:c>
      <x:c r="Q42" t="e">
        <x:f>IF(P42="Yes",TEXTJOIN(", ",TRUE,IF(H42&gt;=4,"Downtime &gt;=4h",""),IF(N42&gt;=50000,"Cost &gt;=R90k",""),IF(O42="Yes","Repeat failure","")),"")</x:f>
      </x:c>
      <x:c r="S42" s="142"/>
    </x:row>
    <x:row r="43" ht="18" hidden="0" customHeight="1">
      <x:c r="B43" s="34"/>
      <x:c r="C43" s="35"/>
      <x:c r="D43" s="35"/>
      <x:c r="E43" s="36"/>
      <x:c r="F43" s="37"/>
      <x:c r="G43" s="37"/>
      <x:c r="H43" s="38" t="str">
        <x:f aca="0">IFERROR(IF(AND(F43&lt;&gt;"",G43&lt;&gt;""),IF(G43&gt;F43,(G43-F43)*24,(1-(F43-G43))*24),""),"—")</x:f>
      </x:c>
      <x:c r="I43" s="36"/>
      <x:c r="J43" s="35"/>
      <x:c r="K43" s="35"/>
      <x:c r="L43" s="36"/>
      <x:c r="M43" s="139"/>
      <x:c r="N43" s="139" t="str">
        <x:f>IF(OR(H43="",M43=""),"",H43*M43)</x:f>
      </x:c>
      <x:c r="O43" t="e">
        <x:f>IF(COUNTIFS($B:$B,B43,$A:$A,"&gt;="&amp;A43-90,$A:$A,"&lt;="&amp;A43)&gt;=2,"Yes","No")</x:f>
      </x:c>
      <x:c r="P43" t="e">
        <x:f>IF(OR(H43&gt;=4,N43&gt;=50000,O43="Yes"),"Yes","No")</x:f>
      </x:c>
      <x:c r="Q43" t="e">
        <x:f>IF(P43="Yes",TEXTJOIN(", ",TRUE,IF(H43&gt;=4,"Downtime &gt;=4h",""),IF(N43&gt;=50000,"Cost &gt;=R91k",""),IF(O43="Yes","Repeat failure","")),"")</x:f>
      </x:c>
      <x:c r="S43" s="142"/>
    </x:row>
    <x:row r="44" ht="18" hidden="0" customHeight="1">
      <x:c r="B44" s="34"/>
      <x:c r="C44" s="35"/>
      <x:c r="D44" s="35"/>
      <x:c r="E44" s="36"/>
      <x:c r="F44" s="37"/>
      <x:c r="G44" s="37"/>
      <x:c r="H44" s="38" t="str">
        <x:f aca="0">IFERROR(IF(AND(F44&lt;&gt;"",G44&lt;&gt;""),IF(G44&gt;F44,(G44-F44)*24,(1-(F44-G44))*24),""),"—")</x:f>
      </x:c>
      <x:c r="I44" s="36"/>
      <x:c r="J44" s="35"/>
      <x:c r="K44" s="35"/>
      <x:c r="L44" s="36"/>
      <x:c r="M44" s="139"/>
      <x:c r="N44" s="139" t="str">
        <x:f>IF(OR(H44="",M44=""),"",H44*M44)</x:f>
      </x:c>
      <x:c r="O44" t="e">
        <x:f>IF(COUNTIFS($B:$B,B44,$A:$A,"&gt;="&amp;A44-90,$A:$A,"&lt;="&amp;A44)&gt;=2,"Yes","No")</x:f>
      </x:c>
      <x:c r="P44" t="e">
        <x:f>IF(OR(H44&gt;=4,N44&gt;=50000,O44="Yes"),"Yes","No")</x:f>
      </x:c>
      <x:c r="Q44" t="e">
        <x:f>IF(P44="Yes",TEXTJOIN(", ",TRUE,IF(H44&gt;=4,"Downtime &gt;=4h",""),IF(N44&gt;=50000,"Cost &gt;=R92k",""),IF(O44="Yes","Repeat failure","")),"")</x:f>
      </x:c>
      <x:c r="S44" s="142"/>
    </x:row>
    <x:row r="45" ht="18" hidden="0" customHeight="1">
      <x:c r="B45" s="34"/>
      <x:c r="C45" s="35"/>
      <x:c r="D45" s="35"/>
      <x:c r="E45" s="36"/>
      <x:c r="F45" s="37"/>
      <x:c r="G45" s="37"/>
      <x:c r="H45" s="38" t="str">
        <x:f aca="0">IFERROR(IF(AND(F45&lt;&gt;"",G45&lt;&gt;""),IF(G45&gt;F45,(G45-F45)*24,(1-(F45-G45))*24),""),"—")</x:f>
      </x:c>
      <x:c r="I45" s="36"/>
      <x:c r="J45" s="35"/>
      <x:c r="K45" s="35"/>
      <x:c r="L45" s="36"/>
      <x:c r="M45" s="139"/>
      <x:c r="N45" s="139" t="str">
        <x:f>IF(OR(H45="",M45=""),"",H45*M45)</x:f>
      </x:c>
      <x:c r="O45" t="e">
        <x:f>IF(COUNTIFS($B:$B,B45,$A:$A,"&gt;="&amp;A45-90,$A:$A,"&lt;="&amp;A45)&gt;=2,"Yes","No")</x:f>
      </x:c>
      <x:c r="P45" t="e">
        <x:f>IF(OR(H45&gt;=4,N45&gt;=50000,O45="Yes"),"Yes","No")</x:f>
      </x:c>
      <x:c r="Q45" t="e">
        <x:f>IF(P45="Yes",TEXTJOIN(", ",TRUE,IF(H45&gt;=4,"Downtime &gt;=4h",""),IF(N45&gt;=50000,"Cost &gt;=R93k",""),IF(O45="Yes","Repeat failure","")),"")</x:f>
      </x:c>
      <x:c r="S45" s="142"/>
    </x:row>
    <x:row r="46" ht="18" hidden="0" customHeight="1">
      <x:c r="B46" s="34"/>
      <x:c r="C46" s="35"/>
      <x:c r="D46" s="35"/>
      <x:c r="E46" s="36"/>
      <x:c r="F46" s="37"/>
      <x:c r="G46" s="37"/>
      <x:c r="H46" s="38" t="str">
        <x:f aca="0">IFERROR(IF(AND(F46&lt;&gt;"",G46&lt;&gt;""),IF(G46&gt;F46,(G46-F46)*24,(1-(F46-G46))*24),""),"—")</x:f>
      </x:c>
      <x:c r="I46" s="36"/>
      <x:c r="J46" s="35"/>
      <x:c r="K46" s="35"/>
      <x:c r="L46" s="36"/>
      <x:c r="M46" s="139"/>
      <x:c r="N46" s="139" t="str">
        <x:f>IF(OR(H46="",M46=""),"",H46*M46)</x:f>
      </x:c>
      <x:c r="O46" t="e">
        <x:f>IF(COUNTIFS($B:$B,B46,$A:$A,"&gt;="&amp;A46-90,$A:$A,"&lt;="&amp;A46)&gt;=2,"Yes","No")</x:f>
      </x:c>
      <x:c r="P46" t="e">
        <x:f>IF(OR(H46&gt;=4,N46&gt;=50000,O46="Yes"),"Yes","No")</x:f>
      </x:c>
      <x:c r="Q46" t="e">
        <x:f>IF(P46="Yes",TEXTJOIN(", ",TRUE,IF(H46&gt;=4,"Downtime &gt;=4h",""),IF(N46&gt;=50000,"Cost &gt;=R94k",""),IF(O46="Yes","Repeat failure","")),"")</x:f>
      </x:c>
      <x:c r="S46" s="142"/>
    </x:row>
    <x:row r="47" ht="18" hidden="0" customHeight="1">
      <x:c r="B47" s="34"/>
      <x:c r="C47" s="35"/>
      <x:c r="D47" s="35"/>
      <x:c r="E47" s="36"/>
      <x:c r="F47" s="37"/>
      <x:c r="G47" s="37"/>
      <x:c r="H47" s="38" t="str">
        <x:f aca="0">IFERROR(IF(AND(F47&lt;&gt;"",G47&lt;&gt;""),IF(G47&gt;F47,(G47-F47)*24,(1-(F47-G47))*24),""),"—")</x:f>
      </x:c>
      <x:c r="I47" s="36"/>
      <x:c r="J47" s="35"/>
      <x:c r="K47" s="35"/>
      <x:c r="L47" s="36"/>
      <x:c r="M47" s="139"/>
      <x:c r="N47" s="139" t="str">
        <x:f>IF(OR(H47="",M47=""),"",H47*M47)</x:f>
      </x:c>
      <x:c r="O47" t="e">
        <x:f>IF(COUNTIFS($B:$B,B47,$A:$A,"&gt;="&amp;A47-90,$A:$A,"&lt;="&amp;A47)&gt;=2,"Yes","No")</x:f>
      </x:c>
      <x:c r="P47" t="e">
        <x:f>IF(OR(H47&gt;=4,N47&gt;=50000,O47="Yes"),"Yes","No")</x:f>
      </x:c>
      <x:c r="Q47" t="e">
        <x:f>IF(P47="Yes",TEXTJOIN(", ",TRUE,IF(H47&gt;=4,"Downtime &gt;=4h",""),IF(N47&gt;=50000,"Cost &gt;=R95k",""),IF(O47="Yes","Repeat failure","")),"")</x:f>
      </x:c>
      <x:c r="S47" s="142"/>
    </x:row>
    <x:row r="48" ht="18" hidden="0" customHeight="1">
      <x:c r="B48" s="34"/>
      <x:c r="C48" s="35"/>
      <x:c r="D48" s="35"/>
      <x:c r="E48" s="36"/>
      <x:c r="F48" s="37"/>
      <x:c r="G48" s="37"/>
      <x:c r="H48" s="38" t="str">
        <x:f aca="0">IFERROR(IF(AND(F48&lt;&gt;"",G48&lt;&gt;""),IF(G48&gt;F48,(G48-F48)*24,(1-(F48-G48))*24),""),"—")</x:f>
      </x:c>
      <x:c r="I48" s="36"/>
      <x:c r="J48" s="35"/>
      <x:c r="K48" s="35"/>
      <x:c r="L48" s="36"/>
      <x:c r="M48" s="139"/>
      <x:c r="N48" s="139" t="str">
        <x:f>IF(OR(H48="",M48=""),"",H48*M48)</x:f>
      </x:c>
      <x:c r="O48" t="e">
        <x:f>IF(COUNTIFS($B:$B,B48,$A:$A,"&gt;="&amp;A48-90,$A:$A,"&lt;="&amp;A48)&gt;=2,"Yes","No")</x:f>
      </x:c>
      <x:c r="P48" t="e">
        <x:f>IF(OR(H48&gt;=4,N48&gt;=50000,O48="Yes"),"Yes","No")</x:f>
      </x:c>
      <x:c r="Q48" t="e">
        <x:f>IF(P48="Yes",TEXTJOIN(", ",TRUE,IF(H48&gt;=4,"Downtime &gt;=4h",""),IF(N48&gt;=50000,"Cost &gt;=R96k",""),IF(O48="Yes","Repeat failure","")),"")</x:f>
      </x:c>
      <x:c r="S48" s="142"/>
    </x:row>
    <x:row r="49" ht="18" hidden="0" customHeight="1">
      <x:c r="B49" s="34"/>
      <x:c r="C49" s="35"/>
      <x:c r="D49" s="35"/>
      <x:c r="E49" s="36"/>
      <x:c r="F49" s="37"/>
      <x:c r="G49" s="37"/>
      <x:c r="H49" s="38" t="str">
        <x:f aca="0">IFERROR(IF(AND(F49&lt;&gt;"",G49&lt;&gt;""),IF(G49&gt;F49,(G49-F49)*24,(1-(F49-G49))*24),""),"—")</x:f>
      </x:c>
      <x:c r="I49" s="36"/>
      <x:c r="J49" s="35"/>
      <x:c r="K49" s="35"/>
      <x:c r="L49" s="36"/>
      <x:c r="M49" s="139"/>
      <x:c r="N49" s="139" t="str">
        <x:f>IF(OR(H49="",M49=""),"",H49*M49)</x:f>
      </x:c>
      <x:c r="O49" t="e">
        <x:f>IF(COUNTIFS($B:$B,B49,$A:$A,"&gt;="&amp;A49-90,$A:$A,"&lt;="&amp;A49)&gt;=2,"Yes","No")</x:f>
      </x:c>
      <x:c r="P49" t="e">
        <x:f>IF(OR(H49&gt;=4,N49&gt;=50000,O49="Yes"),"Yes","No")</x:f>
      </x:c>
      <x:c r="Q49" t="e">
        <x:f>IF(P49="Yes",TEXTJOIN(", ",TRUE,IF(H49&gt;=4,"Downtime &gt;=4h",""),IF(N49&gt;=50000,"Cost &gt;=R97k",""),IF(O49="Yes","Repeat failure","")),"")</x:f>
      </x:c>
      <x:c r="S49" s="142"/>
    </x:row>
    <x:row r="50" ht="18" hidden="0" customHeight="1">
      <x:c r="B50" s="34"/>
      <x:c r="C50" s="35"/>
      <x:c r="D50" s="35"/>
      <x:c r="E50" s="36"/>
      <x:c r="F50" s="37"/>
      <x:c r="G50" s="37"/>
      <x:c r="H50" s="38" t="str">
        <x:f aca="0">IFERROR(IF(AND(F50&lt;&gt;"",G50&lt;&gt;""),IF(G50&gt;F50,(G50-F50)*24,(1-(F50-G50))*24),""),"—")</x:f>
      </x:c>
      <x:c r="I50" s="36"/>
      <x:c r="J50" s="35"/>
      <x:c r="K50" s="35"/>
      <x:c r="L50" s="36"/>
      <x:c r="M50" s="139"/>
      <x:c r="N50" s="139" t="str">
        <x:f>IF(OR(H50="",M50=""),"",H50*M50)</x:f>
      </x:c>
      <x:c r="O50" t="e">
        <x:f>IF(COUNTIFS($B:$B,B50,$A:$A,"&gt;="&amp;A50-90,$A:$A,"&lt;="&amp;A50)&gt;=2,"Yes","No")</x:f>
      </x:c>
      <x:c r="P50" t="e">
        <x:f>IF(OR(H50&gt;=4,N50&gt;=50000,O50="Yes"),"Yes","No")</x:f>
      </x:c>
      <x:c r="Q50" t="e">
        <x:f>IF(P50="Yes",TEXTJOIN(", ",TRUE,IF(H50&gt;=4,"Downtime &gt;=4h",""),IF(N50&gt;=50000,"Cost &gt;=R98k",""),IF(O50="Yes","Repeat failure","")),"")</x:f>
      </x:c>
      <x:c r="S50" s="142"/>
    </x:row>
    <x:row r="51" ht="18" hidden="0" customHeight="1">
      <x:c r="B51" s="34"/>
      <x:c r="C51" s="35"/>
      <x:c r="D51" s="35"/>
      <x:c r="E51" s="36"/>
      <x:c r="F51" s="37"/>
      <x:c r="G51" s="37"/>
      <x:c r="H51" s="38" t="str">
        <x:f aca="0">IFERROR(IF(AND(F51&lt;&gt;"",G51&lt;&gt;""),IF(G51&gt;F51,(G51-F51)*24,(1-(F51-G51))*24),""),"—")</x:f>
      </x:c>
      <x:c r="I51" s="36"/>
      <x:c r="J51" s="35"/>
      <x:c r="K51" s="35"/>
      <x:c r="L51" s="36"/>
      <x:c r="M51" s="139"/>
      <x:c r="N51" s="139" t="str">
        <x:f>IF(OR(H51="",M51=""),"",H51*M51)</x:f>
      </x:c>
      <x:c r="O51" t="e">
        <x:f>IF(COUNTIFS($B:$B,B51,$A:$A,"&gt;="&amp;A51-90,$A:$A,"&lt;="&amp;A51)&gt;=2,"Yes","No")</x:f>
      </x:c>
      <x:c r="P51" t="e">
        <x:f>IF(OR(H51&gt;=4,N51&gt;=50000,O51="Yes"),"Yes","No")</x:f>
      </x:c>
      <x:c r="Q51" t="e">
        <x:f>IF(P51="Yes",TEXTJOIN(", ",TRUE,IF(H51&gt;=4,"Downtime &gt;=4h",""),IF(N51&gt;=50000,"Cost &gt;=R99k",""),IF(O51="Yes","Repeat failure","")),"")</x:f>
      </x:c>
      <x:c r="S51" s="142"/>
    </x:row>
    <x:row r="52" ht="18" hidden="0" customHeight="1">
      <x:c r="B52" s="34"/>
      <x:c r="C52" s="35"/>
      <x:c r="D52" s="35"/>
      <x:c r="E52" s="36"/>
      <x:c r="F52" s="37"/>
      <x:c r="G52" s="37"/>
      <x:c r="H52" s="38" t="str">
        <x:f aca="0">IFERROR(IF(AND(F52&lt;&gt;"",G52&lt;&gt;""),IF(G52&gt;F52,(G52-F52)*24,(1-(F52-G52))*24),""),"—")</x:f>
      </x:c>
      <x:c r="I52" s="36"/>
      <x:c r="J52" s="35"/>
      <x:c r="K52" s="35"/>
      <x:c r="L52" s="36"/>
      <x:c r="M52" s="139"/>
      <x:c r="N52" s="139" t="str">
        <x:f>IF(OR(H52="",M52=""),"",H52*M52)</x:f>
      </x:c>
      <x:c r="O52" t="e">
        <x:f>IF(COUNTIFS($B:$B,B52,$A:$A,"&gt;="&amp;A52-90,$A:$A,"&lt;="&amp;A52)&gt;=2,"Yes","No")</x:f>
      </x:c>
      <x:c r="P52" t="e">
        <x:f>IF(OR(H52&gt;=4,N52&gt;=50000,O52="Yes"),"Yes","No")</x:f>
      </x:c>
      <x:c r="Q52" t="e">
        <x:f>IF(P52="Yes",TEXTJOIN(", ",TRUE,IF(H52&gt;=4,"Downtime &gt;=4h",""),IF(N52&gt;=50000,"Cost &gt;=R100k",""),IF(O52="Yes","Repeat failure","")),"")</x:f>
      </x:c>
      <x:c r="S52" s="142"/>
    </x:row>
    <x:row r="53" ht="18" hidden="0" customHeight="1">
      <x:c r="B53" s="34"/>
      <x:c r="C53" s="35"/>
      <x:c r="D53" s="35"/>
      <x:c r="E53" s="36"/>
      <x:c r="F53" s="37"/>
      <x:c r="G53" s="37"/>
      <x:c r="H53" s="38" t="str">
        <x:f aca="0">IFERROR(IF(AND(F53&lt;&gt;"",G53&lt;&gt;""),IF(G53&gt;F53,(G53-F53)*24,(1-(F53-G53))*24),""),"—")</x:f>
      </x:c>
      <x:c r="I53" s="36"/>
      <x:c r="J53" s="35"/>
      <x:c r="K53" s="35"/>
      <x:c r="L53" s="36"/>
      <x:c r="M53" s="139"/>
      <x:c r="N53" s="139" t="str">
        <x:f>IF(OR(H53="",M53=""),"",H53*M53)</x:f>
      </x:c>
      <x:c r="O53" t="e">
        <x:f>IF(COUNTIFS($B:$B,B53,$A:$A,"&gt;="&amp;A53-90,$A:$A,"&lt;="&amp;A53)&gt;=2,"Yes","No")</x:f>
      </x:c>
      <x:c r="P53" t="e">
        <x:f>IF(OR(H53&gt;=4,N53&gt;=50000,O53="Yes"),"Yes","No")</x:f>
      </x:c>
      <x:c r="Q53" t="e">
        <x:f>IF(P53="Yes",TEXTJOIN(", ",TRUE,IF(H53&gt;=4,"Downtime &gt;=4h",""),IF(N53&gt;=50000,"Cost &gt;=R101k",""),IF(O53="Yes","Repeat failure","")),"")</x:f>
      </x:c>
      <x:c r="S53" s="142"/>
    </x:row>
    <x:row r="54" ht="18" hidden="0" customHeight="1">
      <x:c r="B54" s="34"/>
      <x:c r="C54" s="35"/>
      <x:c r="D54" s="35"/>
      <x:c r="E54" s="36"/>
      <x:c r="F54" s="37"/>
      <x:c r="G54" s="37"/>
      <x:c r="H54" s="38" t="str">
        <x:f aca="0">IFERROR(IF(AND(F54&lt;&gt;"",G54&lt;&gt;""),IF(G54&gt;F54,(G54-F54)*24,(1-(F54-G54))*24),""),"—")</x:f>
      </x:c>
      <x:c r="I54" s="36"/>
      <x:c r="J54" s="35"/>
      <x:c r="K54" s="35"/>
      <x:c r="L54" s="36"/>
      <x:c r="M54" s="139"/>
      <x:c r="N54" s="139" t="str">
        <x:f>IF(OR(H54="",M54=""),"",H54*M54)</x:f>
      </x:c>
      <x:c r="O54" t="e">
        <x:f>IF(COUNTIFS($B:$B,B54,$A:$A,"&gt;="&amp;A54-90,$A:$A,"&lt;="&amp;A54)&gt;=2,"Yes","No")</x:f>
      </x:c>
      <x:c r="P54" t="e">
        <x:f>IF(OR(H54&gt;=4,N54&gt;=50000,O54="Yes"),"Yes","No")</x:f>
      </x:c>
      <x:c r="Q54" t="e">
        <x:f>IF(P54="Yes",TEXTJOIN(", ",TRUE,IF(H54&gt;=4,"Downtime &gt;=4h",""),IF(N54&gt;=50000,"Cost &gt;=R102k",""),IF(O54="Yes","Repeat failure","")),"")</x:f>
      </x:c>
      <x:c r="S54" s="142"/>
    </x:row>
    <x:row r="55" ht="18" hidden="0" customHeight="1">
      <x:c r="B55" s="34"/>
      <x:c r="C55" s="35"/>
      <x:c r="D55" s="35"/>
      <x:c r="E55" s="36"/>
      <x:c r="F55" s="37"/>
      <x:c r="G55" s="37"/>
      <x:c r="H55" s="38" t="str">
        <x:f aca="0">IFERROR(IF(AND(F55&lt;&gt;"",G55&lt;&gt;""),IF(G55&gt;F55,(G55-F55)*24,(1-(F55-G55))*24),""),"—")</x:f>
      </x:c>
      <x:c r="I55" s="36"/>
      <x:c r="J55" s="35"/>
      <x:c r="K55" s="35"/>
      <x:c r="L55" s="36"/>
      <x:c r="M55" s="139"/>
      <x:c r="N55" s="139" t="str">
        <x:f>IF(OR(H55="",M55=""),"",H55*M55)</x:f>
      </x:c>
      <x:c r="O55" t="e">
        <x:f>IF(COUNTIFS($B:$B,B55,$A:$A,"&gt;="&amp;A55-90,$A:$A,"&lt;="&amp;A55)&gt;=2,"Yes","No")</x:f>
      </x:c>
      <x:c r="P55" t="e">
        <x:f>IF(OR(H55&gt;=4,N55&gt;=50000,O55="Yes"),"Yes","No")</x:f>
      </x:c>
      <x:c r="Q55" t="e">
        <x:f>IF(P55="Yes",TEXTJOIN(", ",TRUE,IF(H55&gt;=4,"Downtime &gt;=4h",""),IF(N55&gt;=50000,"Cost &gt;=R103k",""),IF(O55="Yes","Repeat failure","")),"")</x:f>
      </x:c>
      <x:c r="S55" s="142"/>
    </x:row>
    <x:row r="56" ht="18" hidden="0" customHeight="1">
      <x:c r="B56" s="34"/>
      <x:c r="C56" s="35"/>
      <x:c r="D56" s="35"/>
      <x:c r="E56" s="36"/>
      <x:c r="F56" s="37"/>
      <x:c r="G56" s="37"/>
      <x:c r="H56" s="38" t="str">
        <x:f aca="0">IFERROR(IF(AND(F56&lt;&gt;"",G56&lt;&gt;""),IF(G56&gt;F56,(G56-F56)*24,(1-(F56-G56))*24),""),"—")</x:f>
      </x:c>
      <x:c r="I56" s="36"/>
      <x:c r="J56" s="35"/>
      <x:c r="K56" s="35"/>
      <x:c r="L56" s="36"/>
      <x:c r="M56" s="139"/>
      <x:c r="N56" s="139" t="str">
        <x:f>IF(OR(H56="",M56=""),"",H56*M56)</x:f>
      </x:c>
      <x:c r="O56" t="e">
        <x:f>IF(COUNTIFS($B:$B,B56,$A:$A,"&gt;="&amp;A56-90,$A:$A,"&lt;="&amp;A56)&gt;=2,"Yes","No")</x:f>
      </x:c>
      <x:c r="P56" t="e">
        <x:f>IF(OR(H56&gt;=4,N56&gt;=50000,O56="Yes"),"Yes","No")</x:f>
      </x:c>
      <x:c r="Q56" t="e">
        <x:f>IF(P56="Yes",TEXTJOIN(", ",TRUE,IF(H56&gt;=4,"Downtime &gt;=4h",""),IF(N56&gt;=50000,"Cost &gt;=R104k",""),IF(O56="Yes","Repeat failure","")),"")</x:f>
      </x:c>
      <x:c r="S56" s="142"/>
    </x:row>
    <x:row r="57" ht="18" hidden="0" customHeight="1">
      <x:c r="B57" s="34"/>
      <x:c r="C57" s="35"/>
      <x:c r="D57" s="35"/>
      <x:c r="E57" s="36"/>
      <x:c r="F57" s="37"/>
      <x:c r="G57" s="37"/>
      <x:c r="H57" s="38" t="str">
        <x:f aca="0">IFERROR(IF(AND(F57&lt;&gt;"",G57&lt;&gt;""),IF(G57&gt;F57,(G57-F57)*24,(1-(F57-G57))*24),""),"—")</x:f>
      </x:c>
      <x:c r="I57" s="36"/>
      <x:c r="J57" s="35"/>
      <x:c r="K57" s="35"/>
      <x:c r="L57" s="36"/>
      <x:c r="M57" s="139"/>
      <x:c r="N57" s="139" t="str">
        <x:f>IF(OR(H57="",M57=""),"",H57*M57)</x:f>
      </x:c>
      <x:c r="O57" t="e">
        <x:f>IF(COUNTIFS($B:$B,B57,$A:$A,"&gt;="&amp;A57-90,$A:$A,"&lt;="&amp;A57)&gt;=2,"Yes","No")</x:f>
      </x:c>
      <x:c r="P57" t="e">
        <x:f>IF(OR(H57&gt;=4,N57&gt;=50000,O57="Yes"),"Yes","No")</x:f>
      </x:c>
      <x:c r="Q57" t="e">
        <x:f>IF(P57="Yes",TEXTJOIN(", ",TRUE,IF(H57&gt;=4,"Downtime &gt;=4h",""),IF(N57&gt;=50000,"Cost &gt;=R105k",""),IF(O57="Yes","Repeat failure","")),"")</x:f>
      </x:c>
      <x:c r="S57" s="142"/>
    </x:row>
    <x:row r="58" ht="18" hidden="0" customHeight="1">
      <x:c r="B58" s="34"/>
      <x:c r="C58" s="35"/>
      <x:c r="D58" s="35"/>
      <x:c r="E58" s="36"/>
      <x:c r="F58" s="37"/>
      <x:c r="G58" s="37"/>
      <x:c r="H58" s="38" t="str">
        <x:f aca="0">IFERROR(IF(AND(F58&lt;&gt;"",G58&lt;&gt;""),IF(G58&gt;F58,(G58-F58)*24,(1-(F58-G58))*24),""),"—")</x:f>
      </x:c>
      <x:c r="I58" s="36"/>
      <x:c r="J58" s="35"/>
      <x:c r="K58" s="35"/>
      <x:c r="L58" s="36"/>
      <x:c r="M58" s="139"/>
      <x:c r="N58" s="139" t="str">
        <x:f>IF(OR(H58="",M58=""),"",H58*M58)</x:f>
      </x:c>
      <x:c r="O58" t="e">
        <x:f>IF(COUNTIFS($B:$B,B58,$A:$A,"&gt;="&amp;A58-90,$A:$A,"&lt;="&amp;A58)&gt;=2,"Yes","No")</x:f>
      </x:c>
      <x:c r="P58" t="e">
        <x:f>IF(OR(H58&gt;=4,N58&gt;=50000,O58="Yes"),"Yes","No")</x:f>
      </x:c>
      <x:c r="Q58" t="e">
        <x:f>IF(P58="Yes",TEXTJOIN(", ",TRUE,IF(H58&gt;=4,"Downtime &gt;=4h",""),IF(N58&gt;=50000,"Cost &gt;=R106k",""),IF(O58="Yes","Repeat failure","")),"")</x:f>
      </x:c>
      <x:c r="S58" s="142"/>
    </x:row>
    <x:row r="59" ht="18" hidden="0" customHeight="1">
      <x:c r="B59" s="34"/>
      <x:c r="C59" s="35"/>
      <x:c r="D59" s="35"/>
      <x:c r="E59" s="36"/>
      <x:c r="F59" s="37"/>
      <x:c r="G59" s="37"/>
      <x:c r="H59" s="38" t="str">
        <x:f aca="0">IFERROR(IF(AND(F59&lt;&gt;"",G59&lt;&gt;""),IF(G59&gt;F59,(G59-F59)*24,(1-(F59-G59))*24),""),"—")</x:f>
      </x:c>
      <x:c r="I59" s="36"/>
      <x:c r="J59" s="35"/>
      <x:c r="K59" s="35"/>
      <x:c r="L59" s="36"/>
      <x:c r="M59" s="139"/>
      <x:c r="N59" s="139" t="str">
        <x:f>IF(OR(H59="",M59=""),"",H59*M59)</x:f>
      </x:c>
      <x:c r="O59" t="e">
        <x:f>IF(COUNTIFS($B:$B,B59,$A:$A,"&gt;="&amp;A59-90,$A:$A,"&lt;="&amp;A59)&gt;=2,"Yes","No")</x:f>
      </x:c>
      <x:c r="P59" t="e">
        <x:f>IF(OR(H59&gt;=4,N59&gt;=50000,O59="Yes"),"Yes","No")</x:f>
      </x:c>
      <x:c r="Q59" t="e">
        <x:f>IF(P59="Yes",TEXTJOIN(", ",TRUE,IF(H59&gt;=4,"Downtime &gt;=4h",""),IF(N59&gt;=50000,"Cost &gt;=R107k",""),IF(O59="Yes","Repeat failure","")),"")</x:f>
      </x:c>
      <x:c r="S59" s="142"/>
    </x:row>
    <x:row r="60" ht="18" hidden="0" customHeight="1">
      <x:c r="B60" s="34"/>
      <x:c r="C60" s="35"/>
      <x:c r="D60" s="35"/>
      <x:c r="E60" s="36"/>
      <x:c r="F60" s="37"/>
      <x:c r="G60" s="37"/>
      <x:c r="H60" s="38" t="str">
        <x:f aca="0">IFERROR(IF(AND(F60&lt;&gt;"",G60&lt;&gt;""),IF(G60&gt;F60,(G60-F60)*24,(1-(F60-G60))*24),""),"—")</x:f>
      </x:c>
      <x:c r="I60" s="36"/>
      <x:c r="J60" s="35"/>
      <x:c r="K60" s="35"/>
      <x:c r="L60" s="36"/>
      <x:c r="M60" s="139"/>
      <x:c r="N60" s="139" t="str">
        <x:f>IF(OR(H60="",M60=""),"",H60*M60)</x:f>
      </x:c>
      <x:c r="O60" t="e">
        <x:f>IF(COUNTIFS($B:$B,B60,$A:$A,"&gt;="&amp;A60-90,$A:$A,"&lt;="&amp;A60)&gt;=2,"Yes","No")</x:f>
      </x:c>
      <x:c r="P60" t="e">
        <x:f>IF(OR(H60&gt;=4,N60&gt;=50000,O60="Yes"),"Yes","No")</x:f>
      </x:c>
      <x:c r="Q60" t="e">
        <x:f>IF(P60="Yes",TEXTJOIN(", ",TRUE,IF(H60&gt;=4,"Downtime &gt;=4h",""),IF(N60&gt;=50000,"Cost &gt;=R108k",""),IF(O60="Yes","Repeat failure","")),"")</x:f>
      </x:c>
      <x:c r="S60" s="142"/>
    </x:row>
    <x:row r="61" ht="18" hidden="0" customHeight="1">
      <x:c r="B61" s="34"/>
      <x:c r="C61" s="35"/>
      <x:c r="D61" s="35"/>
      <x:c r="E61" s="36"/>
      <x:c r="F61" s="37"/>
      <x:c r="G61" s="37"/>
      <x:c r="H61" s="38" t="str">
        <x:f aca="0">IFERROR(IF(AND(F61&lt;&gt;"",G61&lt;&gt;""),IF(G61&gt;F61,(G61-F61)*24,(1-(F61-G61))*24),""),"—")</x:f>
      </x:c>
      <x:c r="I61" s="36"/>
      <x:c r="J61" s="35"/>
      <x:c r="K61" s="35"/>
      <x:c r="L61" s="36"/>
      <x:c r="M61" s="139"/>
      <x:c r="N61" s="139" t="str">
        <x:f>IF(OR(H61="",M61=""),"",H61*M61)</x:f>
      </x:c>
      <x:c r="O61" t="e">
        <x:f>IF(COUNTIFS($B:$B,B61,$A:$A,"&gt;="&amp;A61-90,$A:$A,"&lt;="&amp;A61)&gt;=2,"Yes","No")</x:f>
      </x:c>
      <x:c r="P61" t="e">
        <x:f>IF(OR(H61&gt;=4,N61&gt;=50000,O61="Yes"),"Yes","No")</x:f>
      </x:c>
      <x:c r="Q61" t="e">
        <x:f>IF(P61="Yes",TEXTJOIN(", ",TRUE,IF(H61&gt;=4,"Downtime &gt;=4h",""),IF(N61&gt;=50000,"Cost &gt;=R109k",""),IF(O61="Yes","Repeat failure","")),"")</x:f>
      </x:c>
      <x:c r="S61" s="142"/>
    </x:row>
    <x:row r="62" ht="18" hidden="0" customHeight="1">
      <x:c r="B62" s="34"/>
      <x:c r="C62" s="35"/>
      <x:c r="D62" s="35"/>
      <x:c r="E62" s="36"/>
      <x:c r="F62" s="37"/>
      <x:c r="G62" s="37"/>
      <x:c r="H62" s="38" t="str">
        <x:f aca="0">IFERROR(IF(AND(F62&lt;&gt;"",G62&lt;&gt;""),IF(G62&gt;F62,(G62-F62)*24,(1-(F62-G62))*24),""),"—")</x:f>
      </x:c>
      <x:c r="I62" s="36"/>
      <x:c r="J62" s="35"/>
      <x:c r="K62" s="35"/>
      <x:c r="L62" s="36"/>
      <x:c r="M62" s="139"/>
      <x:c r="N62" s="139" t="str">
        <x:f>IF(OR(H62="",M62=""),"",H62*M62)</x:f>
      </x:c>
      <x:c r="O62" t="e">
        <x:f>IF(COUNTIFS($B:$B,B62,$A:$A,"&gt;="&amp;A62-90,$A:$A,"&lt;="&amp;A62)&gt;=2,"Yes","No")</x:f>
      </x:c>
      <x:c r="P62" t="e">
        <x:f>IF(OR(H62&gt;=4,N62&gt;=50000,O62="Yes"),"Yes","No")</x:f>
      </x:c>
      <x:c r="Q62" t="e">
        <x:f>IF(P62="Yes",TEXTJOIN(", ",TRUE,IF(H62&gt;=4,"Downtime &gt;=4h",""),IF(N62&gt;=50000,"Cost &gt;=R110k",""),IF(O62="Yes","Repeat failure","")),"")</x:f>
      </x:c>
      <x:c r="S62" s="142"/>
    </x:row>
    <x:row r="63" ht="18" hidden="0" customHeight="1">
      <x:c r="B63" s="34"/>
      <x:c r="C63" s="35"/>
      <x:c r="D63" s="35"/>
      <x:c r="E63" s="36"/>
      <x:c r="F63" s="37"/>
      <x:c r="G63" s="37"/>
      <x:c r="H63" s="38" t="str">
        <x:f aca="0">IFERROR(IF(AND(F63&lt;&gt;"",G63&lt;&gt;""),IF(G63&gt;F63,(G63-F63)*24,(1-(F63-G63))*24),""),"—")</x:f>
      </x:c>
      <x:c r="I63" s="36"/>
      <x:c r="J63" s="35"/>
      <x:c r="K63" s="35"/>
      <x:c r="L63" s="36"/>
      <x:c r="M63" s="139"/>
      <x:c r="N63" s="139" t="str">
        <x:f>IF(OR(H63="",M63=""),"",H63*M63)</x:f>
      </x:c>
      <x:c r="O63" t="e">
        <x:f>IF(COUNTIFS($B:$B,B63,$A:$A,"&gt;="&amp;A63-90,$A:$A,"&lt;="&amp;A63)&gt;=2,"Yes","No")</x:f>
      </x:c>
      <x:c r="P63" t="e">
        <x:f>IF(OR(H63&gt;=4,N63&gt;=50000,O63="Yes"),"Yes","No")</x:f>
      </x:c>
      <x:c r="Q63" t="e">
        <x:f>IF(P63="Yes",TEXTJOIN(", ",TRUE,IF(H63&gt;=4,"Downtime &gt;=4h",""),IF(N63&gt;=50000,"Cost &gt;=R111k",""),IF(O63="Yes","Repeat failure","")),"")</x:f>
      </x:c>
      <x:c r="S63" s="142"/>
    </x:row>
    <x:row r="64" ht="18" hidden="0" customHeight="1">
      <x:c r="B64" s="34"/>
      <x:c r="C64" s="35"/>
      <x:c r="D64" s="35"/>
      <x:c r="E64" s="36"/>
      <x:c r="F64" s="37"/>
      <x:c r="G64" s="37"/>
      <x:c r="H64" s="38" t="str">
        <x:f aca="0">IFERROR(IF(AND(F64&lt;&gt;"",G64&lt;&gt;""),IF(G64&gt;F64,(G64-F64)*24,(1-(F64-G64))*24),""),"—")</x:f>
      </x:c>
      <x:c r="I64" s="36"/>
      <x:c r="J64" s="35"/>
      <x:c r="K64" s="35"/>
      <x:c r="L64" s="36"/>
      <x:c r="M64" s="139"/>
      <x:c r="N64" s="139" t="str">
        <x:f>IF(OR(H64="",M64=""),"",H64*M64)</x:f>
      </x:c>
      <x:c r="O64" t="e">
        <x:f>IF(COUNTIFS($B:$B,B64,$A:$A,"&gt;="&amp;A64-90,$A:$A,"&lt;="&amp;A64)&gt;=2,"Yes","No")</x:f>
      </x:c>
      <x:c r="P64" t="e">
        <x:f>IF(OR(H64&gt;=4,N64&gt;=50000,O64="Yes"),"Yes","No")</x:f>
      </x:c>
      <x:c r="Q64" t="e">
        <x:f>IF(P64="Yes",TEXTJOIN(", ",TRUE,IF(H64&gt;=4,"Downtime &gt;=4h",""),IF(N64&gt;=50000,"Cost &gt;=R112k",""),IF(O64="Yes","Repeat failure","")),"")</x:f>
      </x:c>
      <x:c r="S64" s="142"/>
    </x:row>
    <x:row r="65" ht="18" hidden="0" customHeight="1">
      <x:c r="B65" s="34"/>
      <x:c r="C65" s="35"/>
      <x:c r="D65" s="35"/>
      <x:c r="E65" s="36"/>
      <x:c r="F65" s="37"/>
      <x:c r="G65" s="37"/>
      <x:c r="H65" s="38" t="str">
        <x:f aca="0">IFERROR(IF(AND(F65&lt;&gt;"",G65&lt;&gt;""),IF(G65&gt;F65,(G65-F65)*24,(1-(F65-G65))*24),""),"—")</x:f>
      </x:c>
      <x:c r="I65" s="36"/>
      <x:c r="J65" s="35"/>
      <x:c r="K65" s="35"/>
      <x:c r="L65" s="36"/>
      <x:c r="M65" s="139"/>
      <x:c r="N65" s="139" t="str">
        <x:f>IF(OR(H65="",M65=""),"",H65*M65)</x:f>
      </x:c>
      <x:c r="O65" t="e">
        <x:f>IF(COUNTIFS($B:$B,B65,$A:$A,"&gt;="&amp;A65-90,$A:$A,"&lt;="&amp;A65)&gt;=2,"Yes","No")</x:f>
      </x:c>
      <x:c r="P65" t="e">
        <x:f>IF(OR(H65&gt;=4,N65&gt;=50000,O65="Yes"),"Yes","No")</x:f>
      </x:c>
      <x:c r="Q65" t="e">
        <x:f>IF(P65="Yes",TEXTJOIN(", ",TRUE,IF(H65&gt;=4,"Downtime &gt;=4h",""),IF(N65&gt;=50000,"Cost &gt;=R113k",""),IF(O65="Yes","Repeat failure","")),"")</x:f>
      </x:c>
      <x:c r="S65" s="142"/>
    </x:row>
    <x:row r="66" ht="18" hidden="0" customHeight="1">
      <x:c r="B66" s="34"/>
      <x:c r="C66" s="35"/>
      <x:c r="D66" s="35"/>
      <x:c r="E66" s="36"/>
      <x:c r="F66" s="37"/>
      <x:c r="G66" s="37"/>
      <x:c r="H66" s="38" t="str">
        <x:f aca="0">IFERROR(IF(AND(F66&lt;&gt;"",G66&lt;&gt;""),IF(G66&gt;F66,(G66-F66)*24,(1-(F66-G66))*24),""),"—")</x:f>
      </x:c>
      <x:c r="I66" s="36"/>
      <x:c r="J66" s="35"/>
      <x:c r="K66" s="35"/>
      <x:c r="L66" s="36"/>
      <x:c r="M66" s="139"/>
      <x:c r="N66" s="139" t="str">
        <x:f>IF(OR(H66="",M66=""),"",H66*M66)</x:f>
      </x:c>
      <x:c r="O66" t="e">
        <x:f>IF(COUNTIFS($B:$B,B66,$A:$A,"&gt;="&amp;A66-90,$A:$A,"&lt;="&amp;A66)&gt;=2,"Yes","No")</x:f>
      </x:c>
      <x:c r="P66" t="e">
        <x:f>IF(OR(H66&gt;=4,N66&gt;=50000,O66="Yes"),"Yes","No")</x:f>
      </x:c>
      <x:c r="Q66" t="e">
        <x:f>IF(P66="Yes",TEXTJOIN(", ",TRUE,IF(H66&gt;=4,"Downtime &gt;=4h",""),IF(N66&gt;=50000,"Cost &gt;=R114k",""),IF(O66="Yes","Repeat failure","")),"")</x:f>
      </x:c>
      <x:c r="S66" s="142"/>
    </x:row>
    <x:row r="67" ht="18" hidden="0" customHeight="1">
      <x:c r="B67" s="34"/>
      <x:c r="C67" s="35"/>
      <x:c r="D67" s="35"/>
      <x:c r="E67" s="36"/>
      <x:c r="F67" s="37"/>
      <x:c r="G67" s="37"/>
      <x:c r="H67" s="38" t="str">
        <x:f aca="0">IFERROR(IF(AND(F67&lt;&gt;"",G67&lt;&gt;""),IF(G67&gt;F67,(G67-F67)*24,(1-(F67-G67))*24),""),"—")</x:f>
      </x:c>
      <x:c r="I67" s="36"/>
      <x:c r="J67" s="35"/>
      <x:c r="K67" s="35"/>
      <x:c r="L67" s="36"/>
      <x:c r="M67" s="139"/>
      <x:c r="N67" s="139" t="str">
        <x:f>IF(OR(H67="",M67=""),"",H67*M67)</x:f>
      </x:c>
      <x:c r="O67" t="e">
        <x:f>IF(COUNTIFS($B:$B,B67,$A:$A,"&gt;="&amp;A67-90,$A:$A,"&lt;="&amp;A67)&gt;=2,"Yes","No")</x:f>
      </x:c>
      <x:c r="P67" t="e">
        <x:f>IF(OR(H67&gt;=4,N67&gt;=50000,O67="Yes"),"Yes","No")</x:f>
      </x:c>
      <x:c r="Q67" t="e">
        <x:f>IF(P67="Yes",TEXTJOIN(", ",TRUE,IF(H67&gt;=4,"Downtime &gt;=4h",""),IF(N67&gt;=50000,"Cost &gt;=R115k",""),IF(O67="Yes","Repeat failure","")),"")</x:f>
      </x:c>
      <x:c r="S67" s="142"/>
    </x:row>
    <x:row r="68" ht="18" hidden="0" customHeight="1">
      <x:c r="B68" s="34"/>
      <x:c r="C68" s="35"/>
      <x:c r="D68" s="35"/>
      <x:c r="E68" s="36"/>
      <x:c r="F68" s="37"/>
      <x:c r="G68" s="37"/>
      <x:c r="H68" s="38" t="str">
        <x:f aca="0">IFERROR(IF(AND(F68&lt;&gt;"",G68&lt;&gt;""),IF(G68&gt;F68,(G68-F68)*24,(1-(F68-G68))*24),""),"—")</x:f>
      </x:c>
      <x:c r="I68" s="36"/>
      <x:c r="J68" s="35"/>
      <x:c r="K68" s="35"/>
      <x:c r="L68" s="36"/>
      <x:c r="M68" s="139"/>
      <x:c r="N68" s="139" t="str">
        <x:f>IF(OR(H68="",M68=""),"",H68*M68)</x:f>
      </x:c>
      <x:c r="O68" t="e">
        <x:f>IF(COUNTIFS($B:$B,B68,$A:$A,"&gt;="&amp;A68-90,$A:$A,"&lt;="&amp;A68)&gt;=2,"Yes","No")</x:f>
      </x:c>
      <x:c r="P68" t="e">
        <x:f>IF(OR(H68&gt;=4,N68&gt;=50000,O68="Yes"),"Yes","No")</x:f>
      </x:c>
      <x:c r="Q68" t="e">
        <x:f>IF(P68="Yes",TEXTJOIN(", ",TRUE,IF(H68&gt;=4,"Downtime &gt;=4h",""),IF(N68&gt;=50000,"Cost &gt;=R116k",""),IF(O68="Yes","Repeat failure","")),"")</x:f>
      </x:c>
      <x:c r="S68" s="142"/>
    </x:row>
    <x:row r="69" ht="18" hidden="0" customHeight="1">
      <x:c r="B69" s="34"/>
      <x:c r="C69" s="35"/>
      <x:c r="D69" s="35"/>
      <x:c r="E69" s="36"/>
      <x:c r="F69" s="37"/>
      <x:c r="G69" s="37"/>
      <x:c r="H69" s="38" t="str">
        <x:f aca="0">IFERROR(IF(AND(F69&lt;&gt;"",G69&lt;&gt;""),IF(G69&gt;F69,(G69-F69)*24,(1-(F69-G69))*24),""),"—")</x:f>
      </x:c>
      <x:c r="I69" s="36"/>
      <x:c r="J69" s="35"/>
      <x:c r="K69" s="35"/>
      <x:c r="L69" s="36"/>
      <x:c r="M69" s="139"/>
      <x:c r="N69" s="139" t="str">
        <x:f>IF(OR(H69="",M69=""),"",H69*M69)</x:f>
      </x:c>
      <x:c r="O69" t="e">
        <x:f>IF(COUNTIFS($B:$B,B69,$A:$A,"&gt;="&amp;A69-90,$A:$A,"&lt;="&amp;A69)&gt;=2,"Yes","No")</x:f>
      </x:c>
      <x:c r="P69" t="e">
        <x:f>IF(OR(H69&gt;=4,N69&gt;=50000,O69="Yes"),"Yes","No")</x:f>
      </x:c>
      <x:c r="Q69" t="e">
        <x:f>IF(P69="Yes",TEXTJOIN(", ",TRUE,IF(H69&gt;=4,"Downtime &gt;=4h",""),IF(N69&gt;=50000,"Cost &gt;=R117k",""),IF(O69="Yes","Repeat failure","")),"")</x:f>
      </x:c>
      <x:c r="S69" s="142"/>
    </x:row>
    <x:row r="70" ht="18" hidden="0" customHeight="1">
      <x:c r="B70" s="34"/>
      <x:c r="C70" s="35"/>
      <x:c r="D70" s="35"/>
      <x:c r="E70" s="36"/>
      <x:c r="F70" s="37"/>
      <x:c r="G70" s="37"/>
      <x:c r="H70" s="38" t="str">
        <x:f aca="0">IFERROR(IF(AND(F70&lt;&gt;"",G70&lt;&gt;""),IF(G70&gt;F70,(G70-F70)*24,(1-(F70-G70))*24),""),"—")</x:f>
      </x:c>
      <x:c r="I70" s="36"/>
      <x:c r="J70" s="35"/>
      <x:c r="K70" s="35"/>
      <x:c r="L70" s="36"/>
      <x:c r="M70" s="139"/>
      <x:c r="N70" s="139" t="str">
        <x:f>IF(OR(H70="",M70=""),"",H70*M70)</x:f>
      </x:c>
      <x:c r="O70" t="e">
        <x:f>IF(COUNTIFS($B:$B,B70,$A:$A,"&gt;="&amp;A70-90,$A:$A,"&lt;="&amp;A70)&gt;=2,"Yes","No")</x:f>
      </x:c>
      <x:c r="P70" t="e">
        <x:f>IF(OR(H70&gt;=4,N70&gt;=50000,O70="Yes"),"Yes","No")</x:f>
      </x:c>
      <x:c r="Q70" t="e">
        <x:f>IF(P70="Yes",TEXTJOIN(", ",TRUE,IF(H70&gt;=4,"Downtime &gt;=4h",""),IF(N70&gt;=50000,"Cost &gt;=R118k",""),IF(O70="Yes","Repeat failure","")),"")</x:f>
      </x:c>
      <x:c r="S70" s="142"/>
    </x:row>
    <x:row r="71" ht="18" hidden="0" customHeight="1">
      <x:c r="B71" s="34"/>
      <x:c r="C71" s="35"/>
      <x:c r="D71" s="35"/>
      <x:c r="E71" s="36"/>
      <x:c r="F71" s="37"/>
      <x:c r="G71" s="37"/>
      <x:c r="H71" s="38" t="str">
        <x:f aca="0">IFERROR(IF(AND(F71&lt;&gt;"",G71&lt;&gt;""),IF(G71&gt;F71,(G71-F71)*24,(1-(F71-G71))*24),""),"—")</x:f>
      </x:c>
      <x:c r="I71" s="36"/>
      <x:c r="J71" s="35"/>
      <x:c r="K71" s="35"/>
      <x:c r="L71" s="36"/>
      <x:c r="M71" s="139"/>
      <x:c r="N71" s="139" t="str">
        <x:f>IF(OR(H71="",M71=""),"",H71*M71)</x:f>
      </x:c>
      <x:c r="O71" t="e">
        <x:f>IF(COUNTIFS($B:$B,B71,$A:$A,"&gt;="&amp;A71-90,$A:$A,"&lt;="&amp;A71)&gt;=2,"Yes","No")</x:f>
      </x:c>
      <x:c r="P71" t="e">
        <x:f>IF(OR(H71&gt;=4,N71&gt;=50000,O71="Yes"),"Yes","No")</x:f>
      </x:c>
      <x:c r="Q71" t="e">
        <x:f>IF(P71="Yes",TEXTJOIN(", ",TRUE,IF(H71&gt;=4,"Downtime &gt;=4h",""),IF(N71&gt;=50000,"Cost &gt;=R119k",""),IF(O71="Yes","Repeat failure","")),"")</x:f>
      </x:c>
      <x:c r="S71" s="142"/>
    </x:row>
    <x:row r="72" ht="18" hidden="0" customHeight="1">
      <x:c r="B72" s="34"/>
      <x:c r="C72" s="35"/>
      <x:c r="D72" s="35"/>
      <x:c r="E72" s="36"/>
      <x:c r="F72" s="37"/>
      <x:c r="G72" s="37"/>
      <x:c r="H72" s="38" t="str">
        <x:f aca="0">IFERROR(IF(AND(F72&lt;&gt;"",G72&lt;&gt;""),IF(G72&gt;F72,(G72-F72)*24,(1-(F72-G72))*24),""),"—")</x:f>
      </x:c>
      <x:c r="I72" s="36"/>
      <x:c r="J72" s="35"/>
      <x:c r="K72" s="35"/>
      <x:c r="L72" s="36"/>
      <x:c r="M72" s="139"/>
      <x:c r="N72" s="139" t="str">
        <x:f>IF(OR(H72="",M72=""),"",H72*M72)</x:f>
      </x:c>
      <x:c r="O72" t="e">
        <x:f>IF(COUNTIFS($B:$B,B72,$A:$A,"&gt;="&amp;A72-90,$A:$A,"&lt;="&amp;A72)&gt;=2,"Yes","No")</x:f>
      </x:c>
      <x:c r="P72" t="e">
        <x:f>IF(OR(H72&gt;=4,N72&gt;=50000,O72="Yes"),"Yes","No")</x:f>
      </x:c>
      <x:c r="Q72" t="e">
        <x:f>IF(P72="Yes",TEXTJOIN(", ",TRUE,IF(H72&gt;=4,"Downtime &gt;=4h",""),IF(N72&gt;=50000,"Cost &gt;=R120k",""),IF(O72="Yes","Repeat failure","")),"")</x:f>
      </x:c>
      <x:c r="S72" s="142"/>
    </x:row>
    <x:row r="73" ht="18" hidden="0" customHeight="1">
      <x:c r="B73" s="34"/>
      <x:c r="C73" s="35"/>
      <x:c r="D73" s="35"/>
      <x:c r="E73" s="36"/>
      <x:c r="F73" s="37"/>
      <x:c r="G73" s="37"/>
      <x:c r="H73" s="38" t="str">
        <x:f aca="0">IFERROR(IF(AND(F73&lt;&gt;"",G73&lt;&gt;""),IF(G73&gt;F73,(G73-F73)*24,(1-(F73-G73))*24),""),"—")</x:f>
      </x:c>
      <x:c r="I73" s="36"/>
      <x:c r="J73" s="35"/>
      <x:c r="K73" s="35"/>
      <x:c r="L73" s="36"/>
      <x:c r="M73" s="139"/>
      <x:c r="N73" s="139" t="str">
        <x:f>IF(OR(H73="",M73=""),"",H73*M73)</x:f>
      </x:c>
      <x:c r="O73" t="e">
        <x:f>IF(COUNTIFS($B:$B,B73,$A:$A,"&gt;="&amp;A73-90,$A:$A,"&lt;="&amp;A73)&gt;=2,"Yes","No")</x:f>
      </x:c>
      <x:c r="P73" t="e">
        <x:f>IF(OR(H73&gt;=4,N73&gt;=50000,O73="Yes"),"Yes","No")</x:f>
      </x:c>
      <x:c r="Q73" t="e">
        <x:f>IF(P73="Yes",TEXTJOIN(", ",TRUE,IF(H73&gt;=4,"Downtime &gt;=4h",""),IF(N73&gt;=50000,"Cost &gt;=R121k",""),IF(O73="Yes","Repeat failure","")),"")</x:f>
      </x:c>
      <x:c r="S73" s="142"/>
    </x:row>
    <x:row r="74" ht="18" hidden="0" customHeight="1">
      <x:c r="B74" s="34"/>
      <x:c r="C74" s="35"/>
      <x:c r="D74" s="35"/>
      <x:c r="E74" s="36"/>
      <x:c r="F74" s="37"/>
      <x:c r="G74" s="37"/>
      <x:c r="H74" s="38" t="str">
        <x:f aca="0">IFERROR(IF(AND(F74&lt;&gt;"",G74&lt;&gt;""),IF(G74&gt;F74,(G74-F74)*24,(1-(F74-G74))*24),""),"—")</x:f>
      </x:c>
      <x:c r="I74" s="36"/>
      <x:c r="J74" s="35"/>
      <x:c r="K74" s="35"/>
      <x:c r="L74" s="36"/>
      <x:c r="M74" s="139"/>
      <x:c r="N74" s="139" t="str">
        <x:f>IF(OR(H74="",M74=""),"",H74*M74)</x:f>
      </x:c>
      <x:c r="O74" t="e">
        <x:f>IF(COUNTIFS($B:$B,B74,$A:$A,"&gt;="&amp;A74-90,$A:$A,"&lt;="&amp;A74)&gt;=2,"Yes","No")</x:f>
      </x:c>
      <x:c r="P74" t="e">
        <x:f>IF(OR(H74&gt;=4,N74&gt;=50000,O74="Yes"),"Yes","No")</x:f>
      </x:c>
      <x:c r="Q74" t="e">
        <x:f>IF(P74="Yes",TEXTJOIN(", ",TRUE,IF(H74&gt;=4,"Downtime &gt;=4h",""),IF(N74&gt;=50000,"Cost &gt;=R122k",""),IF(O74="Yes","Repeat failure","")),"")</x:f>
      </x:c>
      <x:c r="S74" s="142"/>
    </x:row>
    <x:row r="75" ht="18" hidden="0" customHeight="1">
      <x:c r="B75" s="34"/>
      <x:c r="C75" s="35"/>
      <x:c r="D75" s="35"/>
      <x:c r="E75" s="36"/>
      <x:c r="F75" s="37"/>
      <x:c r="G75" s="37"/>
      <x:c r="H75" s="38" t="str">
        <x:f aca="0">IFERROR(IF(AND(F75&lt;&gt;"",G75&lt;&gt;""),IF(G75&gt;F75,(G75-F75)*24,(1-(F75-G75))*24),""),"—")</x:f>
      </x:c>
      <x:c r="I75" s="36"/>
      <x:c r="J75" s="35"/>
      <x:c r="K75" s="35"/>
      <x:c r="L75" s="36"/>
      <x:c r="M75" s="139"/>
      <x:c r="N75" s="139" t="str">
        <x:f>IF(OR(H75="",M75=""),"",H75*M75)</x:f>
      </x:c>
      <x:c r="O75" t="e">
        <x:f>IF(COUNTIFS($B:$B,B75,$A:$A,"&gt;="&amp;A75-90,$A:$A,"&lt;="&amp;A75)&gt;=2,"Yes","No")</x:f>
      </x:c>
      <x:c r="P75" t="e">
        <x:f>IF(OR(H75&gt;=4,N75&gt;=50000,O75="Yes"),"Yes","No")</x:f>
      </x:c>
      <x:c r="Q75" t="e">
        <x:f>IF(P75="Yes",TEXTJOIN(", ",TRUE,IF(H75&gt;=4,"Downtime &gt;=4h",""),IF(N75&gt;=50000,"Cost &gt;=R123k",""),IF(O75="Yes","Repeat failure","")),"")</x:f>
      </x:c>
      <x:c r="S75" s="142"/>
    </x:row>
    <x:row r="76" ht="18" hidden="0" customHeight="1">
      <x:c r="B76" s="34"/>
      <x:c r="C76" s="35"/>
      <x:c r="D76" s="35"/>
      <x:c r="E76" s="36"/>
      <x:c r="F76" s="37"/>
      <x:c r="G76" s="37"/>
      <x:c r="H76" s="38" t="str">
        <x:f aca="0">IFERROR(IF(AND(F76&lt;&gt;"",G76&lt;&gt;""),IF(G76&gt;F76,(G76-F76)*24,(1-(F76-G76))*24),""),"—")</x:f>
      </x:c>
      <x:c r="I76" s="36"/>
      <x:c r="J76" s="35"/>
      <x:c r="K76" s="35"/>
      <x:c r="L76" s="36"/>
      <x:c r="M76" s="139"/>
      <x:c r="N76" s="139" t="str">
        <x:f>IF(OR(H76="",M76=""),"",H76*M76)</x:f>
      </x:c>
      <x:c r="O76" t="e">
        <x:f>IF(COUNTIFS($B:$B,B76,$A:$A,"&gt;="&amp;A76-90,$A:$A,"&lt;="&amp;A76)&gt;=2,"Yes","No")</x:f>
      </x:c>
      <x:c r="P76" t="e">
        <x:f>IF(OR(H76&gt;=4,N76&gt;=50000,O76="Yes"),"Yes","No")</x:f>
      </x:c>
      <x:c r="Q76" t="e">
        <x:f>IF(P76="Yes",TEXTJOIN(", ",TRUE,IF(H76&gt;=4,"Downtime &gt;=4h",""),IF(N76&gt;=50000,"Cost &gt;=R124k",""),IF(O76="Yes","Repeat failure","")),"")</x:f>
      </x:c>
      <x:c r="S76" s="142"/>
    </x:row>
    <x:row r="77" ht="18" hidden="0" customHeight="1">
      <x:c r="B77" s="34"/>
      <x:c r="C77" s="35"/>
      <x:c r="D77" s="35"/>
      <x:c r="E77" s="36"/>
      <x:c r="F77" s="37"/>
      <x:c r="G77" s="37"/>
      <x:c r="H77" s="38" t="str">
        <x:f aca="0">IFERROR(IF(AND(F77&lt;&gt;"",G77&lt;&gt;""),IF(G77&gt;F77,(G77-F77)*24,(1-(F77-G77))*24),""),"—")</x:f>
      </x:c>
      <x:c r="I77" s="36"/>
      <x:c r="J77" s="35"/>
      <x:c r="K77" s="35"/>
      <x:c r="L77" s="36"/>
      <x:c r="M77" s="139"/>
      <x:c r="N77" s="139" t="str">
        <x:f>IF(OR(H77="",M77=""),"",H77*M77)</x:f>
      </x:c>
      <x:c r="O77" t="e">
        <x:f>IF(COUNTIFS($B:$B,B77,$A:$A,"&gt;="&amp;A77-90,$A:$A,"&lt;="&amp;A77)&gt;=2,"Yes","No")</x:f>
      </x:c>
      <x:c r="P77" t="e">
        <x:f>IF(OR(H77&gt;=4,N77&gt;=50000,O77="Yes"),"Yes","No")</x:f>
      </x:c>
      <x:c r="Q77" t="e">
        <x:f>IF(P77="Yes",TEXTJOIN(", ",TRUE,IF(H77&gt;=4,"Downtime &gt;=4h",""),IF(N77&gt;=50000,"Cost &gt;=R125k",""),IF(O77="Yes","Repeat failure","")),"")</x:f>
      </x:c>
      <x:c r="S77" s="142"/>
    </x:row>
    <x:row r="78" ht="18" hidden="0" customHeight="1">
      <x:c r="B78" s="34"/>
      <x:c r="C78" s="35"/>
      <x:c r="D78" s="35"/>
      <x:c r="E78" s="36"/>
      <x:c r="F78" s="37"/>
      <x:c r="G78" s="37"/>
      <x:c r="H78" s="38" t="str">
        <x:f aca="0">IFERROR(IF(AND(F78&lt;&gt;"",G78&lt;&gt;""),IF(G78&gt;F78,(G78-F78)*24,(1-(F78-G78))*24),""),"—")</x:f>
      </x:c>
      <x:c r="I78" s="36"/>
      <x:c r="J78" s="35"/>
      <x:c r="K78" s="35"/>
      <x:c r="L78" s="36"/>
      <x:c r="M78" s="139"/>
      <x:c r="N78" s="139" t="str">
        <x:f>IF(OR(H78="",M78=""),"",H78*M78)</x:f>
      </x:c>
      <x:c r="O78" t="e">
        <x:f>IF(COUNTIFS($B:$B,B78,$A:$A,"&gt;="&amp;A78-90,$A:$A,"&lt;="&amp;A78)&gt;=2,"Yes","No")</x:f>
      </x:c>
      <x:c r="P78" t="e">
        <x:f>IF(OR(H78&gt;=4,N78&gt;=50000,O78="Yes"),"Yes","No")</x:f>
      </x:c>
      <x:c r="Q78" t="e">
        <x:f>IF(P78="Yes",TEXTJOIN(", ",TRUE,IF(H78&gt;=4,"Downtime &gt;=4h",""),IF(N78&gt;=50000,"Cost &gt;=R126k",""),IF(O78="Yes","Repeat failure","")),"")</x:f>
      </x:c>
      <x:c r="S78" s="142"/>
    </x:row>
    <x:row r="79" ht="18" hidden="0" customHeight="1">
      <x:c r="B79" s="34"/>
      <x:c r="C79" s="35"/>
      <x:c r="D79" s="35"/>
      <x:c r="E79" s="36"/>
      <x:c r="F79" s="37"/>
      <x:c r="G79" s="37"/>
      <x:c r="H79" s="38" t="str">
        <x:f aca="0">IFERROR(IF(AND(F79&lt;&gt;"",G79&lt;&gt;""),IF(G79&gt;F79,(G79-F79)*24,(1-(F79-G79))*24),""),"—")</x:f>
      </x:c>
      <x:c r="I79" s="36"/>
      <x:c r="J79" s="35"/>
      <x:c r="K79" s="35"/>
      <x:c r="L79" s="36"/>
      <x:c r="M79" s="139"/>
      <x:c r="N79" s="139" t="str">
        <x:f>IF(OR(H79="",M79=""),"",H79*M79)</x:f>
      </x:c>
      <x:c r="O79" t="e">
        <x:f>IF(COUNTIFS($B:$B,B79,$A:$A,"&gt;="&amp;A79-90,$A:$A,"&lt;="&amp;A79)&gt;=2,"Yes","No")</x:f>
      </x:c>
      <x:c r="P79" t="e">
        <x:f>IF(OR(H79&gt;=4,N79&gt;=50000,O79="Yes"),"Yes","No")</x:f>
      </x:c>
      <x:c r="Q79" t="e">
        <x:f>IF(P79="Yes",TEXTJOIN(", ",TRUE,IF(H79&gt;=4,"Downtime &gt;=4h",""),IF(N79&gt;=50000,"Cost &gt;=R127k",""),IF(O79="Yes","Repeat failure","")),"")</x:f>
      </x:c>
      <x:c r="S79" s="142"/>
    </x:row>
    <x:row r="80" ht="18" hidden="0" customHeight="1">
      <x:c r="B80" s="34"/>
      <x:c r="C80" s="35"/>
      <x:c r="D80" s="35"/>
      <x:c r="E80" s="36"/>
      <x:c r="F80" s="37"/>
      <x:c r="G80" s="37"/>
      <x:c r="H80" s="38" t="str">
        <x:f aca="0">IFERROR(IF(AND(F80&lt;&gt;"",G80&lt;&gt;""),IF(G80&gt;F80,(G80-F80)*24,(1-(F80-G80))*24),""),"—")</x:f>
      </x:c>
      <x:c r="I80" s="36"/>
      <x:c r="J80" s="35"/>
      <x:c r="K80" s="35"/>
      <x:c r="L80" s="36"/>
      <x:c r="M80" s="139"/>
      <x:c r="N80" s="139" t="str">
        <x:f>IF(OR(H80="",M80=""),"",H80*M80)</x:f>
      </x:c>
      <x:c r="O80" t="e">
        <x:f>IF(COUNTIFS($B:$B,B80,$A:$A,"&gt;="&amp;A80-90,$A:$A,"&lt;="&amp;A80)&gt;=2,"Yes","No")</x:f>
      </x:c>
      <x:c r="P80" t="e">
        <x:f>IF(OR(H80&gt;=4,N80&gt;=50000,O80="Yes"),"Yes","No")</x:f>
      </x:c>
      <x:c r="Q80" t="e">
        <x:f>IF(P80="Yes",TEXTJOIN(", ",TRUE,IF(H80&gt;=4,"Downtime &gt;=4h",""),IF(N80&gt;=50000,"Cost &gt;=R128k",""),IF(O80="Yes","Repeat failure","")),"")</x:f>
      </x:c>
      <x:c r="S80" s="142"/>
    </x:row>
    <x:row r="81" ht="18" hidden="0" customHeight="1">
      <x:c r="B81" s="34"/>
      <x:c r="C81" s="35"/>
      <x:c r="D81" s="35"/>
      <x:c r="E81" s="36"/>
      <x:c r="F81" s="37"/>
      <x:c r="G81" s="37"/>
      <x:c r="H81" s="38" t="str">
        <x:f aca="0">IFERROR(IF(AND(F81&lt;&gt;"",G81&lt;&gt;""),IF(G81&gt;F81,(G81-F81)*24,(1-(F81-G81))*24),""),"—")</x:f>
      </x:c>
      <x:c r="I81" s="36"/>
      <x:c r="J81" s="35"/>
      <x:c r="K81" s="35"/>
      <x:c r="L81" s="36"/>
      <x:c r="M81" s="139"/>
      <x:c r="N81" s="139" t="str">
        <x:f>IF(OR(H81="",M81=""),"",H81*M81)</x:f>
      </x:c>
      <x:c r="O81" t="e">
        <x:f>IF(COUNTIFS($B:$B,B81,$A:$A,"&gt;="&amp;A81-90,$A:$A,"&lt;="&amp;A81)&gt;=2,"Yes","No")</x:f>
      </x:c>
      <x:c r="P81" t="e">
        <x:f>IF(OR(H81&gt;=4,N81&gt;=50000,O81="Yes"),"Yes","No")</x:f>
      </x:c>
      <x:c r="Q81" t="e">
        <x:f>IF(P81="Yes",TEXTJOIN(", ",TRUE,IF(H81&gt;=4,"Downtime &gt;=4h",""),IF(N81&gt;=50000,"Cost &gt;=R129k",""),IF(O81="Yes","Repeat failure","")),"")</x:f>
      </x:c>
      <x:c r="S81" s="142"/>
    </x:row>
    <x:row r="82" ht="18" hidden="0" customHeight="1">
      <x:c r="B82" s="34"/>
      <x:c r="C82" s="35"/>
      <x:c r="D82" s="35"/>
      <x:c r="E82" s="36"/>
      <x:c r="F82" s="37"/>
      <x:c r="G82" s="37"/>
      <x:c r="H82" s="38" t="str">
        <x:f aca="0">IFERROR(IF(AND(F82&lt;&gt;"",G82&lt;&gt;""),IF(G82&gt;F82,(G82-F82)*24,(1-(F82-G82))*24),""),"—")</x:f>
      </x:c>
      <x:c r="I82" s="36"/>
      <x:c r="J82" s="35"/>
      <x:c r="K82" s="35"/>
      <x:c r="L82" s="36"/>
      <x:c r="M82" s="139"/>
      <x:c r="N82" s="139" t="str">
        <x:f>IF(OR(H82="",M82=""),"",H82*M82)</x:f>
      </x:c>
      <x:c r="O82" t="e">
        <x:f>IF(COUNTIFS($B:$B,B82,$A:$A,"&gt;="&amp;A82-90,$A:$A,"&lt;="&amp;A82)&gt;=2,"Yes","No")</x:f>
      </x:c>
      <x:c r="P82" t="e">
        <x:f>IF(OR(H82&gt;=4,N82&gt;=50000,O82="Yes"),"Yes","No")</x:f>
      </x:c>
      <x:c r="Q82" t="e">
        <x:f>IF(P82="Yes",TEXTJOIN(", ",TRUE,IF(H82&gt;=4,"Downtime &gt;=4h",""),IF(N82&gt;=50000,"Cost &gt;=R130k",""),IF(O82="Yes","Repeat failure","")),"")</x:f>
      </x:c>
      <x:c r="S82" s="142"/>
    </x:row>
    <x:row r="83" ht="18" hidden="0" customHeight="1">
      <x:c r="B83" s="34"/>
      <x:c r="C83" s="35"/>
      <x:c r="D83" s="35"/>
      <x:c r="E83" s="36"/>
      <x:c r="F83" s="37"/>
      <x:c r="G83" s="37"/>
      <x:c r="H83" s="38" t="str">
        <x:f aca="0">IFERROR(IF(AND(F83&lt;&gt;"",G83&lt;&gt;""),IF(G83&gt;F83,(G83-F83)*24,(1-(F83-G83))*24),""),"—")</x:f>
      </x:c>
      <x:c r="I83" s="36"/>
      <x:c r="J83" s="35"/>
      <x:c r="K83" s="35"/>
      <x:c r="L83" s="36"/>
      <x:c r="M83" s="139"/>
      <x:c r="N83" s="139" t="str">
        <x:f>IF(OR(H83="",M83=""),"",H83*M83)</x:f>
      </x:c>
      <x:c r="O83" t="e">
        <x:f>IF(COUNTIFS($B:$B,B83,$A:$A,"&gt;="&amp;A83-90,$A:$A,"&lt;="&amp;A83)&gt;=2,"Yes","No")</x:f>
      </x:c>
      <x:c r="P83" t="e">
        <x:f>IF(OR(H83&gt;=4,N83&gt;=50000,O83="Yes"),"Yes","No")</x:f>
      </x:c>
      <x:c r="Q83" t="e">
        <x:f>IF(P83="Yes",TEXTJOIN(", ",TRUE,IF(H83&gt;=4,"Downtime &gt;=4h",""),IF(N83&gt;=50000,"Cost &gt;=R131k",""),IF(O83="Yes","Repeat failure","")),"")</x:f>
      </x:c>
      <x:c r="S83" s="142"/>
    </x:row>
    <x:row r="84" ht="18" hidden="0" customHeight="1">
      <x:c r="B84" s="34"/>
      <x:c r="C84" s="35"/>
      <x:c r="D84" s="35"/>
      <x:c r="E84" s="36"/>
      <x:c r="F84" s="37"/>
      <x:c r="G84" s="37"/>
      <x:c r="H84" s="38" t="str">
        <x:f aca="0">IFERROR(IF(AND(F84&lt;&gt;"",G84&lt;&gt;""),IF(G84&gt;F84,(G84-F84)*24,(1-(F84-G84))*24),""),"—")</x:f>
      </x:c>
      <x:c r="I84" s="36"/>
      <x:c r="J84" s="35"/>
      <x:c r="K84" s="35"/>
      <x:c r="L84" s="36"/>
      <x:c r="M84" s="139"/>
      <x:c r="N84" s="139" t="str">
        <x:f>IF(OR(H84="",M84=""),"",H84*M84)</x:f>
      </x:c>
      <x:c r="O84" t="e">
        <x:f>IF(COUNTIFS($B:$B,B84,$A:$A,"&gt;="&amp;A84-90,$A:$A,"&lt;="&amp;A84)&gt;=2,"Yes","No")</x:f>
      </x:c>
      <x:c r="P84" t="e">
        <x:f>IF(OR(H84&gt;=4,N84&gt;=50000,O84="Yes"),"Yes","No")</x:f>
      </x:c>
      <x:c r="Q84" t="e">
        <x:f>IF(P84="Yes",TEXTJOIN(", ",TRUE,IF(H84&gt;=4,"Downtime &gt;=4h",""),IF(N84&gt;=50000,"Cost &gt;=R132k",""),IF(O84="Yes","Repeat failure","")),"")</x:f>
      </x:c>
      <x:c r="S84" s="142"/>
    </x:row>
    <x:row r="85" ht="18" hidden="0" customHeight="1">
      <x:c r="B85" s="34"/>
      <x:c r="C85" s="35"/>
      <x:c r="D85" s="35"/>
      <x:c r="E85" s="36"/>
      <x:c r="F85" s="37"/>
      <x:c r="G85" s="37"/>
      <x:c r="H85" s="38" t="str">
        <x:f aca="0">IFERROR(IF(AND(F85&lt;&gt;"",G85&lt;&gt;""),IF(G85&gt;F85,(G85-F85)*24,(1-(F85-G85))*24),""),"—")</x:f>
      </x:c>
      <x:c r="I85" s="36"/>
      <x:c r="J85" s="35"/>
      <x:c r="K85" s="35"/>
      <x:c r="L85" s="36"/>
      <x:c r="M85" s="139"/>
      <x:c r="N85" s="139" t="str">
        <x:f>IF(OR(H85="",M85=""),"",H85*M85)</x:f>
      </x:c>
      <x:c r="O85" t="e">
        <x:f>IF(COUNTIFS($B:$B,B85,$A:$A,"&gt;="&amp;A85-90,$A:$A,"&lt;="&amp;A85)&gt;=2,"Yes","No")</x:f>
      </x:c>
      <x:c r="P85" t="e">
        <x:f>IF(OR(H85&gt;=4,N85&gt;=50000,O85="Yes"),"Yes","No")</x:f>
      </x:c>
      <x:c r="Q85" t="e">
        <x:f>IF(P85="Yes",TEXTJOIN(", ",TRUE,IF(H85&gt;=4,"Downtime &gt;=4h",""),IF(N85&gt;=50000,"Cost &gt;=R133k",""),IF(O85="Yes","Repeat failure","")),"")</x:f>
      </x:c>
      <x:c r="S85" s="142"/>
    </x:row>
    <x:row r="86" ht="18" hidden="0" customHeight="1">
      <x:c r="B86" s="34"/>
      <x:c r="C86" s="35"/>
      <x:c r="D86" s="35"/>
      <x:c r="E86" s="36"/>
      <x:c r="F86" s="37"/>
      <x:c r="G86" s="37"/>
      <x:c r="H86" s="38" t="str">
        <x:f aca="0">IFERROR(IF(AND(F86&lt;&gt;"",G86&lt;&gt;""),IF(G86&gt;F86,(G86-F86)*24,(1-(F86-G86))*24),""),"—")</x:f>
      </x:c>
      <x:c r="I86" s="36"/>
      <x:c r="J86" s="35"/>
      <x:c r="K86" s="35"/>
      <x:c r="L86" s="36"/>
      <x:c r="M86" s="139"/>
      <x:c r="N86" s="139" t="str">
        <x:f>IF(OR(H86="",M86=""),"",H86*M86)</x:f>
      </x:c>
      <x:c r="O86" t="e">
        <x:f>IF(COUNTIFS($B:$B,B86,$A:$A,"&gt;="&amp;A86-90,$A:$A,"&lt;="&amp;A86)&gt;=2,"Yes","No")</x:f>
      </x:c>
      <x:c r="P86" t="e">
        <x:f>IF(OR(H86&gt;=4,N86&gt;=50000,O86="Yes"),"Yes","No")</x:f>
      </x:c>
      <x:c r="Q86" t="e">
        <x:f>IF(P86="Yes",TEXTJOIN(", ",TRUE,IF(H86&gt;=4,"Downtime &gt;=4h",""),IF(N86&gt;=50000,"Cost &gt;=R134k",""),IF(O86="Yes","Repeat failure","")),"")</x:f>
      </x:c>
      <x:c r="S86" s="142"/>
    </x:row>
    <x:row r="87" ht="18" hidden="0" customHeight="1">
      <x:c r="B87" s="34"/>
      <x:c r="C87" s="35"/>
      <x:c r="D87" s="35"/>
      <x:c r="E87" s="36"/>
      <x:c r="F87" s="37"/>
      <x:c r="G87" s="37"/>
      <x:c r="H87" s="38" t="str">
        <x:f aca="0">IFERROR(IF(AND(F87&lt;&gt;"",G87&lt;&gt;""),IF(G87&gt;F87,(G87-F87)*24,(1-(F87-G87))*24),""),"—")</x:f>
      </x:c>
      <x:c r="I87" s="36"/>
      <x:c r="J87" s="35"/>
      <x:c r="K87" s="35"/>
      <x:c r="L87" s="36"/>
      <x:c r="M87" s="139"/>
      <x:c r="N87" s="139" t="str">
        <x:f>IF(OR(H87="",M87=""),"",H87*M87)</x:f>
      </x:c>
      <x:c r="O87" t="e">
        <x:f>IF(COUNTIFS($B:$B,B87,$A:$A,"&gt;="&amp;A87-90,$A:$A,"&lt;="&amp;A87)&gt;=2,"Yes","No")</x:f>
      </x:c>
      <x:c r="P87" t="e">
        <x:f>IF(OR(H87&gt;=4,N87&gt;=50000,O87="Yes"),"Yes","No")</x:f>
      </x:c>
      <x:c r="Q87" t="e">
        <x:f>IF(P87="Yes",TEXTJOIN(", ",TRUE,IF(H87&gt;=4,"Downtime &gt;=4h",""),IF(N87&gt;=50000,"Cost &gt;=R135k",""),IF(O87="Yes","Repeat failure","")),"")</x:f>
      </x:c>
      <x:c r="S87" s="142"/>
    </x:row>
    <x:row r="88" ht="18" hidden="0" customHeight="1">
      <x:c r="B88" s="34"/>
      <x:c r="C88" s="35"/>
      <x:c r="D88" s="35"/>
      <x:c r="E88" s="36"/>
      <x:c r="F88" s="37"/>
      <x:c r="G88" s="37"/>
      <x:c r="H88" s="38" t="str">
        <x:f aca="0">IFERROR(IF(AND(F88&lt;&gt;"",G88&lt;&gt;""),IF(G88&gt;F88,(G88-F88)*24,(1-(F88-G88))*24),""),"—")</x:f>
      </x:c>
      <x:c r="I88" s="36"/>
      <x:c r="J88" s="35"/>
      <x:c r="K88" s="35"/>
      <x:c r="L88" s="36"/>
      <x:c r="M88" s="139"/>
      <x:c r="N88" s="139" t="str">
        <x:f>IF(OR(H88="",M88=""),"",H88*M88)</x:f>
      </x:c>
      <x:c r="O88" t="e">
        <x:f>IF(COUNTIFS($B:$B,B88,$A:$A,"&gt;="&amp;A88-90,$A:$A,"&lt;="&amp;A88)&gt;=2,"Yes","No")</x:f>
      </x:c>
      <x:c r="P88" t="e">
        <x:f>IF(OR(H88&gt;=4,N88&gt;=50000,O88="Yes"),"Yes","No")</x:f>
      </x:c>
      <x:c r="Q88" t="e">
        <x:f>IF(P88="Yes",TEXTJOIN(", ",TRUE,IF(H88&gt;=4,"Downtime &gt;=4h",""),IF(N88&gt;=50000,"Cost &gt;=R136k",""),IF(O88="Yes","Repeat failure","")),"")</x:f>
      </x:c>
      <x:c r="S88" s="142"/>
    </x:row>
    <x:row r="89" ht="18" hidden="0" customHeight="1">
      <x:c r="B89" s="34"/>
      <x:c r="C89" s="35"/>
      <x:c r="D89" s="35"/>
      <x:c r="E89" s="36"/>
      <x:c r="F89" s="37"/>
      <x:c r="G89" s="37"/>
      <x:c r="H89" s="38" t="str">
        <x:f aca="0">IFERROR(IF(AND(F89&lt;&gt;"",G89&lt;&gt;""),IF(G89&gt;F89,(G89-F89)*24,(1-(F89-G89))*24),""),"—")</x:f>
      </x:c>
      <x:c r="I89" s="36"/>
      <x:c r="J89" s="35"/>
      <x:c r="K89" s="35"/>
      <x:c r="L89" s="36"/>
      <x:c r="M89" s="139"/>
      <x:c r="N89" s="139" t="str">
        <x:f>IF(OR(H89="",M89=""),"",H89*M89)</x:f>
      </x:c>
      <x:c r="O89" t="e">
        <x:f>IF(COUNTIFS($B:$B,B89,$A:$A,"&gt;="&amp;A89-90,$A:$A,"&lt;="&amp;A89)&gt;=2,"Yes","No")</x:f>
      </x:c>
      <x:c r="P89" t="e">
        <x:f>IF(OR(H89&gt;=4,N89&gt;=50000,O89="Yes"),"Yes","No")</x:f>
      </x:c>
      <x:c r="Q89" t="e">
        <x:f>IF(P89="Yes",TEXTJOIN(", ",TRUE,IF(H89&gt;=4,"Downtime &gt;=4h",""),IF(N89&gt;=50000,"Cost &gt;=R137k",""),IF(O89="Yes","Repeat failure","")),"")</x:f>
      </x:c>
      <x:c r="S89" s="142"/>
    </x:row>
    <x:row r="90" ht="18" hidden="0" customHeight="1">
      <x:c r="B90" s="34"/>
      <x:c r="C90" s="35"/>
      <x:c r="D90" s="35"/>
      <x:c r="E90" s="36"/>
      <x:c r="F90" s="37"/>
      <x:c r="G90" s="37"/>
      <x:c r="H90" s="38" t="str">
        <x:f aca="0">IFERROR(IF(AND(F90&lt;&gt;"",G90&lt;&gt;""),IF(G90&gt;F90,(G90-F90)*24,(1-(F90-G90))*24),""),"—")</x:f>
      </x:c>
      <x:c r="I90" s="36"/>
      <x:c r="J90" s="35"/>
      <x:c r="K90" s="35"/>
      <x:c r="L90" s="36"/>
      <x:c r="M90" s="139"/>
      <x:c r="N90" s="139" t="str">
        <x:f>IF(OR(H90="",M90=""),"",H90*M90)</x:f>
      </x:c>
      <x:c r="O90" t="e">
        <x:f>IF(COUNTIFS($B:$B,B90,$A:$A,"&gt;="&amp;A90-90,$A:$A,"&lt;="&amp;A90)&gt;=2,"Yes","No")</x:f>
      </x:c>
      <x:c r="P90" t="e">
        <x:f>IF(OR(H90&gt;=4,N90&gt;=50000,O90="Yes"),"Yes","No")</x:f>
      </x:c>
      <x:c r="Q90" t="e">
        <x:f>IF(P90="Yes",TEXTJOIN(", ",TRUE,IF(H90&gt;=4,"Downtime &gt;=4h",""),IF(N90&gt;=50000,"Cost &gt;=R138k",""),IF(O90="Yes","Repeat failure","")),"")</x:f>
      </x:c>
      <x:c r="S90" s="142"/>
    </x:row>
    <x:row r="91" ht="18" hidden="0" customHeight="1">
      <x:c r="B91" s="34"/>
      <x:c r="C91" s="35"/>
      <x:c r="D91" s="35"/>
      <x:c r="E91" s="36"/>
      <x:c r="F91" s="37"/>
      <x:c r="G91" s="37"/>
      <x:c r="H91" s="38" t="str">
        <x:f aca="0">IFERROR(IF(AND(F91&lt;&gt;"",G91&lt;&gt;""),IF(G91&gt;F91,(G91-F91)*24,(1-(F91-G91))*24),""),"—")</x:f>
      </x:c>
      <x:c r="I91" s="36"/>
      <x:c r="J91" s="35"/>
      <x:c r="K91" s="35"/>
      <x:c r="L91" s="36"/>
      <x:c r="M91" s="139"/>
      <x:c r="N91" s="139" t="str">
        <x:f>IF(OR(H91="",M91=""),"",H91*M91)</x:f>
      </x:c>
      <x:c r="O91" t="e">
        <x:f>IF(COUNTIFS($B:$B,B91,$A:$A,"&gt;="&amp;A91-90,$A:$A,"&lt;="&amp;A91)&gt;=2,"Yes","No")</x:f>
      </x:c>
      <x:c r="P91" t="e">
        <x:f>IF(OR(H91&gt;=4,N91&gt;=50000,O91="Yes"),"Yes","No")</x:f>
      </x:c>
      <x:c r="Q91" t="e">
        <x:f>IF(P91="Yes",TEXTJOIN(", ",TRUE,IF(H91&gt;=4,"Downtime &gt;=4h",""),IF(N91&gt;=50000,"Cost &gt;=R139k",""),IF(O91="Yes","Repeat failure","")),"")</x:f>
      </x:c>
      <x:c r="S91" s="142"/>
    </x:row>
    <x:row r="92" ht="18" hidden="0" customHeight="1">
      <x:c r="B92" s="34"/>
      <x:c r="C92" s="35"/>
      <x:c r="D92" s="35"/>
      <x:c r="E92" s="36"/>
      <x:c r="F92" s="37"/>
      <x:c r="G92" s="37"/>
      <x:c r="H92" s="38" t="str">
        <x:f aca="0">IFERROR(IF(AND(F92&lt;&gt;"",G92&lt;&gt;""),IF(G92&gt;F92,(G92-F92)*24,(1-(F92-G92))*24),""),"—")</x:f>
      </x:c>
      <x:c r="I92" s="36"/>
      <x:c r="J92" s="35"/>
      <x:c r="K92" s="35"/>
      <x:c r="L92" s="36"/>
      <x:c r="M92" s="139"/>
      <x:c r="N92" s="139" t="str">
        <x:f>IF(OR(H92="",M92=""),"",H92*M92)</x:f>
      </x:c>
      <x:c r="O92" t="e">
        <x:f>IF(COUNTIFS($B:$B,B92,$A:$A,"&gt;="&amp;A92-90,$A:$A,"&lt;="&amp;A92)&gt;=2,"Yes","No")</x:f>
      </x:c>
      <x:c r="P92" t="e">
        <x:f>IF(OR(H92&gt;=4,N92&gt;=50000,O92="Yes"),"Yes","No")</x:f>
      </x:c>
      <x:c r="Q92" t="e">
        <x:f>IF(P92="Yes",TEXTJOIN(", ",TRUE,IF(H92&gt;=4,"Downtime &gt;=4h",""),IF(N92&gt;=50000,"Cost &gt;=R140k",""),IF(O92="Yes","Repeat failure","")),"")</x:f>
      </x:c>
      <x:c r="S92" s="142"/>
    </x:row>
    <x:row r="93" ht="18" hidden="0" customHeight="1">
      <x:c r="B93" s="34"/>
      <x:c r="C93" s="35"/>
      <x:c r="D93" s="35"/>
      <x:c r="E93" s="36"/>
      <x:c r="F93" s="37"/>
      <x:c r="G93" s="37"/>
      <x:c r="H93" s="38" t="str">
        <x:f aca="0">IFERROR(IF(AND(F93&lt;&gt;"",G93&lt;&gt;""),IF(G93&gt;F93,(G93-F93)*24,(1-(F93-G93))*24),""),"—")</x:f>
      </x:c>
      <x:c r="I93" s="36"/>
      <x:c r="J93" s="35"/>
      <x:c r="K93" s="35"/>
      <x:c r="L93" s="36"/>
      <x:c r="M93" s="139"/>
      <x:c r="N93" s="139" t="str">
        <x:f>IF(OR(H93="",M93=""),"",H93*M93)</x:f>
      </x:c>
      <x:c r="O93" t="e">
        <x:f>IF(COUNTIFS($B:$B,B93,$A:$A,"&gt;="&amp;A93-90,$A:$A,"&lt;="&amp;A93)&gt;=2,"Yes","No")</x:f>
      </x:c>
      <x:c r="P93" t="e">
        <x:f>IF(OR(H93&gt;=4,N93&gt;=50000,O93="Yes"),"Yes","No")</x:f>
      </x:c>
      <x:c r="Q93" t="e">
        <x:f>IF(P93="Yes",TEXTJOIN(", ",TRUE,IF(H93&gt;=4,"Downtime &gt;=4h",""),IF(N93&gt;=50000,"Cost &gt;=R141k",""),IF(O93="Yes","Repeat failure","")),"")</x:f>
      </x:c>
      <x:c r="S93" s="142"/>
    </x:row>
    <x:row r="94" ht="18" hidden="0" customHeight="1">
      <x:c r="B94" s="34"/>
      <x:c r="C94" s="35"/>
      <x:c r="D94" s="35"/>
      <x:c r="E94" s="36"/>
      <x:c r="F94" s="37"/>
      <x:c r="G94" s="37"/>
      <x:c r="H94" s="38" t="str">
        <x:f aca="0">IFERROR(IF(AND(F94&lt;&gt;"",G94&lt;&gt;""),IF(G94&gt;F94,(G94-F94)*24,(1-(F94-G94))*24),""),"—")</x:f>
      </x:c>
      <x:c r="I94" s="36"/>
      <x:c r="J94" s="35"/>
      <x:c r="K94" s="35"/>
      <x:c r="L94" s="36"/>
      <x:c r="M94" s="139"/>
      <x:c r="N94" s="139" t="str">
        <x:f>IF(OR(H94="",M94=""),"",H94*M94)</x:f>
      </x:c>
      <x:c r="O94" t="e">
        <x:f>IF(COUNTIFS($B:$B,B94,$A:$A,"&gt;="&amp;A94-90,$A:$A,"&lt;="&amp;A94)&gt;=2,"Yes","No")</x:f>
      </x:c>
      <x:c r="P94" t="e">
        <x:f>IF(OR(H94&gt;=4,N94&gt;=50000,O94="Yes"),"Yes","No")</x:f>
      </x:c>
      <x:c r="Q94" t="e">
        <x:f>IF(P94="Yes",TEXTJOIN(", ",TRUE,IF(H94&gt;=4,"Downtime &gt;=4h",""),IF(N94&gt;=50000,"Cost &gt;=R142k",""),IF(O94="Yes","Repeat failure","")),"")</x:f>
      </x:c>
      <x:c r="S94" s="142"/>
    </x:row>
    <x:row r="95" ht="18" hidden="0" customHeight="1">
      <x:c r="B95" s="34"/>
      <x:c r="C95" s="35"/>
      <x:c r="D95" s="35"/>
      <x:c r="E95" s="36"/>
      <x:c r="F95" s="37"/>
      <x:c r="G95" s="37"/>
      <x:c r="H95" s="38" t="str">
        <x:f aca="0">IFERROR(IF(AND(F95&lt;&gt;"",G95&lt;&gt;""),IF(G95&gt;F95,(G95-F95)*24,(1-(F95-G95))*24),""),"—")</x:f>
      </x:c>
      <x:c r="I95" s="36"/>
      <x:c r="J95" s="35"/>
      <x:c r="K95" s="35"/>
      <x:c r="L95" s="36"/>
      <x:c r="M95" s="139"/>
      <x:c r="N95" s="139" t="str">
        <x:f>IF(OR(H95="",M95=""),"",H95*M95)</x:f>
      </x:c>
      <x:c r="O95" t="e">
        <x:f>IF(COUNTIFS($B:$B,B95,$A:$A,"&gt;="&amp;A95-90,$A:$A,"&lt;="&amp;A95)&gt;=2,"Yes","No")</x:f>
      </x:c>
      <x:c r="P95" t="e">
        <x:f>IF(OR(H95&gt;=4,N95&gt;=50000,O95="Yes"),"Yes","No")</x:f>
      </x:c>
      <x:c r="Q95" t="e">
        <x:f>IF(P95="Yes",TEXTJOIN(", ",TRUE,IF(H95&gt;=4,"Downtime &gt;=4h",""),IF(N95&gt;=50000,"Cost &gt;=R143k",""),IF(O95="Yes","Repeat failure","")),"")</x:f>
      </x:c>
      <x:c r="S95" s="142"/>
    </x:row>
    <x:row r="96" ht="18" hidden="0" customHeight="1">
      <x:c r="B96" s="34"/>
      <x:c r="C96" s="35"/>
      <x:c r="D96" s="35"/>
      <x:c r="E96" s="36"/>
      <x:c r="F96" s="37"/>
      <x:c r="G96" s="37"/>
      <x:c r="H96" s="38" t="str">
        <x:f aca="0">IFERROR(IF(AND(F96&lt;&gt;"",G96&lt;&gt;""),IF(G96&gt;F96,(G96-F96)*24,(1-(F96-G96))*24),""),"—")</x:f>
      </x:c>
      <x:c r="I96" s="36"/>
      <x:c r="J96" s="35"/>
      <x:c r="K96" s="35"/>
      <x:c r="L96" s="36"/>
      <x:c r="M96" s="139"/>
      <x:c r="N96" s="139" t="str">
        <x:f>IF(OR(H96="",M96=""),"",H96*M96)</x:f>
      </x:c>
      <x:c r="O96" t="e">
        <x:f>IF(COUNTIFS($B:$B,B96,$A:$A,"&gt;="&amp;A96-90,$A:$A,"&lt;="&amp;A96)&gt;=2,"Yes","No")</x:f>
      </x:c>
      <x:c r="P96" t="e">
        <x:f>IF(OR(H96&gt;=4,N96&gt;=50000,O96="Yes"),"Yes","No")</x:f>
      </x:c>
      <x:c r="Q96" t="e">
        <x:f>IF(P96="Yes",TEXTJOIN(", ",TRUE,IF(H96&gt;=4,"Downtime &gt;=4h",""),IF(N96&gt;=50000,"Cost &gt;=R144k",""),IF(O96="Yes","Repeat failure","")),"")</x:f>
      </x:c>
      <x:c r="S96" s="142"/>
    </x:row>
    <x:row r="97" ht="18" hidden="0" customHeight="1">
      <x:c r="B97" s="34"/>
      <x:c r="C97" s="35"/>
      <x:c r="D97" s="35"/>
      <x:c r="E97" s="36"/>
      <x:c r="F97" s="37"/>
      <x:c r="G97" s="37"/>
      <x:c r="H97" s="38" t="str">
        <x:f aca="0">IFERROR(IF(AND(F97&lt;&gt;"",G97&lt;&gt;""),IF(G97&gt;F97,(G97-F97)*24,(1-(F97-G97))*24),""),"—")</x:f>
      </x:c>
      <x:c r="I97" s="36"/>
      <x:c r="J97" s="35"/>
      <x:c r="K97" s="35"/>
      <x:c r="L97" s="36"/>
      <x:c r="M97" s="139"/>
      <x:c r="N97" s="139" t="str">
        <x:f>IF(OR(H97="",M97=""),"",H97*M97)</x:f>
      </x:c>
      <x:c r="O97" t="e">
        <x:f>IF(COUNTIFS($B:$B,B97,$A:$A,"&gt;="&amp;A97-90,$A:$A,"&lt;="&amp;A97)&gt;=2,"Yes","No")</x:f>
      </x:c>
      <x:c r="P97" t="e">
        <x:f>IF(OR(H97&gt;=4,N97&gt;=50000,O97="Yes"),"Yes","No")</x:f>
      </x:c>
      <x:c r="Q97" t="e">
        <x:f>IF(P97="Yes",TEXTJOIN(", ",TRUE,IF(H97&gt;=4,"Downtime &gt;=4h",""),IF(N97&gt;=50000,"Cost &gt;=R145k",""),IF(O97="Yes","Repeat failure","")),"")</x:f>
      </x:c>
      <x:c r="S97" s="142"/>
    </x:row>
    <x:row r="98" ht="18" hidden="0" customHeight="1">
      <x:c r="B98" s="34"/>
      <x:c r="C98" s="35"/>
      <x:c r="D98" s="35"/>
      <x:c r="E98" s="36"/>
      <x:c r="F98" s="37"/>
      <x:c r="G98" s="37"/>
      <x:c r="H98" s="38" t="str">
        <x:f aca="0">IFERROR(IF(AND(F98&lt;&gt;"",G98&lt;&gt;""),IF(G98&gt;F98,(G98-F98)*24,(1-(F98-G98))*24),""),"—")</x:f>
      </x:c>
      <x:c r="I98" s="36"/>
      <x:c r="J98" s="35"/>
      <x:c r="K98" s="35"/>
      <x:c r="L98" s="36"/>
      <x:c r="M98" s="139"/>
      <x:c r="N98" s="139" t="str">
        <x:f>IF(OR(H98="",M98=""),"",H98*M98)</x:f>
      </x:c>
      <x:c r="O98" t="e">
        <x:f>IF(COUNTIFS($B:$B,B98,$A:$A,"&gt;="&amp;A98-90,$A:$A,"&lt;="&amp;A98)&gt;=2,"Yes","No")</x:f>
      </x:c>
      <x:c r="P98" t="e">
        <x:f>IF(OR(H98&gt;=4,N98&gt;=50000,O98="Yes"),"Yes","No")</x:f>
      </x:c>
      <x:c r="Q98" t="e">
        <x:f>IF(P98="Yes",TEXTJOIN(", ",TRUE,IF(H98&gt;=4,"Downtime &gt;=4h",""),IF(N98&gt;=50000,"Cost &gt;=R146k",""),IF(O98="Yes","Repeat failure","")),"")</x:f>
      </x:c>
      <x:c r="S98" s="142"/>
    </x:row>
    <x:row r="99" ht="18" hidden="0" customHeight="1">
      <x:c r="B99" s="34"/>
      <x:c r="C99" s="35"/>
      <x:c r="D99" s="35"/>
      <x:c r="E99" s="36"/>
      <x:c r="F99" s="37"/>
      <x:c r="G99" s="37"/>
      <x:c r="H99" s="38" t="str">
        <x:f aca="0">IFERROR(IF(AND(F99&lt;&gt;"",G99&lt;&gt;""),IF(G99&gt;F99,(G99-F99)*24,(1-(F99-G99))*24),""),"—")</x:f>
      </x:c>
      <x:c r="I99" s="36"/>
      <x:c r="J99" s="35"/>
      <x:c r="K99" s="35"/>
      <x:c r="L99" s="36"/>
      <x:c r="M99" s="139"/>
      <x:c r="N99" s="139" t="str">
        <x:f>IF(OR(H99="",M99=""),"",H99*M99)</x:f>
      </x:c>
      <x:c r="O99" t="e">
        <x:f>IF(COUNTIFS($B:$B,B99,$A:$A,"&gt;="&amp;A99-90,$A:$A,"&lt;="&amp;A99)&gt;=2,"Yes","No")</x:f>
      </x:c>
      <x:c r="P99" t="e">
        <x:f>IF(OR(H99&gt;=4,N99&gt;=50000,O99="Yes"),"Yes","No")</x:f>
      </x:c>
      <x:c r="Q99" t="e">
        <x:f>IF(P99="Yes",TEXTJOIN(", ",TRUE,IF(H99&gt;=4,"Downtime &gt;=4h",""),IF(N99&gt;=50000,"Cost &gt;=R147k",""),IF(O99="Yes","Repeat failure","")),"")</x:f>
      </x:c>
      <x:c r="S99" s="142"/>
    </x:row>
    <x:row r="100" ht="18" hidden="0" customHeight="1">
      <x:c r="B100" s="34"/>
      <x:c r="C100" s="35"/>
      <x:c r="D100" s="35"/>
      <x:c r="E100" s="36"/>
      <x:c r="F100" s="37"/>
      <x:c r="G100" s="37"/>
      <x:c r="H100" s="38" t="str">
        <x:f aca="0">IFERROR(IF(AND(F100&lt;&gt;"",G100&lt;&gt;""),IF(G100&gt;F100,(G100-F100)*24,(1-(F100-G100))*24),""),"—")</x:f>
      </x:c>
      <x:c r="I100" s="36"/>
      <x:c r="J100" s="35"/>
      <x:c r="K100" s="35"/>
      <x:c r="L100" s="36"/>
      <x:c r="M100" s="139"/>
      <x:c r="N100" s="139" t="str">
        <x:f>IF(OR(H100="",M100=""),"",H100*M100)</x:f>
      </x:c>
      <x:c r="O100" t="e">
        <x:f>IF(COUNTIFS($B:$B,B100,$A:$A,"&gt;="&amp;A100-90,$A:$A,"&lt;="&amp;A100)&gt;=2,"Yes","No")</x:f>
      </x:c>
      <x:c r="P100" t="e">
        <x:f>IF(OR(H100&gt;=4,N100&gt;=50000,O100="Yes"),"Yes","No")</x:f>
      </x:c>
      <x:c r="Q100" t="e">
        <x:f>IF(P100="Yes",TEXTJOIN(", ",TRUE,IF(H100&gt;=4,"Downtime &gt;=4h",""),IF(N100&gt;=50000,"Cost &gt;=R148k",""),IF(O100="Yes","Repeat failure","")),"")</x:f>
      </x:c>
      <x:c r="S100" s="142"/>
    </x:row>
    <x:row r="101" ht="18" hidden="0" customHeight="1">
      <x:c r="B101" s="34"/>
      <x:c r="C101" s="35"/>
      <x:c r="D101" s="35"/>
      <x:c r="E101" s="36"/>
      <x:c r="F101" s="37"/>
      <x:c r="G101" s="37"/>
      <x:c r="H101" s="38" t="str">
        <x:f aca="0">IFERROR(IF(AND(F101&lt;&gt;"",G101&lt;&gt;""),IF(G101&gt;F101,(G101-F101)*24,(1-(F101-G101))*24),""),"—")</x:f>
      </x:c>
      <x:c r="I101" s="36"/>
      <x:c r="J101" s="35"/>
      <x:c r="K101" s="35"/>
      <x:c r="L101" s="36"/>
      <x:c r="M101" s="139"/>
      <x:c r="N101" s="139" t="str">
        <x:f>IF(OR(H101="",M101=""),"",H101*M101)</x:f>
      </x:c>
      <x:c r="O101" t="e">
        <x:f>IF(COUNTIFS($B:$B,B101,$A:$A,"&gt;="&amp;A101-90,$A:$A,"&lt;="&amp;A101)&gt;=2,"Yes","No")</x:f>
      </x:c>
      <x:c r="P101" t="e">
        <x:f>IF(OR(H101&gt;=4,N101&gt;=50000,O101="Yes"),"Yes","No")</x:f>
      </x:c>
      <x:c r="Q101" t="e">
        <x:f>IF(P101="Yes",TEXTJOIN(", ",TRUE,IF(H101&gt;=4,"Downtime &gt;=4h",""),IF(N101&gt;=50000,"Cost &gt;=R149k",""),IF(O101="Yes","Repeat failure","")),"")</x:f>
      </x:c>
      <x:c r="S101" s="142"/>
    </x:row>
    <x:row r="102" ht="18" hidden="0" customHeight="1">
      <x:c r="B102" s="34"/>
      <x:c r="C102" s="35"/>
      <x:c r="D102" s="35"/>
      <x:c r="E102" s="36"/>
      <x:c r="F102" s="37"/>
      <x:c r="G102" s="37"/>
      <x:c r="H102" s="38" t="str">
        <x:f aca="0">IFERROR(IF(AND(F102&lt;&gt;"",G102&lt;&gt;""),IF(G102&gt;F102,(G102-F102)*24,(1-(F102-G102))*24),""),"—")</x:f>
      </x:c>
      <x:c r="I102" s="36"/>
      <x:c r="J102" s="35"/>
      <x:c r="K102" s="35"/>
      <x:c r="L102" s="36"/>
      <x:c r="M102" s="139"/>
      <x:c r="N102" s="139" t="str">
        <x:f>IF(OR(H102="",M102=""),"",H102*M102)</x:f>
      </x:c>
      <x:c r="O102" t="e">
        <x:f>IF(COUNTIFS($B:$B,B102,$A:$A,"&gt;="&amp;A102-90,$A:$A,"&lt;="&amp;A102)&gt;=2,"Yes","No")</x:f>
      </x:c>
      <x:c r="P102" t="e">
        <x:f>IF(OR(H102&gt;=4,N102&gt;=50000,O102="Yes"),"Yes","No")</x:f>
      </x:c>
      <x:c r="Q102" t="e">
        <x:f>IF(P102="Yes",TEXTJOIN(", ",TRUE,IF(H102&gt;=4,"Downtime &gt;=4h",""),IF(N102&gt;=50000,"Cost &gt;=R150k",""),IF(O102="Yes","Repeat failure","")),"")</x:f>
      </x:c>
      <x:c r="S102" s="142"/>
    </x:row>
    <x:row r="103" ht="18" hidden="0" customHeight="1">
      <x:c r="B103" s="34"/>
      <x:c r="C103" s="35"/>
      <x:c r="D103" s="35"/>
      <x:c r="E103" s="36"/>
      <x:c r="F103" s="37"/>
      <x:c r="G103" s="37"/>
      <x:c r="H103" s="38" t="str">
        <x:f aca="0">IFERROR(IF(AND(F103&lt;&gt;"",G103&lt;&gt;""),IF(G103&gt;F103,(G103-F103)*24,(1-(F103-G103))*24),""),"—")</x:f>
      </x:c>
      <x:c r="I103" s="36"/>
      <x:c r="J103" s="35"/>
      <x:c r="K103" s="35"/>
      <x:c r="L103" s="36"/>
      <x:c r="M103" s="139"/>
      <x:c r="N103" s="139" t="str">
        <x:f>IF(OR(H103="",M103=""),"",H103*M103)</x:f>
      </x:c>
      <x:c r="O103" t="e">
        <x:f>IF(COUNTIFS($B:$B,B103,$A:$A,"&gt;="&amp;A103-90,$A:$A,"&lt;="&amp;A103)&gt;=2,"Yes","No")</x:f>
      </x:c>
      <x:c r="P103" t="e">
        <x:f>IF(OR(H103&gt;=4,N103&gt;=50000,O103="Yes"),"Yes","No")</x:f>
      </x:c>
      <x:c r="Q103" t="e">
        <x:f>IF(P103="Yes",TEXTJOIN(", ",TRUE,IF(H103&gt;=4,"Downtime &gt;=4h",""),IF(N103&gt;=50000,"Cost &gt;=R151k",""),IF(O103="Yes","Repeat failure","")),"")</x:f>
      </x:c>
      <x:c r="S103" s="142"/>
    </x:row>
    <x:row r="104" ht="18" hidden="0" customHeight="1">
      <x:c r="B104" s="34"/>
      <x:c r="C104" s="35"/>
      <x:c r="D104" s="35"/>
      <x:c r="E104" s="36"/>
      <x:c r="F104" s="37"/>
      <x:c r="G104" s="37"/>
      <x:c r="H104" s="38" t="str">
        <x:f aca="0">IFERROR(IF(AND(F104&lt;&gt;"",G104&lt;&gt;""),IF(G104&gt;F104,(G104-F104)*24,(1-(F104-G104))*24),""),"—")</x:f>
      </x:c>
      <x:c r="I104" s="36"/>
      <x:c r="J104" s="35"/>
      <x:c r="K104" s="35"/>
      <x:c r="L104" s="36"/>
      <x:c r="M104" s="139"/>
      <x:c r="N104" s="139" t="str">
        <x:f>IF(OR(H104="",M104=""),"",H104*M104)</x:f>
      </x:c>
      <x:c r="O104" t="e">
        <x:f>IF(COUNTIFS($B:$B,B104,$A:$A,"&gt;="&amp;A104-90,$A:$A,"&lt;="&amp;A104)&gt;=2,"Yes","No")</x:f>
      </x:c>
      <x:c r="P104" t="e">
        <x:f>IF(OR(H104&gt;=4,N104&gt;=50000,O104="Yes"),"Yes","No")</x:f>
      </x:c>
      <x:c r="Q104" t="e">
        <x:f>IF(P104="Yes",TEXTJOIN(", ",TRUE,IF(H104&gt;=4,"Downtime &gt;=4h",""),IF(N104&gt;=50000,"Cost &gt;=R152k",""),IF(O104="Yes","Repeat failure","")),"")</x:f>
      </x:c>
      <x:c r="S104" s="142"/>
    </x:row>
    <x:row r="105" ht="21.75" hidden="0" customHeight="1">
      <x:c r="B105" s="39" t="s">
        <x:v>57</x:v>
      </x:c>
      <x:c r="C105" s="39"/>
      <x:c r="D105" s="39"/>
      <x:c r="E105" s="39"/>
      <x:c r="F105" s="39"/>
      <x:c r="G105" s="39"/>
      <x:c r="H105" s="40" t="n">
        <x:f aca="0">SUM(H5:H104)</x:f>
        <x:v>0</x:v>
      </x:c>
      <x:c r="I105" s="41"/>
      <x:c r="J105" s="41"/>
      <x:c r="K105" s="41"/>
      <x:c r="L105" s="41"/>
      <x:c r="M105" s="139"/>
      <x:c r="N105" s="139" t="str">
        <x:f>IF(OR(H105="",M105=""),"",H105*M105)</x:f>
      </x:c>
      <x:c r="O105" t="e">
        <x:f>IF(COUNTIFS($B:$B,B105,$A:$A,"&gt;="&amp;A105-90,$A:$A,"&lt;="&amp;A105)&gt;=2,"Yes","No")</x:f>
      </x:c>
      <x:c r="P105" t="e">
        <x:f>IF(OR(H105&gt;=4,N105&gt;=50000,O105="Yes"),"Yes","No")</x:f>
      </x:c>
      <x:c r="Q105" t="e">
        <x:f>IF(P105="Yes",TEXTJOIN(", ",TRUE,IF(H105&gt;=4,"Downtime &gt;=4h",""),IF(N105&gt;=50000,"Cost &gt;=R153k",""),IF(O105="Yes","Repeat failure","")),"")</x:f>
      </x:c>
      <x:c r="S105" s="142"/>
    </x:row>
  </x:sheetData>
  <x:mergeCells>
    <x:mergeCell ref="B2:L2"/>
    <x:mergeCell ref="B3:L3"/>
    <x:mergeCell ref="B105:G105"/>
    <x:mergeCell ref="I105:L105"/>
  </x:mergeCells>
  <x:dataValidations count="4">
    <x:dataValidation type="list" errorStyle="stop" operator="between" allowBlank="1" showDropDown="0" showInputMessage="0" showErrorMessage="0" sqref="E5:E104">
      <x:formula1>"Day,Night,Afternoon"</x:formula1>
      <x:formula2>0</x:formula2>
    </x:dataValidation>
    <x:dataValidation type="list" errorStyle="stop" operator="between" allowBlank="1" showDropDown="0" showInputMessage="0" showErrorMessage="0" sqref="I5:I104">
      <x:formula1>"Mechanical,Electrical,Hydraulic,Pneumatic,Lubrication,Wear,Corrosion,Vibration,Overheating,Operator Error,Unknown"</x:formula1>
      <x:formula2>0</x:formula2>
    </x:dataValidation>
    <x:dataValidation type="list" sqref="O2:P105">
      <x:formula1>"Yes,No"</x:formula1>
    </x:dataValidation>
    <x:dataValidation type="list" sqref="T2:T105">
      <x:formula1>"Open,In Progress,Complete,Overdue,Deferred,Verified"</x:formula1>
    </x:dataValidation>
  </x:dataValidations>
  <x:pageMargins left="0.7" right="0.7" top="0.75" bottom="0.75" header="0.3" footer="0.3"/>
</x:worksheet>
</file>

<file path=xl/worksheets/sheet4.xml><?xml version="1.0" encoding="utf-8"?>
<x:worksheet xmlns:x="http://schemas.openxmlformats.org/spreadsheetml/2006/main">
  <x:sheetPr>
    <x:tabColor rgb="FF1E8449"/>
  </x:sheetPr>
  <x:sheetViews>
    <x:sheetView showGridLines="0" workbookViewId="0"/>
  </x:sheetViews>
  <x:sheetFormatPr defaultColWidth="8.6796875" defaultRowHeight="15"/>
  <x:cols>
    <x:col min="1" max="1" width="1" style="1" hidden="0" customWidth="1"/>
    <x:col min="2" max="2" width="16" style="1" hidden="0" customWidth="1"/>
    <x:col min="3" max="3" width="24" style="1" hidden="0" customWidth="1"/>
    <x:col min="4" max="4" width="18" style="1" hidden="0" customWidth="1"/>
    <x:col min="5" max="6" width="16" style="1" hidden="0" customWidth="1"/>
    <x:col min="7" max="7" width="18" style="1" hidden="0" customWidth="1"/>
    <x:col min="8" max="8" width="20" style="1" hidden="0" customWidth="1"/>
    <x:col min="9" max="9" width="14" style="1" hidden="0" customWidth="1"/>
    <x:col min="10" max="10" width="1" style="1" hidden="0" customWidth="1"/>
  </x:cols>
  <x:sheetData>
    <x:row r="1" ht="7.5" hidden="0" customHeight="1"/>
    <x:row r="2" ht="36" hidden="0" customHeight="1">
      <x:c r="A2" s="2"/>
      <x:c r="B2" s="31" t="s">
        <x:v>58</x:v>
      </x:c>
      <x:c r="C2" s="31"/>
      <x:c r="D2" s="31"/>
      <x:c r="E2" s="31"/>
      <x:c r="F2" s="31"/>
      <x:c r="G2" s="31"/>
      <x:c r="H2" s="31"/>
      <x:c r="I2" s="2"/>
    </x:row>
    <x:row r="3" ht="19.5" hidden="0" customHeight="1">
      <x:c r="B3" s="32" t="s">
        <x:v>59</x:v>
      </x:c>
      <x:c r="C3" s="32"/>
      <x:c r="D3" s="32"/>
      <x:c r="E3" s="32"/>
      <x:c r="F3" s="32"/>
      <x:c r="G3" s="32"/>
      <x:c r="H3" s="32"/>
    </x:row>
    <x:row r="4" ht="27.75" hidden="0" customHeight="1">
      <x:c r="B4" s="33" t="s">
        <x:v>48</x:v>
      </x:c>
      <x:c r="C4" s="33" t="s">
        <x:v>49</x:v>
      </x:c>
      <x:c r="D4" s="33" t="s">
        <x:v>60</x:v>
      </x:c>
      <x:c r="E4" s="33" t="s">
        <x:v>61</x:v>
      </x:c>
      <x:c r="F4" s="33" t="s">
        <x:v>62</x:v>
      </x:c>
      <x:c r="G4" s="33" t="s">
        <x:v>63</x:v>
      </x:c>
      <x:c r="H4" s="33" t="s">
        <x:v>64</x:v>
      </x:c>
      <x:c r="I4" s="33" t="s">
        <x:v>65</x:v>
      </x:c>
    </x:row>
    <x:row r="5" ht="18" hidden="0" customHeight="1">
      <x:c r="B5" s="36" t="s">
        <x:v>66</x:v>
      </x:c>
      <x:c r="C5" s="35" t="s">
        <x:v>67</x:v>
      </x:c>
      <x:c r="D5" s="36" t="s">
        <x:v>68</x:v>
      </x:c>
      <x:c r="E5" s="36" t="s">
        <x:v>69</x:v>
      </x:c>
      <x:c r="F5" s="36" t="s">
        <x:v>70</x:v>
      </x:c>
      <x:c r="G5" s="34"/>
      <x:c r="H5" s="42" t="n">
        <x:v>8400</x:v>
      </x:c>
      <x:c r="I5" s="17"/>
    </x:row>
    <x:row r="6" ht="18" hidden="0" customHeight="1">
      <x:c r="B6" s="36" t="s">
        <x:v>71</x:v>
      </x:c>
      <x:c r="C6" s="35" t="s">
        <x:v>72</x:v>
      </x:c>
      <x:c r="D6" s="36" t="s">
        <x:v>73</x:v>
      </x:c>
      <x:c r="E6" s="36" t="s">
        <x:v>69</x:v>
      </x:c>
      <x:c r="F6" s="36" t="s">
        <x:v>74</x:v>
      </x:c>
      <x:c r="G6" s="34"/>
      <x:c r="H6" s="42" t="n">
        <x:v>8400</x:v>
      </x:c>
      <x:c r="I6" s="20"/>
    </x:row>
    <x:row r="7" ht="18" hidden="0" customHeight="1">
      <x:c r="B7" s="36" t="s">
        <x:v>75</x:v>
      </x:c>
      <x:c r="C7" s="35" t="s">
        <x:v>76</x:v>
      </x:c>
      <x:c r="D7" s="36" t="s">
        <x:v>77</x:v>
      </x:c>
      <x:c r="E7" s="36" t="s">
        <x:v>78</x:v>
      </x:c>
      <x:c r="F7" s="36" t="s">
        <x:v>70</x:v>
      </x:c>
      <x:c r="G7" s="34"/>
      <x:c r="H7" s="42" t="n">
        <x:v>8736</x:v>
      </x:c>
      <x:c r="I7" s="17"/>
    </x:row>
    <x:row r="8" ht="18" hidden="0" customHeight="1">
      <x:c r="B8" s="36" t="s">
        <x:v>79</x:v>
      </x:c>
      <x:c r="C8" s="35" t="s">
        <x:v>80</x:v>
      </x:c>
      <x:c r="D8" s="36" t="s">
        <x:v>81</x:v>
      </x:c>
      <x:c r="E8" s="36" t="s">
        <x:v>78</x:v>
      </x:c>
      <x:c r="F8" s="36" t="s">
        <x:v>70</x:v>
      </x:c>
      <x:c r="G8" s="34"/>
      <x:c r="H8" s="42" t="n">
        <x:v>8736</x:v>
      </x:c>
      <x:c r="I8" s="20"/>
    </x:row>
    <x:row r="9" ht="18" hidden="0" customHeight="1">
      <x:c r="B9" s="36" t="s">
        <x:v>82</x:v>
      </x:c>
      <x:c r="C9" s="35" t="s">
        <x:v>83</x:v>
      </x:c>
      <x:c r="D9" s="36" t="s">
        <x:v>84</x:v>
      </x:c>
      <x:c r="E9" s="36" t="s">
        <x:v>85</x:v>
      </x:c>
      <x:c r="F9" s="36" t="s">
        <x:v>70</x:v>
      </x:c>
      <x:c r="G9" s="34"/>
      <x:c r="H9" s="42" t="n">
        <x:v>8400</x:v>
      </x:c>
      <x:c r="I9" s="17"/>
    </x:row>
    <x:row r="10" ht="18" hidden="0" customHeight="1">
      <x:c r="B10" s="36" t="s">
        <x:v>86</x:v>
      </x:c>
      <x:c r="C10" s="35" t="s">
        <x:v>87</x:v>
      </x:c>
      <x:c r="D10" s="36" t="s">
        <x:v>88</x:v>
      </x:c>
      <x:c r="E10" s="36" t="s">
        <x:v>85</x:v>
      </x:c>
      <x:c r="F10" s="36" t="s">
        <x:v>70</x:v>
      </x:c>
      <x:c r="G10" s="34"/>
      <x:c r="H10" s="42" t="n">
        <x:v>8400</x:v>
      </x:c>
      <x:c r="I10" s="20"/>
    </x:row>
    <x:row r="11" ht="18" hidden="0" customHeight="1">
      <x:c r="B11" s="36" t="s">
        <x:v>89</x:v>
      </x:c>
      <x:c r="C11" s="35" t="s">
        <x:v>90</x:v>
      </x:c>
      <x:c r="D11" s="36" t="s">
        <x:v>84</x:v>
      </x:c>
      <x:c r="E11" s="36" t="s">
        <x:v>91</x:v>
      </x:c>
      <x:c r="F11" s="36" t="s">
        <x:v>70</x:v>
      </x:c>
      <x:c r="G11" s="34"/>
      <x:c r="H11" s="42" t="n">
        <x:v>8000</x:v>
      </x:c>
      <x:c r="I11" s="17"/>
    </x:row>
    <x:row r="12" ht="18" hidden="0" customHeight="1">
      <x:c r="B12" s="36" t="s">
        <x:v>92</x:v>
      </x:c>
      <x:c r="C12" s="35" t="s">
        <x:v>93</x:v>
      </x:c>
      <x:c r="D12" s="36" t="s">
        <x:v>88</x:v>
      </x:c>
      <x:c r="E12" s="36" t="s">
        <x:v>94</x:v>
      </x:c>
      <x:c r="F12" s="36" t="s">
        <x:v>70</x:v>
      </x:c>
      <x:c r="G12" s="34"/>
      <x:c r="H12" s="42" t="n">
        <x:v>8000</x:v>
      </x:c>
      <x:c r="I12" s="20"/>
    </x:row>
    <x:row r="13" ht="18" hidden="0" customHeight="1">
      <x:c r="B13" s="36" t="s">
        <x:v>95</x:v>
      </x:c>
      <x:c r="C13" s="35" t="s">
        <x:v>96</x:v>
      </x:c>
      <x:c r="D13" s="36" t="s">
        <x:v>97</x:v>
      </x:c>
      <x:c r="E13" s="36" t="s">
        <x:v>98</x:v>
      </x:c>
      <x:c r="F13" s="36" t="s">
        <x:v>74</x:v>
      </x:c>
      <x:c r="G13" s="34"/>
      <x:c r="H13" s="42" t="n">
        <x:v>8760</x:v>
      </x:c>
      <x:c r="I13" s="17"/>
    </x:row>
    <x:row r="14" ht="18" hidden="0" customHeight="1">
      <x:c r="B14" s="36" t="s">
        <x:v>99</x:v>
      </x:c>
      <x:c r="C14" s="35" t="s">
        <x:v>100</x:v>
      </x:c>
      <x:c r="D14" s="36" t="s">
        <x:v>101</x:v>
      </x:c>
      <x:c r="E14" s="36" t="s">
        <x:v>102</x:v>
      </x:c>
      <x:c r="F14" s="36" t="s">
        <x:v>103</x:v>
      </x:c>
      <x:c r="G14" s="34"/>
      <x:c r="H14" s="42" t="n">
        <x:v>8760</x:v>
      </x:c>
      <x:c r="I14" s="20"/>
    </x:row>
    <x:row r="15" ht="18" hidden="0" customHeight="1">
      <x:c r="B15" s="36"/>
      <x:c r="C15" s="35"/>
      <x:c r="D15" s="36"/>
      <x:c r="E15" s="36"/>
      <x:c r="F15" s="36"/>
      <x:c r="G15" s="36"/>
      <x:c r="H15" s="36"/>
    </x:row>
    <x:row r="16" ht="18" hidden="0" customHeight="1">
      <x:c r="B16" s="36"/>
      <x:c r="C16" s="35"/>
      <x:c r="D16" s="36"/>
      <x:c r="E16" s="36"/>
      <x:c r="F16" s="36"/>
      <x:c r="G16" s="36"/>
      <x:c r="H16" s="36"/>
    </x:row>
    <x:row r="17" ht="18" hidden="0" customHeight="1">
      <x:c r="B17" s="36"/>
      <x:c r="C17" s="35"/>
      <x:c r="D17" s="36"/>
      <x:c r="E17" s="36"/>
      <x:c r="F17" s="36"/>
      <x:c r="G17" s="36"/>
      <x:c r="H17" s="36"/>
    </x:row>
    <x:row r="18" ht="18" hidden="0" customHeight="1">
      <x:c r="B18" s="36"/>
      <x:c r="C18" s="35"/>
      <x:c r="D18" s="36"/>
      <x:c r="E18" s="36"/>
      <x:c r="F18" s="36"/>
      <x:c r="G18" s="36"/>
      <x:c r="H18" s="36"/>
    </x:row>
    <x:row r="19" ht="18" hidden="0" customHeight="1">
      <x:c r="B19" s="36"/>
      <x:c r="C19" s="35"/>
      <x:c r="D19" s="36"/>
      <x:c r="E19" s="36"/>
      <x:c r="F19" s="36"/>
      <x:c r="G19" s="36"/>
      <x:c r="H19" s="36"/>
    </x:row>
    <x:row r="20" ht="18" hidden="0" customHeight="1">
      <x:c r="B20" s="36"/>
      <x:c r="C20" s="35"/>
      <x:c r="D20" s="36"/>
      <x:c r="E20" s="36"/>
      <x:c r="F20" s="36"/>
      <x:c r="G20" s="36"/>
      <x:c r="H20" s="36"/>
    </x:row>
    <x:row r="21" ht="18" hidden="0" customHeight="1">
      <x:c r="B21" s="36"/>
      <x:c r="C21" s="35"/>
      <x:c r="D21" s="36"/>
      <x:c r="E21" s="36"/>
      <x:c r="F21" s="36"/>
      <x:c r="G21" s="36"/>
      <x:c r="H21" s="36"/>
    </x:row>
    <x:row r="22" ht="18" hidden="0" customHeight="1">
      <x:c r="B22" s="36"/>
      <x:c r="C22" s="35"/>
      <x:c r="D22" s="36"/>
      <x:c r="E22" s="36"/>
      <x:c r="F22" s="36"/>
      <x:c r="G22" s="36"/>
      <x:c r="H22" s="36"/>
    </x:row>
    <x:row r="23" ht="18" hidden="0" customHeight="1">
      <x:c r="B23" s="36"/>
      <x:c r="C23" s="35"/>
      <x:c r="D23" s="36"/>
      <x:c r="E23" s="36"/>
      <x:c r="F23" s="36"/>
      <x:c r="G23" s="36"/>
      <x:c r="H23" s="36"/>
    </x:row>
    <x:row r="24" ht="18" hidden="0" customHeight="1">
      <x:c r="B24" s="36"/>
      <x:c r="C24" s="35"/>
      <x:c r="D24" s="36"/>
      <x:c r="E24" s="36"/>
      <x:c r="F24" s="36"/>
      <x:c r="G24" s="36"/>
      <x:c r="H24" s="36"/>
    </x:row>
    <x:row r="25" ht="18" hidden="0" customHeight="1">
      <x:c r="B25" s="36"/>
      <x:c r="C25" s="35"/>
      <x:c r="D25" s="36"/>
      <x:c r="E25" s="36"/>
      <x:c r="F25" s="36"/>
      <x:c r="G25" s="36"/>
      <x:c r="H25" s="36"/>
    </x:row>
    <x:row r="26" ht="18" hidden="0" customHeight="1">
      <x:c r="B26" s="36"/>
      <x:c r="C26" s="35"/>
      <x:c r="D26" s="36"/>
      <x:c r="E26" s="36"/>
      <x:c r="F26" s="36"/>
      <x:c r="G26" s="36"/>
      <x:c r="H26" s="36"/>
    </x:row>
    <x:row r="27" ht="18" hidden="0" customHeight="1">
      <x:c r="B27" s="36"/>
      <x:c r="C27" s="35"/>
      <x:c r="D27" s="36"/>
      <x:c r="E27" s="36"/>
      <x:c r="F27" s="36"/>
      <x:c r="G27" s="36"/>
      <x:c r="H27" s="36"/>
    </x:row>
    <x:row r="28" ht="18" hidden="0" customHeight="1">
      <x:c r="B28" s="36"/>
      <x:c r="C28" s="35"/>
      <x:c r="D28" s="36"/>
      <x:c r="E28" s="36"/>
      <x:c r="F28" s="36"/>
      <x:c r="G28" s="36"/>
      <x:c r="H28" s="36"/>
    </x:row>
    <x:row r="29" ht="18" hidden="0" customHeight="1">
      <x:c r="B29" s="36"/>
      <x:c r="C29" s="35"/>
      <x:c r="D29" s="36"/>
      <x:c r="E29" s="36"/>
      <x:c r="F29" s="36"/>
      <x:c r="G29" s="36"/>
      <x:c r="H29" s="36"/>
    </x:row>
    <x:row r="30" ht="18" hidden="0" customHeight="1">
      <x:c r="B30" s="36"/>
      <x:c r="C30" s="35"/>
      <x:c r="D30" s="36"/>
      <x:c r="E30" s="36"/>
      <x:c r="F30" s="36"/>
      <x:c r="G30" s="36"/>
      <x:c r="H30" s="36"/>
    </x:row>
    <x:row r="31" ht="18" hidden="0" customHeight="1">
      <x:c r="B31" s="36"/>
      <x:c r="C31" s="35"/>
      <x:c r="D31" s="36"/>
      <x:c r="E31" s="36"/>
      <x:c r="F31" s="36"/>
      <x:c r="G31" s="36"/>
      <x:c r="H31" s="36"/>
    </x:row>
    <x:row r="32" ht="18" hidden="0" customHeight="1">
      <x:c r="B32" s="36"/>
      <x:c r="C32" s="35"/>
      <x:c r="D32" s="36"/>
      <x:c r="E32" s="36"/>
      <x:c r="F32" s="36"/>
      <x:c r="G32" s="36"/>
      <x:c r="H32" s="36"/>
    </x:row>
    <x:row r="33" ht="18" hidden="0" customHeight="1">
      <x:c r="B33" s="36"/>
      <x:c r="C33" s="35"/>
      <x:c r="D33" s="36"/>
      <x:c r="E33" s="36"/>
      <x:c r="F33" s="36"/>
      <x:c r="G33" s="36"/>
      <x:c r="H33" s="36"/>
    </x:row>
    <x:row r="34" ht="18" hidden="0" customHeight="1">
      <x:c r="B34" s="36"/>
      <x:c r="C34" s="35"/>
      <x:c r="D34" s="36"/>
      <x:c r="E34" s="36"/>
      <x:c r="F34" s="36"/>
      <x:c r="G34" s="36"/>
      <x:c r="H34" s="36"/>
    </x:row>
    <x:row r="35" ht="18" hidden="0" customHeight="1">
      <x:c r="B35" s="36"/>
      <x:c r="C35" s="35"/>
      <x:c r="D35" s="36"/>
      <x:c r="E35" s="36"/>
      <x:c r="F35" s="36"/>
      <x:c r="G35" s="36"/>
      <x:c r="H35" s="36"/>
    </x:row>
    <x:row r="36" ht="18" hidden="0" customHeight="1">
      <x:c r="B36" s="36"/>
      <x:c r="C36" s="35"/>
      <x:c r="D36" s="36"/>
      <x:c r="E36" s="36"/>
      <x:c r="F36" s="36"/>
      <x:c r="G36" s="36"/>
      <x:c r="H36" s="36"/>
    </x:row>
    <x:row r="37" ht="18" hidden="0" customHeight="1">
      <x:c r="B37" s="36"/>
      <x:c r="C37" s="35"/>
      <x:c r="D37" s="36"/>
      <x:c r="E37" s="36"/>
      <x:c r="F37" s="36"/>
      <x:c r="G37" s="36"/>
      <x:c r="H37" s="36"/>
    </x:row>
    <x:row r="38" ht="18" hidden="0" customHeight="1">
      <x:c r="B38" s="36"/>
      <x:c r="C38" s="35"/>
      <x:c r="D38" s="36"/>
      <x:c r="E38" s="36"/>
      <x:c r="F38" s="36"/>
      <x:c r="G38" s="36"/>
      <x:c r="H38" s="36"/>
    </x:row>
    <x:row r="39" ht="18" hidden="0" customHeight="1">
      <x:c r="B39" s="36"/>
      <x:c r="C39" s="35"/>
      <x:c r="D39" s="36"/>
      <x:c r="E39" s="36"/>
      <x:c r="F39" s="36"/>
      <x:c r="G39" s="36"/>
      <x:c r="H39" s="36"/>
    </x:row>
    <x:row r="40" ht="18" hidden="0" customHeight="1">
      <x:c r="B40" s="36"/>
      <x:c r="C40" s="35"/>
      <x:c r="D40" s="36"/>
      <x:c r="E40" s="36"/>
      <x:c r="F40" s="36"/>
      <x:c r="G40" s="36"/>
      <x:c r="H40" s="36"/>
    </x:row>
    <x:row r="41" ht="18" hidden="0" customHeight="1">
      <x:c r="B41" s="36"/>
      <x:c r="C41" s="35"/>
      <x:c r="D41" s="36"/>
      <x:c r="E41" s="36"/>
      <x:c r="F41" s="36"/>
      <x:c r="G41" s="36"/>
      <x:c r="H41" s="36"/>
    </x:row>
    <x:row r="42" ht="18" hidden="0" customHeight="1">
      <x:c r="B42" s="36"/>
      <x:c r="C42" s="35"/>
      <x:c r="D42" s="36"/>
      <x:c r="E42" s="36"/>
      <x:c r="F42" s="36"/>
      <x:c r="G42" s="36"/>
      <x:c r="H42" s="36"/>
    </x:row>
    <x:row r="43" ht="18" hidden="0" customHeight="1">
      <x:c r="B43" s="36"/>
      <x:c r="C43" s="35"/>
      <x:c r="D43" s="36"/>
      <x:c r="E43" s="36"/>
      <x:c r="F43" s="36"/>
      <x:c r="G43" s="36"/>
      <x:c r="H43" s="36"/>
    </x:row>
    <x:row r="44" ht="18" hidden="0" customHeight="1">
      <x:c r="B44" s="36"/>
      <x:c r="C44" s="35"/>
      <x:c r="D44" s="36"/>
      <x:c r="E44" s="36"/>
      <x:c r="F44" s="36"/>
      <x:c r="G44" s="36"/>
      <x:c r="H44" s="36"/>
    </x:row>
  </x:sheetData>
  <x:mergeCells>
    <x:mergeCell ref="B2:H2"/>
    <x:mergeCell ref="B3:H3"/>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sheetData>
    <x:row r="1" ht="15" hidden="0" customHeight="1">
      <x:c r="A1" s="1" t="s">
        <x:v>104</x:v>
      </x:c>
      <x:c r="B1" s="1" t="s">
        <x:v>105</x:v>
      </x:c>
      <x:c r="D1" s="1" t="s">
        <x:v>37</x:v>
      </x:c>
      <x:c r="E1" s="1" t="s">
        <x:v>106</x:v>
      </x:c>
      <x:c r="F1" s="1" t="s">
        <x:v>107</x:v>
      </x:c>
      <x:c r="H1" s="1" t="s">
        <x:v>39</x:v>
      </x:c>
      <x:c r="I1" s="1" t="s">
        <x:v>106</x:v>
      </x:c>
      <x:c r="J1" s="1" t="s">
        <x:v>107</x:v>
      </x:c>
      <x:c r="M1" s="1" t="s">
        <x:v>42</x:v>
      </x:c>
      <x:c r="N1" s="1" t="s">
        <x:v>37</x:v>
      </x:c>
      <x:c r="O1" s="1" t="s">
        <x:v>108</x:v>
      </x:c>
      <x:c r="P1" s="1" t="s">
        <x:v>106</x:v>
      </x:c>
      <x:c r="Q1" s="1" t="s">
        <x:v>50</x:v>
      </x:c>
      <x:c r="R1" s="1" t="s">
        <x:v>109</x:v>
      </x:c>
      <x:c r="T1" s="1" t="s">
        <x:v>43</x:v>
      </x:c>
      <x:c r="U1" s="1" t="s">
        <x:v>106</x:v>
      </x:c>
      <x:c r="V1" s="1" t="s">
        <x:v>110</x:v>
      </x:c>
      <x:c r="W1" s="1" t="s">
        <x:v>44</x:v>
      </x:c>
      <x:c r="X1" s="1" t="s">
        <x:v>45</x:v>
      </x:c>
      <x:c r="Y1" s="1" t="s">
        <x:v>23</x:v>
      </x:c>
    </x:row>
    <x:row r="2" ht="15" hidden="0" customHeight="1">
      <x:c r="A2" s="1" t="s">
        <x:v>23</x:v>
      </x:c>
      <x:c r="B2" s="43" t="n">
        <x:f aca="0">IFERROR(B5*0.85*0.95,0)</x:f>
        <x:v>0.8075</x:v>
      </x:c>
    </x:row>
    <x:row r="3" ht="15" hidden="0" customHeight="1">
      <x:c r="A3" s="1" t="s">
        <x:v>44</x:v>
      </x:c>
      <x:c r="B3" s="44" t="n">
        <x:f aca="0">IFERROR((B8-B6)/B7,0)</x:f>
        <x:v>0</x:v>
      </x:c>
      <x:c r="D3" s="1" t="s">
        <x:v>66</x:v>
      </x:c>
      <x:c r="E3" s="44" t="n">
        <x:f aca="0">SUMIF('📋 Downtime Log'!C5:C104,D3,'📋 Downtime Log'!H5:H104)</x:f>
        <x:v>0</x:v>
      </x:c>
      <x:c r="F3" s="43" t="n">
        <x:f aca="0">IFERROR(E3/SUM(E3:E10),0)</x:f>
        <x:v>0</x:v>
      </x:c>
      <x:c r="H3" s="1" t="s">
        <x:v>111</x:v>
      </x:c>
      <x:c r="I3" s="44" t="n">
        <x:f aca="0">SUMIF('📋 Downtime Log'!I5:I104,H3,'📋 Downtime Log'!H5:H104)</x:f>
        <x:v>0</x:v>
      </x:c>
      <x:c r="J3" s="43" t="n">
        <x:f aca="0">IFERROR(I3/SUM(I3:I10),0)</x:f>
        <x:v>0</x:v>
      </x:c>
      <x:c r="M3" s="45" t="str">
        <x:f aca="0">IFERROR(INDEX('📋 Downtime Log'!B5:B104,MATCH(LARGE('📋 Downtime Log'!H5:H104,1),'📋 Downtime Log'!H5:H104,0)),"")</x:f>
      </x:c>
      <x:c r="N3" s="1" t="str">
        <x:f aca="0">IFERROR(INDEX('📋 Downtime Log'!C5:C104,MATCH(LARGE('📋 Downtime Log'!H5:H104,1),'📋 Downtime Log'!H5:H104,0)),"")</x:f>
      </x:c>
      <x:c r="O3" s="1" t="str">
        <x:f aca="0">IFERROR(INDEX('📋 Downtime Log'!I5:I104,MATCH(LARGE('📋 Downtime Log'!H5:H104,1),'📋 Downtime Log'!H5:H104,0)),"")</x:f>
      </x:c>
      <x:c r="P3" s="44" t="str">
        <x:f aca="0">IFERROR(LARGE('📋 Downtime Log'!H5:H104,1),"")</x:f>
      </x:c>
      <x:c r="Q3" s="1" t="str">
        <x:f aca="0">IFERROR(INDEX('📋 Downtime Log'!E5:E104,MATCH(LARGE('📋 Downtime Log'!H5:H104,1),'📋 Downtime Log'!H5:H104,0)),"")</x:f>
      </x:c>
      <x:c r="R3" s="1" t="str">
        <x:f aca="0">IFERROR(INDEX('📋 Downtime Log'!L5:L104,MATCH(LARGE('📋 Downtime Log'!H5:H104,1),'📋 Downtime Log'!H5:H104,0)),"")</x:f>
      </x:c>
      <x:c r="T3" s="1" t="s">
        <x:v>112</x:v>
      </x:c>
      <x:c r="U3" s="44" t="n">
        <x:f aca="0">IFERROR(SUMPRODUCT((TEXT('📋 Downtime Log'!B5:B104,"MMM")="Jan")*('📋 Downtime Log'!H5:H104)),0)</x:f>
        <x:v>0</x:v>
      </x:c>
      <x:c r="V3" s="46" t="n">
        <x:f aca="0">IFERROR(SUMPRODUCT((TEXT('📋 Downtime Log'!B5:B104,"MMM")="Jan")*1),0)</x:f>
        <x:v>0</x:v>
      </x:c>
      <x:c r="W3" s="44" t="n">
        <x:f aca="0">IFERROR((700-U3)/V3,0)</x:f>
        <x:v>0</x:v>
      </x:c>
      <x:c r="X3" s="44" t="n">
        <x:f aca="0">IFERROR(U3/V3,0)</x:f>
        <x:v>0</x:v>
      </x:c>
      <x:c r="Y3" s="43" t="n">
        <x:f aca="0">IFERROR((700-U3)/700*0.85*0.95,0)</x:f>
        <x:v>0.8075</x:v>
      </x:c>
    </x:row>
    <x:row r="4" ht="15" hidden="0" customHeight="1">
      <x:c r="A4" s="1" t="s">
        <x:v>45</x:v>
      </x:c>
      <x:c r="B4" s="44" t="n">
        <x:f aca="0">IFERROR(B6/B7,0)</x:f>
        <x:v>0</x:v>
      </x:c>
      <x:c r="D4" s="1" t="s">
        <x:v>71</x:v>
      </x:c>
      <x:c r="E4" s="44" t="n">
        <x:f aca="0">SUMIF('📋 Downtime Log'!C5:C104,D4,'📋 Downtime Log'!H5:H104)</x:f>
        <x:v>0</x:v>
      </x:c>
      <x:c r="F4" s="43" t="n">
        <x:f aca="0">IFERROR(E4/SUM(E3:E10),0)</x:f>
        <x:v>0</x:v>
      </x:c>
      <x:c r="H4" s="1" t="s">
        <x:v>113</x:v>
      </x:c>
      <x:c r="I4" s="44" t="n">
        <x:f aca="0">SUMIF('📋 Downtime Log'!I5:I104,H4,'📋 Downtime Log'!H5:H104)</x:f>
        <x:v>0</x:v>
      </x:c>
      <x:c r="J4" s="43" t="n">
        <x:f aca="0">IFERROR(I4/SUM(I3:I10),0)</x:f>
        <x:v>0</x:v>
      </x:c>
      <x:c r="M4" s="45" t="str">
        <x:f aca="0">IFERROR(INDEX('📋 Downtime Log'!B5:B104,MATCH(LARGE('📋 Downtime Log'!H5:H104,2),'📋 Downtime Log'!H5:H104,0)),"")</x:f>
      </x:c>
      <x:c r="N4" s="1" t="str">
        <x:f aca="0">IFERROR(INDEX('📋 Downtime Log'!C5:C104,MATCH(LARGE('📋 Downtime Log'!H5:H104,2),'📋 Downtime Log'!H5:H104,0)),"")</x:f>
      </x:c>
      <x:c r="O4" s="1" t="str">
        <x:f aca="0">IFERROR(INDEX('📋 Downtime Log'!I5:I104,MATCH(LARGE('📋 Downtime Log'!H5:H104,2),'📋 Downtime Log'!H5:H104,0)),"")</x:f>
      </x:c>
      <x:c r="P4" s="44" t="str">
        <x:f aca="0">IFERROR(LARGE('📋 Downtime Log'!H5:H104,2),"")</x:f>
      </x:c>
      <x:c r="Q4" s="1" t="str">
        <x:f aca="0">IFERROR(INDEX('📋 Downtime Log'!E5:E104,MATCH(LARGE('📋 Downtime Log'!H5:H104,2),'📋 Downtime Log'!H5:H104,0)),"")</x:f>
      </x:c>
      <x:c r="R4" s="1" t="str">
        <x:f aca="0">IFERROR(INDEX('📋 Downtime Log'!L5:L104,MATCH(LARGE('📋 Downtime Log'!H5:H104,2),'📋 Downtime Log'!H5:H104,0)),"")</x:f>
      </x:c>
      <x:c r="T4" s="1" t="s">
        <x:v>114</x:v>
      </x:c>
      <x:c r="U4" s="44" t="n">
        <x:f aca="0">IFERROR(SUMPRODUCT((TEXT('📋 Downtime Log'!B5:B104,"MMM")="Feb")*('📋 Downtime Log'!H5:H104)),0)</x:f>
        <x:v>0</x:v>
      </x:c>
      <x:c r="V4" s="46" t="n">
        <x:f aca="0">IFERROR(SUMPRODUCT((TEXT('📋 Downtime Log'!B5:B104,"MMM")="Feb")*1),0)</x:f>
        <x:v>0</x:v>
      </x:c>
      <x:c r="W4" s="44" t="n">
        <x:f aca="0">IFERROR((700-U4)/V4,0)</x:f>
        <x:v>0</x:v>
      </x:c>
      <x:c r="X4" s="44" t="n">
        <x:f aca="0">IFERROR(U4/V4,0)</x:f>
        <x:v>0</x:v>
      </x:c>
      <x:c r="Y4" s="43" t="n">
        <x:f aca="0">IFERROR((700-U4)/700*0.85*0.95,0)</x:f>
        <x:v>0.8075</x:v>
      </x:c>
    </x:row>
    <x:row r="5" ht="15" hidden="0" customHeight="1">
      <x:c r="A5" s="1" t="s">
        <x:v>26</x:v>
      </x:c>
      <x:c r="B5" s="43" t="n">
        <x:f aca="0">IFERROR((B8-B6)/B8,0)</x:f>
        <x:v>1</x:v>
      </x:c>
      <x:c r="D5" s="1" t="s">
        <x:v>75</x:v>
      </x:c>
      <x:c r="E5" s="44" t="n">
        <x:f aca="0">SUMIF('📋 Downtime Log'!C5:C104,D5,'📋 Downtime Log'!H5:H104)</x:f>
        <x:v>0</x:v>
      </x:c>
      <x:c r="F5" s="43" t="n">
        <x:f aca="0">IFERROR(E5/SUM(E3:E10),0)</x:f>
        <x:v>0</x:v>
      </x:c>
      <x:c r="H5" s="1" t="s">
        <x:v>115</x:v>
      </x:c>
      <x:c r="I5" s="44" t="n">
        <x:f aca="0">SUMIF('📋 Downtime Log'!I5:I104,H5,'📋 Downtime Log'!H5:H104)</x:f>
        <x:v>0</x:v>
      </x:c>
      <x:c r="J5" s="43" t="n">
        <x:f aca="0">IFERROR(I5/SUM(I3:I10),0)</x:f>
        <x:v>0</x:v>
      </x:c>
      <x:c r="M5" s="45" t="str">
        <x:f aca="0">IFERROR(INDEX('📋 Downtime Log'!B5:B104,MATCH(LARGE('📋 Downtime Log'!H5:H104,3),'📋 Downtime Log'!H5:H104,0)),"")</x:f>
      </x:c>
      <x:c r="N5" s="1" t="str">
        <x:f aca="0">IFERROR(INDEX('📋 Downtime Log'!C5:C104,MATCH(LARGE('📋 Downtime Log'!H5:H104,3),'📋 Downtime Log'!H5:H104,0)),"")</x:f>
      </x:c>
      <x:c r="O5" s="1" t="str">
        <x:f aca="0">IFERROR(INDEX('📋 Downtime Log'!I5:I104,MATCH(LARGE('📋 Downtime Log'!H5:H104,3),'📋 Downtime Log'!H5:H104,0)),"")</x:f>
      </x:c>
      <x:c r="P5" s="44" t="str">
        <x:f aca="0">IFERROR(LARGE('📋 Downtime Log'!H5:H104,3),"")</x:f>
      </x:c>
      <x:c r="Q5" s="1" t="str">
        <x:f aca="0">IFERROR(INDEX('📋 Downtime Log'!E5:E104,MATCH(LARGE('📋 Downtime Log'!H5:H104,3),'📋 Downtime Log'!H5:H104,0)),"")</x:f>
      </x:c>
      <x:c r="R5" s="1" t="str">
        <x:f aca="0">IFERROR(INDEX('📋 Downtime Log'!L5:L104,MATCH(LARGE('📋 Downtime Log'!H5:H104,3),'📋 Downtime Log'!H5:H104,0)),"")</x:f>
      </x:c>
      <x:c r="T5" s="1" t="s">
        <x:v>116</x:v>
      </x:c>
      <x:c r="U5" s="44" t="n">
        <x:f aca="0">IFERROR(SUMPRODUCT((TEXT('📋 Downtime Log'!B5:B104,"MMM")="Mar")*('📋 Downtime Log'!H5:H104)),0)</x:f>
        <x:v>0</x:v>
      </x:c>
      <x:c r="V5" s="46" t="n">
        <x:f aca="0">IFERROR(SUMPRODUCT((TEXT('📋 Downtime Log'!B5:B104,"MMM")="Mar")*1),0)</x:f>
        <x:v>0</x:v>
      </x:c>
      <x:c r="W5" s="44" t="n">
        <x:f aca="0">IFERROR((700-U5)/V5,0)</x:f>
        <x:v>0</x:v>
      </x:c>
      <x:c r="X5" s="44" t="n">
        <x:f aca="0">IFERROR(U5/V5,0)</x:f>
        <x:v>0</x:v>
      </x:c>
      <x:c r="Y5" s="43" t="n">
        <x:f aca="0">IFERROR((700-U5)/700*0.85*0.95,0)</x:f>
        <x:v>0.8075</x:v>
      </x:c>
    </x:row>
    <x:row r="6" ht="15" hidden="0" customHeight="1">
      <x:c r="A6" s="1" t="s">
        <x:v>117</x:v>
      </x:c>
      <x:c r="B6" s="47" t="n">
        <x:f aca="0">'📋 Downtime Log'!H105</x:f>
        <x:v>0</x:v>
      </x:c>
      <x:c r="D6" s="1" t="s">
        <x:v>79</x:v>
      </x:c>
      <x:c r="E6" s="44" t="n">
        <x:f aca="0">SUMIF('📋 Downtime Log'!C5:C104,D6,'📋 Downtime Log'!H5:H104)</x:f>
        <x:v>0</x:v>
      </x:c>
      <x:c r="F6" s="43" t="n">
        <x:f aca="0">IFERROR(E6/SUM(E3:E10),0)</x:f>
        <x:v>0</x:v>
      </x:c>
      <x:c r="H6" s="1" t="s">
        <x:v>118</x:v>
      </x:c>
      <x:c r="I6" s="44" t="n">
        <x:f aca="0">SUMIF('📋 Downtime Log'!I5:I104,H6,'📋 Downtime Log'!H5:H104)</x:f>
        <x:v>0</x:v>
      </x:c>
      <x:c r="J6" s="43" t="n">
        <x:f aca="0">IFERROR(I6/SUM(I3:I10),0)</x:f>
        <x:v>0</x:v>
      </x:c>
      <x:c r="M6" s="45" t="str">
        <x:f aca="0">IFERROR(INDEX('📋 Downtime Log'!B5:B104,MATCH(LARGE('📋 Downtime Log'!H5:H104,4),'📋 Downtime Log'!H5:H104,0)),"")</x:f>
      </x:c>
      <x:c r="N6" s="1" t="str">
        <x:f aca="0">IFERROR(INDEX('📋 Downtime Log'!C5:C104,MATCH(LARGE('📋 Downtime Log'!H5:H104,4),'📋 Downtime Log'!H5:H104,0)),"")</x:f>
      </x:c>
      <x:c r="O6" s="1" t="str">
        <x:f aca="0">IFERROR(INDEX('📋 Downtime Log'!I5:I104,MATCH(LARGE('📋 Downtime Log'!H5:H104,4),'📋 Downtime Log'!H5:H104,0)),"")</x:f>
      </x:c>
      <x:c r="P6" s="44" t="str">
        <x:f aca="0">IFERROR(LARGE('📋 Downtime Log'!H5:H104,4),"")</x:f>
      </x:c>
      <x:c r="Q6" s="1" t="str">
        <x:f aca="0">IFERROR(INDEX('📋 Downtime Log'!E5:E104,MATCH(LARGE('📋 Downtime Log'!H5:H104,4),'📋 Downtime Log'!H5:H104,0)),"")</x:f>
      </x:c>
      <x:c r="R6" s="1" t="str">
        <x:f aca="0">IFERROR(INDEX('📋 Downtime Log'!L5:L104,MATCH(LARGE('📋 Downtime Log'!H5:H104,4),'📋 Downtime Log'!H5:H104,0)),"")</x:f>
      </x:c>
      <x:c r="T6" s="1" t="s">
        <x:v>119</x:v>
      </x:c>
      <x:c r="U6" s="44" t="n">
        <x:f aca="0">IFERROR(SUMPRODUCT((TEXT('📋 Downtime Log'!B5:B104,"MMM")="Apr")*('📋 Downtime Log'!H5:H104)),0)</x:f>
        <x:v>0</x:v>
      </x:c>
      <x:c r="V6" s="46" t="n">
        <x:f aca="0">IFERROR(SUMPRODUCT((TEXT('📋 Downtime Log'!B5:B104,"MMM")="Apr")*1),0)</x:f>
        <x:v>0</x:v>
      </x:c>
      <x:c r="W6" s="44" t="n">
        <x:f aca="0">IFERROR((700-U6)/V6,0)</x:f>
        <x:v>0</x:v>
      </x:c>
      <x:c r="X6" s="44" t="n">
        <x:f aca="0">IFERROR(U6/V6,0)</x:f>
        <x:v>0</x:v>
      </x:c>
      <x:c r="Y6" s="43" t="n">
        <x:f aca="0">IFERROR((700-U6)/700*0.85*0.95,0)</x:f>
        <x:v>0.8075</x:v>
      </x:c>
    </x:row>
    <x:row r="7" ht="15" hidden="0" customHeight="1">
      <x:c r="A7" s="1" t="s">
        <x:v>120</x:v>
      </x:c>
      <x:c r="B7" s="46" t="n">
        <x:f aca="0">'📋 Downtime Log'!I105</x:f>
        <x:v>0</x:v>
      </x:c>
      <x:c r="D7" s="1" t="s">
        <x:v>82</x:v>
      </x:c>
      <x:c r="E7" s="44" t="n">
        <x:f aca="0">SUMIF('📋 Downtime Log'!C5:C104,D7,'📋 Downtime Log'!H5:H104)</x:f>
        <x:v>0</x:v>
      </x:c>
      <x:c r="F7" s="43" t="n">
        <x:f aca="0">IFERROR(E7/SUM(E3:E10),0)</x:f>
        <x:v>0</x:v>
      </x:c>
      <x:c r="H7" s="1" t="s">
        <x:v>121</x:v>
      </x:c>
      <x:c r="I7" s="44" t="n">
        <x:f aca="0">SUMIF('📋 Downtime Log'!I5:I104,H7,'📋 Downtime Log'!H5:H104)</x:f>
        <x:v>0</x:v>
      </x:c>
      <x:c r="J7" s="43" t="n">
        <x:f aca="0">IFERROR(I7/SUM(I3:I10),0)</x:f>
        <x:v>0</x:v>
      </x:c>
      <x:c r="M7" s="45" t="str">
        <x:f aca="0">IFERROR(INDEX('📋 Downtime Log'!B5:B104,MATCH(LARGE('📋 Downtime Log'!H5:H104,5),'📋 Downtime Log'!H5:H104,0)),"")</x:f>
      </x:c>
      <x:c r="N7" s="1" t="str">
        <x:f aca="0">IFERROR(INDEX('📋 Downtime Log'!C5:C104,MATCH(LARGE('📋 Downtime Log'!H5:H104,5),'📋 Downtime Log'!H5:H104,0)),"")</x:f>
      </x:c>
      <x:c r="O7" s="1" t="str">
        <x:f aca="0">IFERROR(INDEX('📋 Downtime Log'!I5:I104,MATCH(LARGE('📋 Downtime Log'!H5:H104,5),'📋 Downtime Log'!H5:H104,0)),"")</x:f>
      </x:c>
      <x:c r="P7" s="44" t="str">
        <x:f aca="0">IFERROR(LARGE('📋 Downtime Log'!H5:H104,5),"")</x:f>
      </x:c>
      <x:c r="Q7" s="1" t="str">
        <x:f aca="0">IFERROR(INDEX('📋 Downtime Log'!E5:E104,MATCH(LARGE('📋 Downtime Log'!H5:H104,5),'📋 Downtime Log'!H5:H104,0)),"")</x:f>
      </x:c>
      <x:c r="R7" s="1" t="str">
        <x:f aca="0">IFERROR(INDEX('📋 Downtime Log'!L5:L104,MATCH(LARGE('📋 Downtime Log'!H5:H104,5),'📋 Downtime Log'!H5:H104,0)),"")</x:f>
      </x:c>
      <x:c r="T7" s="1" t="s">
        <x:v>122</x:v>
      </x:c>
      <x:c r="U7" s="44" t="n">
        <x:f aca="0">IFERROR(SUMPRODUCT((TEXT('📋 Downtime Log'!B5:B104,"MMM")="May")*('📋 Downtime Log'!H5:H104)),0)</x:f>
        <x:v>0</x:v>
      </x:c>
      <x:c r="V7" s="46" t="n">
        <x:f aca="0">IFERROR(SUMPRODUCT((TEXT('📋 Downtime Log'!B5:B104,"MMM")="May")*1),0)</x:f>
        <x:v>0</x:v>
      </x:c>
      <x:c r="W7" s="44" t="n">
        <x:f aca="0">IFERROR((700-U7)/V7,0)</x:f>
        <x:v>0</x:v>
      </x:c>
      <x:c r="X7" s="44" t="n">
        <x:f aca="0">IFERROR(U7/V7,0)</x:f>
        <x:v>0</x:v>
      </x:c>
      <x:c r="Y7" s="43" t="n">
        <x:f aca="0">IFERROR((700-U7)/700*0.85*0.95,0)</x:f>
        <x:v>0.8075</x:v>
      </x:c>
    </x:row>
    <x:row r="8" ht="15" hidden="0" customHeight="1">
      <x:c r="A8" s="1" t="s">
        <x:v>123</x:v>
      </x:c>
      <x:c r="B8" s="1" t="n">
        <x:f aca="0">SUMIF('⚙ Equipment Register'!B5:B44,"&lt;&gt;""",'⚙ Equipment Register'!H5:H44)</x:f>
        <x:v>84592</x:v>
      </x:c>
      <x:c r="D8" s="1" t="s">
        <x:v>86</x:v>
      </x:c>
      <x:c r="E8" s="44" t="n">
        <x:f aca="0">SUMIF('📋 Downtime Log'!C5:C104,D8,'📋 Downtime Log'!H5:H104)</x:f>
        <x:v>0</x:v>
      </x:c>
      <x:c r="F8" s="43" t="n">
        <x:f aca="0">IFERROR(E8/SUM(E3:E10),0)</x:f>
        <x:v>0</x:v>
      </x:c>
      <x:c r="H8" s="1" t="s">
        <x:v>124</x:v>
      </x:c>
      <x:c r="I8" s="44" t="n">
        <x:f aca="0">SUMIF('📋 Downtime Log'!I5:I104,H8,'📋 Downtime Log'!H5:H104)</x:f>
        <x:v>0</x:v>
      </x:c>
      <x:c r="J8" s="43" t="n">
        <x:f aca="0">IFERROR(I8/SUM(I3:I10),0)</x:f>
        <x:v>0</x:v>
      </x:c>
      <x:c r="M8" s="45" t="str">
        <x:f aca="0">IFERROR(INDEX('📋 Downtime Log'!B5:B104,MATCH(LARGE('📋 Downtime Log'!H5:H104,6),'📋 Downtime Log'!H5:H104,0)),"")</x:f>
      </x:c>
      <x:c r="N8" s="1" t="str">
        <x:f aca="0">IFERROR(INDEX('📋 Downtime Log'!C5:C104,MATCH(LARGE('📋 Downtime Log'!H5:H104,6),'📋 Downtime Log'!H5:H104,0)),"")</x:f>
      </x:c>
      <x:c r="O8" s="1" t="str">
        <x:f aca="0">IFERROR(INDEX('📋 Downtime Log'!I5:I104,MATCH(LARGE('📋 Downtime Log'!H5:H104,6),'📋 Downtime Log'!H5:H104,0)),"")</x:f>
      </x:c>
      <x:c r="P8" s="44" t="str">
        <x:f aca="0">IFERROR(LARGE('📋 Downtime Log'!H5:H104,6),"")</x:f>
      </x:c>
      <x:c r="Q8" s="1" t="str">
        <x:f aca="0">IFERROR(INDEX('📋 Downtime Log'!E5:E104,MATCH(LARGE('📋 Downtime Log'!H5:H104,6),'📋 Downtime Log'!H5:H104,0)),"")</x:f>
      </x:c>
      <x:c r="R8" s="1" t="str">
        <x:f aca="0">IFERROR(INDEX('📋 Downtime Log'!L5:L104,MATCH(LARGE('📋 Downtime Log'!H5:H104,6),'📋 Downtime Log'!H5:H104,0)),"")</x:f>
      </x:c>
      <x:c r="T8" s="1" t="s">
        <x:v>125</x:v>
      </x:c>
      <x:c r="U8" s="44" t="n">
        <x:f aca="0">IFERROR(SUMPRODUCT((TEXT('📋 Downtime Log'!B5:B104,"MMM")="Jun")*('📋 Downtime Log'!H5:H104)),0)</x:f>
        <x:v>0</x:v>
      </x:c>
      <x:c r="V8" s="46" t="n">
        <x:f aca="0">IFERROR(SUMPRODUCT((TEXT('📋 Downtime Log'!B5:B104,"MMM")="Jun")*1),0)</x:f>
        <x:v>0</x:v>
      </x:c>
      <x:c r="W8" s="44" t="n">
        <x:f aca="0">IFERROR((700-U8)/V8,0)</x:f>
        <x:v>0</x:v>
      </x:c>
      <x:c r="X8" s="44" t="n">
        <x:f aca="0">IFERROR(U8/V8,0)</x:f>
        <x:v>0</x:v>
      </x:c>
      <x:c r="Y8" s="43" t="n">
        <x:f aca="0">IFERROR((700-U8)/700*0.85*0.95,0)</x:f>
        <x:v>0.8075</x:v>
      </x:c>
    </x:row>
    <x:row r="9" ht="15" hidden="0" customHeight="1">
      <x:c r="D9" s="1" t="s">
        <x:v>89</x:v>
      </x:c>
      <x:c r="E9" s="44" t="n">
        <x:f aca="0">SUMIF('📋 Downtime Log'!C5:C104,D9,'📋 Downtime Log'!H5:H104)</x:f>
        <x:v>0</x:v>
      </x:c>
      <x:c r="F9" s="43" t="n">
        <x:f aca="0">IFERROR(E9/SUM(E3:E10),0)</x:f>
        <x:v>0</x:v>
      </x:c>
      <x:c r="H9" s="1" t="s">
        <x:v>126</x:v>
      </x:c>
      <x:c r="I9" s="44" t="n">
        <x:f aca="0">SUMIF('📋 Downtime Log'!I5:I104,H9,'📋 Downtime Log'!H5:H104)</x:f>
        <x:v>0</x:v>
      </x:c>
      <x:c r="J9" s="43" t="n">
        <x:f aca="0">IFERROR(I9/SUM(I3:I10),0)</x:f>
        <x:v>0</x:v>
      </x:c>
      <x:c r="M9" s="45" t="str">
        <x:f aca="0">IFERROR(INDEX('📋 Downtime Log'!B5:B104,MATCH(LARGE('📋 Downtime Log'!H5:H104,7),'📋 Downtime Log'!H5:H104,0)),"")</x:f>
      </x:c>
      <x:c r="N9" s="1" t="str">
        <x:f aca="0">IFERROR(INDEX('📋 Downtime Log'!C5:C104,MATCH(LARGE('📋 Downtime Log'!H5:H104,7),'📋 Downtime Log'!H5:H104,0)),"")</x:f>
      </x:c>
      <x:c r="O9" s="1" t="str">
        <x:f aca="0">IFERROR(INDEX('📋 Downtime Log'!I5:I104,MATCH(LARGE('📋 Downtime Log'!H5:H104,7),'📋 Downtime Log'!H5:H104,0)),"")</x:f>
      </x:c>
      <x:c r="P9" s="44" t="str">
        <x:f aca="0">IFERROR(LARGE('📋 Downtime Log'!H5:H104,7),"")</x:f>
      </x:c>
      <x:c r="Q9" s="1" t="str">
        <x:f aca="0">IFERROR(INDEX('📋 Downtime Log'!E5:E104,MATCH(LARGE('📋 Downtime Log'!H5:H104,7),'📋 Downtime Log'!H5:H104,0)),"")</x:f>
      </x:c>
      <x:c r="R9" s="1" t="str">
        <x:f aca="0">IFERROR(INDEX('📋 Downtime Log'!L5:L104,MATCH(LARGE('📋 Downtime Log'!H5:H104,7),'📋 Downtime Log'!H5:H104,0)),"")</x:f>
      </x:c>
      <x:c r="T9" s="1" t="s">
        <x:v>127</x:v>
      </x:c>
      <x:c r="U9" s="44" t="n">
        <x:f aca="0">IFERROR(SUMPRODUCT((TEXT('📋 Downtime Log'!B5:B104,"MMM")="Jul")*('📋 Downtime Log'!H5:H104)),0)</x:f>
        <x:v>0</x:v>
      </x:c>
      <x:c r="V9" s="46" t="n">
        <x:f aca="0">IFERROR(SUMPRODUCT((TEXT('📋 Downtime Log'!B5:B104,"MMM")="Jul")*1),0)</x:f>
        <x:v>0</x:v>
      </x:c>
      <x:c r="W9" s="44" t="n">
        <x:f aca="0">IFERROR((700-U9)/V9,0)</x:f>
        <x:v>0</x:v>
      </x:c>
      <x:c r="X9" s="44" t="n">
        <x:f aca="0">IFERROR(U9/V9,0)</x:f>
        <x:v>0</x:v>
      </x:c>
      <x:c r="Y9" s="43" t="n">
        <x:f aca="0">IFERROR((700-U9)/700*0.85*0.95,0)</x:f>
        <x:v>0.8075</x:v>
      </x:c>
    </x:row>
    <x:row r="10" ht="15" hidden="0" customHeight="1">
      <x:c r="D10" s="1" t="s">
        <x:v>92</x:v>
      </x:c>
      <x:c r="E10" s="44" t="n">
        <x:f aca="0">SUMIF('📋 Downtime Log'!C5:C104,D10,'📋 Downtime Log'!H5:H104)</x:f>
        <x:v>0</x:v>
      </x:c>
      <x:c r="F10" s="43" t="n">
        <x:f aca="0">IFERROR(E10/SUM(E3:E10),0)</x:f>
        <x:v>0</x:v>
      </x:c>
      <x:c r="H10" s="1" t="s">
        <x:v>128</x:v>
      </x:c>
      <x:c r="I10" s="44" t="n">
        <x:f aca="0">SUMIF('📋 Downtime Log'!I5:I104,H10,'📋 Downtime Log'!H5:H104)</x:f>
        <x:v>0</x:v>
      </x:c>
      <x:c r="J10" s="43" t="n">
        <x:f aca="0">IFERROR(I10/SUM(I3:I10),0)</x:f>
        <x:v>0</x:v>
      </x:c>
      <x:c r="M10" s="45" t="str">
        <x:f aca="0">IFERROR(INDEX('📋 Downtime Log'!B5:B104,MATCH(LARGE('📋 Downtime Log'!H5:H104,8),'📋 Downtime Log'!H5:H104,0)),"")</x:f>
      </x:c>
      <x:c r="N10" s="1" t="str">
        <x:f aca="0">IFERROR(INDEX('📋 Downtime Log'!C5:C104,MATCH(LARGE('📋 Downtime Log'!H5:H104,8),'📋 Downtime Log'!H5:H104,0)),"")</x:f>
      </x:c>
      <x:c r="O10" s="1" t="str">
        <x:f aca="0">IFERROR(INDEX('📋 Downtime Log'!I5:I104,MATCH(LARGE('📋 Downtime Log'!H5:H104,8),'📋 Downtime Log'!H5:H104,0)),"")</x:f>
      </x:c>
      <x:c r="P10" s="44" t="str">
        <x:f aca="0">IFERROR(LARGE('📋 Downtime Log'!H5:H104,8),"")</x:f>
      </x:c>
      <x:c r="Q10" s="1" t="str">
        <x:f aca="0">IFERROR(INDEX('📋 Downtime Log'!E5:E104,MATCH(LARGE('📋 Downtime Log'!H5:H104,8),'📋 Downtime Log'!H5:H104,0)),"")</x:f>
      </x:c>
      <x:c r="R10" s="1" t="str">
        <x:f aca="0">IFERROR(INDEX('📋 Downtime Log'!L5:L104,MATCH(LARGE('📋 Downtime Log'!H5:H104,8),'📋 Downtime Log'!H5:H104,0)),"")</x:f>
      </x:c>
      <x:c r="T10" s="1" t="s">
        <x:v>129</x:v>
      </x:c>
      <x:c r="U10" s="44" t="n">
        <x:f aca="0">IFERROR(SUMPRODUCT((TEXT('📋 Downtime Log'!B5:B104,"MMM")="Aug")*('📋 Downtime Log'!H5:H104)),0)</x:f>
        <x:v>0</x:v>
      </x:c>
      <x:c r="V10" s="46" t="n">
        <x:f aca="0">IFERROR(SUMPRODUCT((TEXT('📋 Downtime Log'!B5:B104,"MMM")="Aug")*1),0)</x:f>
        <x:v>0</x:v>
      </x:c>
      <x:c r="W10" s="44" t="n">
        <x:f aca="0">IFERROR((700-U10)/V10,0)</x:f>
        <x:v>0</x:v>
      </x:c>
      <x:c r="X10" s="44" t="n">
        <x:f aca="0">IFERROR(U10/V10,0)</x:f>
        <x:v>0</x:v>
      </x:c>
      <x:c r="Y10" s="43" t="n">
        <x:f aca="0">IFERROR((700-U10)/700*0.85*0.95,0)</x:f>
        <x:v>0.8075</x:v>
      </x:c>
    </x:row>
    <x:row r="11" ht="15" hidden="0" customHeight="1">
      <x:c r="M11" s="45" t="str">
        <x:f aca="0">IFERROR(INDEX('📋 Downtime Log'!B5:B104,MATCH(LARGE('📋 Downtime Log'!H5:H104,9),'📋 Downtime Log'!H5:H104,0)),"")</x:f>
      </x:c>
      <x:c r="N11" s="1" t="str">
        <x:f aca="0">IFERROR(INDEX('📋 Downtime Log'!C5:C104,MATCH(LARGE('📋 Downtime Log'!H5:H104,9),'📋 Downtime Log'!H5:H104,0)),"")</x:f>
      </x:c>
      <x:c r="O11" s="1" t="str">
        <x:f aca="0">IFERROR(INDEX('📋 Downtime Log'!I5:I104,MATCH(LARGE('📋 Downtime Log'!H5:H104,9),'📋 Downtime Log'!H5:H104,0)),"")</x:f>
      </x:c>
      <x:c r="P11" s="44" t="str">
        <x:f aca="0">IFERROR(LARGE('📋 Downtime Log'!H5:H104,9),"")</x:f>
      </x:c>
      <x:c r="Q11" s="1" t="str">
        <x:f aca="0">IFERROR(INDEX('📋 Downtime Log'!E5:E104,MATCH(LARGE('📋 Downtime Log'!H5:H104,9),'📋 Downtime Log'!H5:H104,0)),"")</x:f>
      </x:c>
      <x:c r="R11" s="1" t="str">
        <x:f aca="0">IFERROR(INDEX('📋 Downtime Log'!L5:L104,MATCH(LARGE('📋 Downtime Log'!H5:H104,9),'📋 Downtime Log'!H5:H104,0)),"")</x:f>
      </x:c>
      <x:c r="T11" s="1" t="s">
        <x:v>130</x:v>
      </x:c>
      <x:c r="U11" s="44" t="n">
        <x:f aca="0">IFERROR(SUMPRODUCT((TEXT('📋 Downtime Log'!B5:B104,"MMM")="Sep")*('📋 Downtime Log'!H5:H104)),0)</x:f>
        <x:v>0</x:v>
      </x:c>
      <x:c r="V11" s="46" t="n">
        <x:f aca="0">IFERROR(SUMPRODUCT((TEXT('📋 Downtime Log'!B5:B104,"MMM")="Sep")*1),0)</x:f>
        <x:v>0</x:v>
      </x:c>
      <x:c r="W11" s="44" t="n">
        <x:f aca="0">IFERROR((700-U11)/V11,0)</x:f>
        <x:v>0</x:v>
      </x:c>
      <x:c r="X11" s="44" t="n">
        <x:f aca="0">IFERROR(U11/V11,0)</x:f>
        <x:v>0</x:v>
      </x:c>
      <x:c r="Y11" s="43" t="n">
        <x:f aca="0">IFERROR((700-U11)/700*0.85*0.95,0)</x:f>
        <x:v>0.8075</x:v>
      </x:c>
    </x:row>
    <x:row r="12" ht="15" hidden="0" customHeight="1">
      <x:c r="M12" s="45" t="str">
        <x:f aca="0">IFERROR(INDEX('📋 Downtime Log'!B5:B104,MATCH(LARGE('📋 Downtime Log'!H5:H104,10),'📋 Downtime Log'!H5:H104,0)),"")</x:f>
      </x:c>
      <x:c r="N12" s="1" t="str">
        <x:f aca="0">IFERROR(INDEX('📋 Downtime Log'!C5:C104,MATCH(LARGE('📋 Downtime Log'!H5:H104,10),'📋 Downtime Log'!H5:H104,0)),"")</x:f>
      </x:c>
      <x:c r="O12" s="1" t="str">
        <x:f aca="0">IFERROR(INDEX('📋 Downtime Log'!I5:I104,MATCH(LARGE('📋 Downtime Log'!H5:H104,10),'📋 Downtime Log'!H5:H104,0)),"")</x:f>
      </x:c>
      <x:c r="P12" s="44" t="str">
        <x:f aca="0">IFERROR(LARGE('📋 Downtime Log'!H5:H104,10),"")</x:f>
      </x:c>
      <x:c r="Q12" s="1" t="str">
        <x:f aca="0">IFERROR(INDEX('📋 Downtime Log'!E5:E104,MATCH(LARGE('📋 Downtime Log'!H5:H104,10),'📋 Downtime Log'!H5:H104,0)),"")</x:f>
      </x:c>
      <x:c r="R12" s="1" t="str">
        <x:f aca="0">IFERROR(INDEX('📋 Downtime Log'!L5:L104,MATCH(LARGE('📋 Downtime Log'!H5:H104,10),'📋 Downtime Log'!H5:H104,0)),"")</x:f>
      </x:c>
      <x:c r="T12" s="1" t="s">
        <x:v>131</x:v>
      </x:c>
      <x:c r="U12" s="44" t="n">
        <x:f aca="0">IFERROR(SUMPRODUCT((TEXT('📋 Downtime Log'!B5:B104,"MMM")="Oct")*('📋 Downtime Log'!H5:H104)),0)</x:f>
        <x:v>0</x:v>
      </x:c>
      <x:c r="V12" s="46" t="n">
        <x:f aca="0">IFERROR(SUMPRODUCT((TEXT('📋 Downtime Log'!B5:B104,"MMM")="Oct")*1),0)</x:f>
        <x:v>0</x:v>
      </x:c>
      <x:c r="W12" s="44" t="n">
        <x:f aca="0">IFERROR((700-U12)/V12,0)</x:f>
        <x:v>0</x:v>
      </x:c>
      <x:c r="X12" s="44" t="n">
        <x:f aca="0">IFERROR(U12/V12,0)</x:f>
        <x:v>0</x:v>
      </x:c>
      <x:c r="Y12" s="43" t="n">
        <x:f aca="0">IFERROR((700-U12)/700*0.85*0.95,0)</x:f>
        <x:v>0.8075</x:v>
      </x:c>
    </x:row>
    <x:row r="13" ht="15" hidden="0" customHeight="1">
      <x:c r="T13" s="1" t="s">
        <x:v>132</x:v>
      </x:c>
      <x:c r="U13" s="44" t="n">
        <x:f aca="0">IFERROR(SUMPRODUCT((TEXT('📋 Downtime Log'!B5:B104,"MMM")="Nov")*('📋 Downtime Log'!H5:H104)),0)</x:f>
        <x:v>0</x:v>
      </x:c>
      <x:c r="V13" s="46" t="n">
        <x:f aca="0">IFERROR(SUMPRODUCT((TEXT('📋 Downtime Log'!B5:B104,"MMM")="Nov")*1),0)</x:f>
        <x:v>0</x:v>
      </x:c>
      <x:c r="W13" s="44" t="n">
        <x:f aca="0">IFERROR((700-U13)/V13,0)</x:f>
        <x:v>0</x:v>
      </x:c>
      <x:c r="X13" s="44" t="n">
        <x:f aca="0">IFERROR(U13/V13,0)</x:f>
        <x:v>0</x:v>
      </x:c>
      <x:c r="Y13" s="43" t="n">
        <x:f aca="0">IFERROR((700-U13)/700*0.85*0.95,0)</x:f>
        <x:v>0.8075</x:v>
      </x:c>
    </x:row>
    <x:row r="14" ht="15" hidden="0" customHeight="1">
      <x:c r="T14" s="1" t="s">
        <x:v>133</x:v>
      </x:c>
      <x:c r="U14" s="44" t="n">
        <x:f aca="0">IFERROR(SUMPRODUCT((TEXT('📋 Downtime Log'!B5:B104,"MMM")="Dec")*('📋 Downtime Log'!H5:H104)),0)</x:f>
        <x:v>0</x:v>
      </x:c>
      <x:c r="V14" s="46" t="n">
        <x:f aca="0">IFERROR(SUMPRODUCT((TEXT('📋 Downtime Log'!B5:B104,"MMM")="Dec")*1),0)</x:f>
        <x:v>0</x:v>
      </x:c>
      <x:c r="W14" s="44" t="n">
        <x:f aca="0">IFERROR((700-U14)/V14,0)</x:f>
        <x:v>0</x:v>
      </x:c>
      <x:c r="X14" s="44" t="n">
        <x:f aca="0">IFERROR(U14/V14,0)</x:f>
        <x:v>0</x:v>
      </x:c>
      <x:c r="Y14" s="43" t="n">
        <x:f aca="0">IFERROR((700-U14)/700*0.85*0.95,0)</x:f>
        <x:v>0.8075</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26" hidden="0" customWidth="1"/>
    <x:col min="3" max="3" width="80" hidden="0" customWidth="1"/>
  </x:cols>
  <x:sheetData>
    <x:row r="1" ht="30" customHeight="1">
      <x:c r="A1" s="98" t="str">
        <x:v>Downtime Tracking Dashboard — PREMIUM UPGRADE GUIDE</x:v>
      </x:c>
      <x:c r="B1" s="98"/>
      <x:c r="C1" s="98"/>
      <x:c r="D1" s="98"/>
      <x:c r="E1" s="98"/>
      <x:c r="F1" s="98"/>
      <x:c r="G1" s="98"/>
      <x:c r="H1" s="98"/>
      <x:c r="I1" s="98"/>
      <x:c r="J1" s="98"/>
      <x:c r="K1" s="98"/>
    </x:row>
    <x:row r="2" ht="32" customHeight="1">
      <x:c r="A2" s="105" t="str">
        <x:v>Original template preserved. Added premium sheets turn the file into a semi-automated maintenance management tool.</x:v>
      </x:c>
      <x:c r="B2" s="105"/>
      <x:c r="C2" s="105"/>
      <x:c r="D2" s="105"/>
      <x:c r="E2" s="105"/>
      <x:c r="F2" s="105"/>
      <x:c r="G2" s="105"/>
      <x:c r="H2" s="105"/>
      <x:c r="I2" s="105"/>
      <x:c r="J2" s="105"/>
      <x:c r="K2" s="105"/>
    </x:row>
    <x:row r="4" ht="26" customHeight="1">
      <x:c r="A4" s="113" t="str">
        <x:v>Step</x:v>
      </x:c>
      <x:c r="B4" s="113" t="str">
        <x:v>What to do</x:v>
      </x:c>
      <x:c r="C4" s="113" t="str">
        <x:v>Outcome</x:v>
      </x:c>
    </x:row>
    <x:row r="5">
      <x:c r="A5" s="121" t="str">
        <x:v>1</x:v>
      </x:c>
      <x:c r="B5" s="121" t="str">
        <x:v>Enter field data</x:v>
      </x:c>
      <x:c r="C5" s="121" t="str">
        <x:v>Complete the original inspection/report sheet. Yellow cells and result columns are input fields.</x:v>
      </x:c>
    </x:row>
    <x:row r="6">
      <x:c r="A6" s="121" t="str">
        <x:v>2</x:v>
      </x:c>
      <x:c r="B6" s="121" t="str">
        <x:v>Use dropdowns</x:v>
      </x:c>
      <x:c r="C6" s="121" t="str">
        <x:v>Use standardised results, priority, status, criticality and RCA decision fields to keep data clean.</x:v>
      </x:c>
    </x:row>
    <x:row r="7">
      <x:c r="A7" s="121" t="str">
        <x:v>3</x:v>
      </x:c>
      <x:c r="B7" s="121" t="str">
        <x:v>Review dashboard</x:v>
      </x:c>
      <x:c r="C7" s="121" t="str">
        <x:v>Open the dashboard/summary sheet to view compliance, open actions, overdue actions and management risk indicators.</x:v>
      </x:c>
    </x:row>
    <x:row r="8">
      <x:c r="A8" s="121" t="str">
        <x:v>4</x:v>
      </x:c>
      <x:c r="B8" s="121" t="str">
        <x:v>Close actions</x:v>
      </x:c>
      <x:c r="C8" s="121" t="str">
        <x:v>Transfer defects/recommendations to the Action Tracker with owner, due date, status and verification evidence.</x:v>
      </x:c>
    </x:row>
    <x:row r="9">
      <x:c r="A9" s="121" t="str">
        <x:v>5</x:v>
      </x:c>
      <x:c r="B9" s="121" t="str">
        <x:v>Issue report</x:v>
      </x:c>
      <x:c r="C9" s="121" t="str">
        <x:v>Use the original form for site records and the added registers for meetings, audits and maintenance planning.</x:v>
      </x:c>
    </x:row>
    <x:row r="12">
      <x:c r="A12" s="125" t="str">
        <x:v>Upgrades Implemented</x:v>
      </x:c>
      <x:c r="B12" s="125"/>
      <x:c r="C12" s="125"/>
      <x:c r="D12" s="125"/>
      <x:c r="E12" s="125"/>
      <x:c r="F12" s="125"/>
      <x:c r="G12" s="125"/>
      <x:c r="H12" s="125"/>
      <x:c r="I12" s="125"/>
      <x:c r="J12" s="125"/>
      <x:c r="K12" s="125"/>
    </x:row>
    <x:row r="13">
      <x:c r="A13" s="129" t="str">
        <x:v>• Executive dashboard added for monthly downtime review.</x:v>
      </x:c>
      <x:c r="B13" s="129" t="str"/>
      <x:c r="C13" s="129" t="str"/>
      <x:c r="D13" s="129" t="str"/>
      <x:c r="E13" s="129" t="str"/>
      <x:c r="F13" s="129" t="str"/>
      <x:c r="G13" s="129" t="str"/>
      <x:c r="H13" s="129" t="str"/>
      <x:c r="I13" s="129" t="str"/>
      <x:c r="J13" s="129" t="str"/>
      <x:c r="K13" s="129" t="str"/>
    </x:row>
    <x:row r="14">
      <x:c r="A14" s="129" t="str">
        <x:v>• RCA trigger and action tracker added for downtime/cost/repeat failure escalation.</x:v>
      </x:c>
      <x:c r="B14" s="129" t="str"/>
      <x:c r="C14" s="129" t="str"/>
      <x:c r="D14" s="129" t="str"/>
      <x:c r="E14" s="129" t="str"/>
      <x:c r="F14" s="129" t="str"/>
      <x:c r="G14" s="129" t="str"/>
      <x:c r="H14" s="129" t="str"/>
      <x:c r="I14" s="129" t="str"/>
      <x:c r="J14" s="129" t="str"/>
      <x:c r="K14" s="129" t="str"/>
    </x:row>
    <x:row r="15">
      <x:c r="A15" s="129" t="str">
        <x:v>• Cost-of-downtime fields added to the downtime log.</x:v>
      </x:c>
      <x:c r="B15" s="129" t="str"/>
      <x:c r="C15" s="129" t="str"/>
      <x:c r="D15" s="129" t="str"/>
      <x:c r="E15" s="129" t="str"/>
      <x:c r="F15" s="129" t="str"/>
      <x:c r="G15" s="129" t="str"/>
      <x:c r="H15" s="129" t="str"/>
      <x:c r="I15" s="129" t="str"/>
      <x:c r="J15" s="129" t="str"/>
      <x:c r="K15" s="129" t="str"/>
    </x:row>
    <x:row r="16">
      <x:c r="A16" s="129" t="str">
        <x:v>• Bad actor register added to rank repeated problem assets.</x:v>
      </x:c>
      <x:c r="B16" s="129" t="str"/>
      <x:c r="C16" s="129" t="str"/>
      <x:c r="D16" s="129" t="str"/>
      <x:c r="E16" s="129" t="str"/>
      <x:c r="F16" s="129" t="str"/>
      <x:c r="G16" s="129" t="str"/>
      <x:c r="H16" s="129" t="str"/>
      <x:c r="I16" s="129" t="str"/>
      <x:c r="J16" s="129" t="str"/>
      <x:c r="K16" s="129" t="str"/>
    </x:row>
    <x:row r="17">
      <x:c r="A17" s="129" t="str">
        <x:v>• Management meeting summary page added for decisions, owners and due dates.</x:v>
      </x:c>
      <x:c r="B17" s="129" t="str"/>
      <x:c r="C17" s="129" t="str"/>
      <x:c r="D17" s="129" t="str"/>
      <x:c r="E17" s="129" t="str"/>
      <x:c r="F17" s="129" t="str"/>
      <x:c r="G17" s="129" t="str"/>
      <x:c r="H17" s="129" t="str"/>
      <x:c r="I17" s="129" t="str"/>
      <x:c r="J17" s="129" t="str"/>
      <x:c r="K17" s="129" t="str"/>
    </x:row>
  </x:sheetData>
  <x:mergeCells>
    <x:mergeCell ref="A1:K1"/>
    <x:mergeCell ref="A2:K2"/>
    <x:mergeCell ref="A13:K13"/>
    <x:mergeCell ref="A14:K14"/>
    <x:mergeCell ref="A15:K15"/>
    <x:mergeCell ref="A16:K16"/>
    <x:mergeCell ref="A17:K17"/>
  </x:mergeCells>
  <x:pageMargins left="0.7" right="0.7" top="0.75" bottom="0.75" header="0.3" footer="0.3"/>
</x:worksheet>
</file>

<file path=xl/worksheets/sheet7.xml><?xml version="1.0" encoding="utf-8"?>
<x:worksheet xmlns:x="http://schemas.openxmlformats.org/spreadsheetml/2006/main">
  <x:sheetFormatPr defaultRowHeight="15"/>
  <x:cols>
    <x:col min="1" max="1" width="59.5" hidden="0" customWidth="1"/>
    <x:col min="2" max="2" width="6.880000114440918" hidden="0" customWidth="1"/>
    <x:col min="3" max="3" width="6.630000114440918" hidden="0" customWidth="1"/>
    <x:col min="4" max="4" width="6.75" hidden="0" customWidth="1"/>
    <x:col min="5" max="5" width="12.630000114440918" hidden="0" customWidth="1"/>
    <x:col min="6" max="6" width="10.5" hidden="0" customWidth="1"/>
    <x:col min="7" max="7" width="4.630000114440918" hidden="0" customWidth="1"/>
    <x:col min="8" max="8" width="11" hidden="0" customWidth="1"/>
  </x:cols>
  <x:sheetData>
    <x:row r="1" ht="30" customHeight="1">
      <x:c r="A1" s="98" t="str">
        <x:v>CONTROL LISTS / DROPDOWNS</x:v>
      </x:c>
      <x:c r="B1" s="98"/>
      <x:c r="C1" s="98"/>
      <x:c r="D1" s="98"/>
      <x:c r="E1" s="98"/>
      <x:c r="F1" s="98"/>
      <x:c r="G1" s="98"/>
      <x:c r="H1" s="98"/>
    </x:row>
    <x:row r="2" ht="32" customHeight="1">
      <x:c r="A2" s="105" t="str">
        <x:v>Edit these lists if your site uses different status, priority, failure mode or criticality labels.</x:v>
      </x:c>
      <x:c r="B2" s="105"/>
      <x:c r="C2" s="105"/>
      <x:c r="D2" s="105"/>
      <x:c r="E2" s="105"/>
      <x:c r="F2" s="105"/>
      <x:c r="G2" s="105"/>
      <x:c r="H2" s="105"/>
    </x:row>
    <x:row r="4">
      <x:c r="A4" s="132" t="str">
        <x:v>Status</x:v>
      </x:c>
      <x:c r="B4" s="132" t="str">
        <x:v>Priority</x:v>
      </x:c>
      <x:c r="C4" s="132" t="str">
        <x:v>Result</x:v>
      </x:c>
      <x:c r="D4" s="132" t="str">
        <x:v>Severity</x:v>
      </x:c>
      <x:c r="E4" s="132" t="str">
        <x:v>Failure Mode</x:v>
      </x:c>
      <x:c r="F4" s="132" t="str">
        <x:v>Criticality</x:v>
      </x:c>
      <x:c r="G4" s="132" t="str">
        <x:v>Shift</x:v>
      </x:c>
      <x:c r="H4" s="132" t="str">
        <x:v>RCA Required</x:v>
      </x:c>
    </x:row>
    <x:row r="5">
      <x:c r="A5" t="str">
        <x:v>Open</x:v>
      </x:c>
      <x:c r="B5" t="str">
        <x:v>Critical</x:v>
      </x:c>
      <x:c r="C5" t="str">
        <x:v>✓</x:v>
      </x:c>
      <x:c r="D5" t="n">
        <x:v>1</x:v>
      </x:c>
      <x:c r="E5" t="str">
        <x:v>Mechanical</x:v>
      </x:c>
      <x:c r="F5" t="str">
        <x:v>A - Critical</x:v>
      </x:c>
      <x:c r="G5" t="str">
        <x:v>Day</x:v>
      </x:c>
      <x:c r="H5" t="str">
        <x:v>Yes</x:v>
      </x:c>
    </x:row>
    <x:row r="6">
      <x:c r="A6" t="str">
        <x:v>In Progress</x:v>
      </x:c>
      <x:c r="B6" t="str">
        <x:v>High</x:v>
      </x:c>
      <x:c r="C6" t="str">
        <x:v>✗</x:v>
      </x:c>
      <x:c r="D6" t="n">
        <x:v>2</x:v>
      </x:c>
      <x:c r="E6" t="str">
        <x:v>Electrical</x:v>
      </x:c>
      <x:c r="F6" t="str">
        <x:v>B - Important</x:v>
      </x:c>
      <x:c r="G6" t="str">
        <x:v>Night</x:v>
      </x:c>
      <x:c r="H6" t="str">
        <x:v>No</x:v>
      </x:c>
    </x:row>
    <x:row r="7">
      <x:c r="A7" t="str">
        <x:v>Complete</x:v>
      </x:c>
      <x:c r="B7" t="str">
        <x:v>Medium</x:v>
      </x:c>
      <x:c r="C7" t="str">
        <x:v>N/A</x:v>
      </x:c>
      <x:c r="D7" t="n">
        <x:v>3</x:v>
      </x:c>
      <x:c r="E7" t="str">
        <x:v>Lubrication</x:v>
      </x:c>
      <x:c r="F7" t="str">
        <x:v>C - General</x:v>
      </x:c>
      <x:c r="G7" t="str">
        <x:v>A</x:v>
      </x:c>
      <x:c r="H7" t="str">
        <x:v>TBC</x:v>
      </x:c>
    </x:row>
    <x:row r="8">
      <x:c r="A8" t="str">
        <x:v>Overdue</x:v>
      </x:c>
      <x:c r="B8" t="str">
        <x:v>Low</x:v>
      </x:c>
      <x:c r="C8" t="str">
        <x:v>Monitor</x:v>
      </x:c>
      <x:c r="D8" t="n">
        <x:v>4</x:v>
      </x:c>
      <x:c r="E8" t="str">
        <x:v>Hydraulic</x:v>
      </x:c>
      <x:c r="G8" t="str">
        <x:v>B</x:v>
      </x:c>
    </x:row>
    <x:row r="9">
      <x:c r="A9" t="str">
        <x:v>Deferred</x:v>
      </x:c>
      <x:c r="B9" t="str">
        <x:v>Monitor</x:v>
      </x:c>
      <x:c r="D9" t="n">
        <x:v>5</x:v>
      </x:c>
      <x:c r="E9" t="str">
        <x:v>Pneumatic</x:v>
      </x:c>
      <x:c r="G9" t="str">
        <x:v>C</x:v>
      </x:c>
    </x:row>
    <x:row r="10">
      <x:c r="A10" t="str">
        <x:v>Cancelled</x:v>
      </x:c>
      <x:c r="E10" t="str">
        <x:v>Instrumentation</x:v>
      </x:c>
      <x:c r="G10" t="str">
        <x:v>D</x:v>
      </x:c>
    </x:row>
    <x:row r="11">
      <x:c r="A11" t="str">
        <x:v>Verified</x:v>
      </x:c>
      <x:c r="E11" t="str">
        <x:v>Process</x:v>
      </x:c>
    </x:row>
    <x:row r="12">
      <x:c r="E12" t="str">
        <x:v>Operator</x:v>
      </x:c>
    </x:row>
    <x:row r="13">
      <x:c r="E13" t="str">
        <x:v>Design</x:v>
      </x:c>
    </x:row>
    <x:row r="14">
      <x:c r="E14" t="str">
        <x:v>Unknown</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20" hidden="0" customWidth="1"/>
    <x:col min="3" max="3" width="34" hidden="0" customWidth="1"/>
    <x:col min="4" max="4" width="26" hidden="0" customWidth="1"/>
    <x:col min="5" max="5" width="13" hidden="0" customWidth="1"/>
    <x:col min="6" max="6" width="18" hidden="0" customWidth="1"/>
    <x:col min="7" max="7" width="13" hidden="0" customWidth="1"/>
    <x:col min="8" max="8" width="14" hidden="0" customWidth="1"/>
    <x:col min="9" max="9" width="13" hidden="0" customWidth="1"/>
    <x:col min="10" max="10" width="32" hidden="0" customWidth="1"/>
    <x:col min="11" max="11" width="12" hidden="0" customWidth="1"/>
  </x:cols>
  <x:sheetData>
    <x:row r="1" ht="30" customHeight="1">
      <x:c r="A1" s="98" t="str">
        <x:v>ACTION TRACKER</x:v>
      </x:c>
      <x:c r="B1" s="98"/>
      <x:c r="C1" s="98"/>
      <x:c r="D1" s="98"/>
      <x:c r="E1" s="98"/>
      <x:c r="F1" s="98"/>
      <x:c r="G1" s="98"/>
      <x:c r="H1" s="98"/>
      <x:c r="I1" s="98"/>
      <x:c r="J1" s="98"/>
      <x:c r="K1" s="98"/>
    </x:row>
    <x:row r="2" ht="32" customHeight="1">
      <x:c r="A2" s="105" t="str">
        <x:v>Central register for defects, recommendations, close-out dates, and verification.</x:v>
      </x:c>
      <x:c r="B2" s="105"/>
      <x:c r="C2" s="105"/>
      <x:c r="D2" s="105"/>
      <x:c r="E2" s="105"/>
      <x:c r="F2" s="105"/>
      <x:c r="G2" s="105"/>
      <x:c r="H2" s="105"/>
      <x:c r="I2" s="105"/>
      <x:c r="J2" s="105"/>
      <x:c r="K2" s="105"/>
    </x:row>
    <x:row r="4" ht="26" customHeight="1">
      <x:c r="A4" s="113" t="str">
        <x:v>Source/Sheet</x:v>
      </x:c>
      <x:c r="B4" s="113" t="str">
        <x:v>Asset / Equipment</x:v>
      </x:c>
      <x:c r="C4" s="113" t="str">
        <x:v>Finding / Defect</x:v>
      </x:c>
      <x:c r="D4" s="113" t="str">
        <x:v>Risk / Impact</x:v>
      </x:c>
      <x:c r="E4" s="113" t="str">
        <x:v>Priority</x:v>
      </x:c>
      <x:c r="F4" s="113" t="str">
        <x:v>Responsible Person</x:v>
      </x:c>
      <x:c r="G4" s="113" t="str">
        <x:v>Due Date</x:v>
      </x:c>
      <x:c r="H4" s="113" t="str">
        <x:v>Status</x:v>
      </x:c>
      <x:c r="I4" s="113" t="str">
        <x:v>Close-out Date</x:v>
      </x:c>
      <x:c r="J4" s="113" t="str">
        <x:v>Verification / Evidence</x:v>
      </x:c>
      <x:c r="K4" s="113" t="str">
        <x:v>Days Overdue</x:v>
      </x:c>
    </x:row>
    <x:row r="5">
      <x:c r="A5" s="121" t="str"/>
      <x:c r="B5" s="121" t="str"/>
      <x:c r="C5" s="121" t="str"/>
      <x:c r="D5" s="121" t="str"/>
      <x:c r="E5" s="121" t="str"/>
      <x:c r="F5" s="121" t="str"/>
      <x:c r="G5" s="134" t="str"/>
      <x:c r="H5" s="121" t="str">
        <x:v>Open</x:v>
      </x:c>
      <x:c r="I5" s="134" t="str"/>
      <x:c r="J5" s="121" t="str"/>
      <x:c r="K5" s="121" t="n">
        <x:f>IF(AND(G5&lt;&gt;"",H5&lt;&gt;"Complete",H5&lt;&gt;"Verified"),MAX(0,TODAY()-G5),0)</x:f>
        <x:v>0</x:v>
      </x:c>
    </x:row>
    <x:row r="6">
      <x:c r="A6" s="121" t="str"/>
      <x:c r="B6" s="121" t="str"/>
      <x:c r="C6" s="121" t="str"/>
      <x:c r="D6" s="121" t="str"/>
      <x:c r="E6" s="121" t="str"/>
      <x:c r="F6" s="121" t="str"/>
      <x:c r="G6" s="134" t="str"/>
      <x:c r="H6" s="121" t="str">
        <x:v>Open</x:v>
      </x:c>
      <x:c r="I6" s="134" t="str"/>
      <x:c r="J6" s="121" t="str"/>
      <x:c r="K6" s="121" t="n">
        <x:f>IF(AND(G6&lt;&gt;"",H6&lt;&gt;"Complete",H6&lt;&gt;"Verified"),MAX(0,TODAY()-G6),0)</x:f>
        <x:v>0</x:v>
      </x:c>
    </x:row>
    <x:row r="7">
      <x:c r="A7" s="121" t="str"/>
      <x:c r="B7" s="121" t="str"/>
      <x:c r="C7" s="121" t="str"/>
      <x:c r="D7" s="121" t="str"/>
      <x:c r="E7" s="121" t="str"/>
      <x:c r="F7" s="121" t="str"/>
      <x:c r="G7" s="134" t="str"/>
      <x:c r="H7" s="121" t="str">
        <x:v>Open</x:v>
      </x:c>
      <x:c r="I7" s="134" t="str"/>
      <x:c r="J7" s="121" t="str"/>
      <x:c r="K7" s="121" t="n">
        <x:f>IF(AND(G7&lt;&gt;"",H7&lt;&gt;"Complete",H7&lt;&gt;"Verified"),MAX(0,TODAY()-G7),0)</x:f>
        <x:v>0</x:v>
      </x:c>
    </x:row>
    <x:row r="8">
      <x:c r="A8" s="121" t="str"/>
      <x:c r="B8" s="121" t="str"/>
      <x:c r="C8" s="121" t="str"/>
      <x:c r="D8" s="121" t="str"/>
      <x:c r="E8" s="121" t="str"/>
      <x:c r="F8" s="121" t="str"/>
      <x:c r="G8" s="134" t="str"/>
      <x:c r="H8" s="121" t="str">
        <x:v>Open</x:v>
      </x:c>
      <x:c r="I8" s="134" t="str"/>
      <x:c r="J8" s="121" t="str"/>
      <x:c r="K8" s="121" t="n">
        <x:f>IF(AND(G8&lt;&gt;"",H8&lt;&gt;"Complete",H8&lt;&gt;"Verified"),MAX(0,TODAY()-G8),0)</x:f>
        <x:v>0</x:v>
      </x:c>
    </x:row>
    <x:row r="9">
      <x:c r="A9" s="121" t="str"/>
      <x:c r="B9" s="121" t="str"/>
      <x:c r="C9" s="121" t="str"/>
      <x:c r="D9" s="121" t="str"/>
      <x:c r="E9" s="121" t="str"/>
      <x:c r="F9" s="121" t="str"/>
      <x:c r="G9" s="134" t="str"/>
      <x:c r="H9" s="121" t="str">
        <x:v>Open</x:v>
      </x:c>
      <x:c r="I9" s="134" t="str"/>
      <x:c r="J9" s="121" t="str"/>
      <x:c r="K9" s="121" t="n">
        <x:f>IF(AND(G9&lt;&gt;"",H9&lt;&gt;"Complete",H9&lt;&gt;"Verified"),MAX(0,TODAY()-G9),0)</x:f>
        <x:v>0</x:v>
      </x:c>
    </x:row>
    <x:row r="10">
      <x:c r="A10" s="121" t="str"/>
      <x:c r="B10" s="121" t="str"/>
      <x:c r="C10" s="121" t="str"/>
      <x:c r="D10" s="121" t="str"/>
      <x:c r="E10" s="121" t="str"/>
      <x:c r="F10" s="121" t="str"/>
      <x:c r="G10" s="134" t="str"/>
      <x:c r="H10" s="121" t="str">
        <x:v>Open</x:v>
      </x:c>
      <x:c r="I10" s="134" t="str"/>
      <x:c r="J10" s="121" t="str"/>
      <x:c r="K10" s="121" t="n">
        <x:f>IF(AND(G10&lt;&gt;"",H10&lt;&gt;"Complete",H10&lt;&gt;"Verified"),MAX(0,TODAY()-G10),0)</x:f>
        <x:v>0</x:v>
      </x:c>
    </x:row>
    <x:row r="11">
      <x:c r="A11" s="121" t="str"/>
      <x:c r="B11" s="121" t="str"/>
      <x:c r="C11" s="121" t="str"/>
      <x:c r="D11" s="121" t="str"/>
      <x:c r="E11" s="121" t="str"/>
      <x:c r="F11" s="121" t="str"/>
      <x:c r="G11" s="134" t="str"/>
      <x:c r="H11" s="121" t="str">
        <x:v>Open</x:v>
      </x:c>
      <x:c r="I11" s="134" t="str"/>
      <x:c r="J11" s="121" t="str"/>
      <x:c r="K11" s="121" t="n">
        <x:f>IF(AND(G11&lt;&gt;"",H11&lt;&gt;"Complete",H11&lt;&gt;"Verified"),MAX(0,TODAY()-G11),0)</x:f>
        <x:v>0</x:v>
      </x:c>
    </x:row>
    <x:row r="12">
      <x:c r="A12" s="121" t="str"/>
      <x:c r="B12" s="121" t="str"/>
      <x:c r="C12" s="121" t="str"/>
      <x:c r="D12" s="121" t="str"/>
      <x:c r="E12" s="121" t="str"/>
      <x:c r="F12" s="121" t="str"/>
      <x:c r="G12" s="134" t="str"/>
      <x:c r="H12" s="121" t="str">
        <x:v>Open</x:v>
      </x:c>
      <x:c r="I12" s="134" t="str"/>
      <x:c r="J12" s="121" t="str"/>
      <x:c r="K12" s="121" t="n">
        <x:f>IF(AND(G12&lt;&gt;"",H12&lt;&gt;"Complete",H12&lt;&gt;"Verified"),MAX(0,TODAY()-G12),0)</x:f>
        <x:v>0</x:v>
      </x:c>
    </x:row>
    <x:row r="13">
      <x:c r="A13" s="121" t="str"/>
      <x:c r="B13" s="121" t="str"/>
      <x:c r="C13" s="121" t="str"/>
      <x:c r="D13" s="121" t="str"/>
      <x:c r="E13" s="121" t="str"/>
      <x:c r="F13" s="121" t="str"/>
      <x:c r="G13" s="134" t="str"/>
      <x:c r="H13" s="121" t="str">
        <x:v>Open</x:v>
      </x:c>
      <x:c r="I13" s="134" t="str"/>
      <x:c r="J13" s="121" t="str"/>
      <x:c r="K13" s="121" t="n">
        <x:f>IF(AND(G13&lt;&gt;"",H13&lt;&gt;"Complete",H13&lt;&gt;"Verified"),MAX(0,TODAY()-G13),0)</x:f>
        <x:v>0</x:v>
      </x:c>
    </x:row>
    <x:row r="14">
      <x:c r="A14" s="121" t="str"/>
      <x:c r="B14" s="121" t="str"/>
      <x:c r="C14" s="121" t="str"/>
      <x:c r="D14" s="121" t="str"/>
      <x:c r="E14" s="121" t="str"/>
      <x:c r="F14" s="121" t="str"/>
      <x:c r="G14" s="134" t="str"/>
      <x:c r="H14" s="121" t="str">
        <x:v>Open</x:v>
      </x:c>
      <x:c r="I14" s="134" t="str"/>
      <x:c r="J14" s="121" t="str"/>
      <x:c r="K14" s="121" t="n">
        <x:f>IF(AND(G14&lt;&gt;"",H14&lt;&gt;"Complete",H14&lt;&gt;"Verified"),MAX(0,TODAY()-G14),0)</x:f>
        <x:v>0</x:v>
      </x:c>
    </x:row>
    <x:row r="15">
      <x:c r="A15" s="121" t="str"/>
      <x:c r="B15" s="121" t="str"/>
      <x:c r="C15" s="121" t="str"/>
      <x:c r="D15" s="121" t="str"/>
      <x:c r="E15" s="121" t="str"/>
      <x:c r="F15" s="121" t="str"/>
      <x:c r="G15" s="134" t="str"/>
      <x:c r="H15" s="121" t="str">
        <x:v>Open</x:v>
      </x:c>
      <x:c r="I15" s="134" t="str"/>
      <x:c r="J15" s="121" t="str"/>
      <x:c r="K15" s="121" t="n">
        <x:f>IF(AND(G15&lt;&gt;"",H15&lt;&gt;"Complete",H15&lt;&gt;"Verified"),MAX(0,TODAY()-G15),0)</x:f>
        <x:v>0</x:v>
      </x:c>
    </x:row>
    <x:row r="16">
      <x:c r="A16" s="121" t="str"/>
      <x:c r="B16" s="121" t="str"/>
      <x:c r="C16" s="121" t="str"/>
      <x:c r="D16" s="121" t="str"/>
      <x:c r="E16" s="121" t="str"/>
      <x:c r="F16" s="121" t="str"/>
      <x:c r="G16" s="134" t="str"/>
      <x:c r="H16" s="121" t="str">
        <x:v>Open</x:v>
      </x:c>
      <x:c r="I16" s="134" t="str"/>
      <x:c r="J16" s="121" t="str"/>
      <x:c r="K16" s="121" t="n">
        <x:f>IF(AND(G16&lt;&gt;"",H16&lt;&gt;"Complete",H16&lt;&gt;"Verified"),MAX(0,TODAY()-G16),0)</x:f>
        <x:v>0</x:v>
      </x:c>
    </x:row>
    <x:row r="17">
      <x:c r="A17" s="121" t="str"/>
      <x:c r="B17" s="121" t="str"/>
      <x:c r="C17" s="121" t="str"/>
      <x:c r="D17" s="121" t="str"/>
      <x:c r="E17" s="121" t="str"/>
      <x:c r="F17" s="121" t="str"/>
      <x:c r="G17" s="134" t="str"/>
      <x:c r="H17" s="121" t="str">
        <x:v>Open</x:v>
      </x:c>
      <x:c r="I17" s="134" t="str"/>
      <x:c r="J17" s="121" t="str"/>
      <x:c r="K17" s="121" t="n">
        <x:f>IF(AND(G17&lt;&gt;"",H17&lt;&gt;"Complete",H17&lt;&gt;"Verified"),MAX(0,TODAY()-G17),0)</x:f>
        <x:v>0</x:v>
      </x:c>
    </x:row>
    <x:row r="18">
      <x:c r="A18" s="121" t="str"/>
      <x:c r="B18" s="121" t="str"/>
      <x:c r="C18" s="121" t="str"/>
      <x:c r="D18" s="121" t="str"/>
      <x:c r="E18" s="121" t="str"/>
      <x:c r="F18" s="121" t="str"/>
      <x:c r="G18" s="134" t="str"/>
      <x:c r="H18" s="121" t="str">
        <x:v>Open</x:v>
      </x:c>
      <x:c r="I18" s="134" t="str"/>
      <x:c r="J18" s="121" t="str"/>
      <x:c r="K18" s="121" t="n">
        <x:f>IF(AND(G18&lt;&gt;"",H18&lt;&gt;"Complete",H18&lt;&gt;"Verified"),MAX(0,TODAY()-G18),0)</x:f>
        <x:v>0</x:v>
      </x:c>
    </x:row>
    <x:row r="19">
      <x:c r="A19" s="121" t="str"/>
      <x:c r="B19" s="121" t="str"/>
      <x:c r="C19" s="121" t="str"/>
      <x:c r="D19" s="121" t="str"/>
      <x:c r="E19" s="121" t="str"/>
      <x:c r="F19" s="121" t="str"/>
      <x:c r="G19" s="134" t="str"/>
      <x:c r="H19" s="121" t="str">
        <x:v>Open</x:v>
      </x:c>
      <x:c r="I19" s="134" t="str"/>
      <x:c r="J19" s="121" t="str"/>
      <x:c r="K19" s="121" t="n">
        <x:f>IF(AND(G19&lt;&gt;"",H19&lt;&gt;"Complete",H19&lt;&gt;"Verified"),MAX(0,TODAY()-G19),0)</x:f>
        <x:v>0</x:v>
      </x:c>
    </x:row>
    <x:row r="20">
      <x:c r="A20" s="121" t="str"/>
      <x:c r="B20" s="121" t="str"/>
      <x:c r="C20" s="121" t="str"/>
      <x:c r="D20" s="121" t="str"/>
      <x:c r="E20" s="121" t="str"/>
      <x:c r="F20" s="121" t="str"/>
      <x:c r="G20" s="134" t="str"/>
      <x:c r="H20" s="121" t="str">
        <x:v>Open</x:v>
      </x:c>
      <x:c r="I20" s="134" t="str"/>
      <x:c r="J20" s="121" t="str"/>
      <x:c r="K20" s="121" t="n">
        <x:f>IF(AND(G20&lt;&gt;"",H20&lt;&gt;"Complete",H20&lt;&gt;"Verified"),MAX(0,TODAY()-G20),0)</x:f>
        <x:v>0</x:v>
      </x:c>
    </x:row>
    <x:row r="21">
      <x:c r="A21" s="121" t="str"/>
      <x:c r="B21" s="121" t="str"/>
      <x:c r="C21" s="121" t="str"/>
      <x:c r="D21" s="121" t="str"/>
      <x:c r="E21" s="121" t="str"/>
      <x:c r="F21" s="121" t="str"/>
      <x:c r="G21" s="134" t="str"/>
      <x:c r="H21" s="121" t="str">
        <x:v>Open</x:v>
      </x:c>
      <x:c r="I21" s="134" t="str"/>
      <x:c r="J21" s="121" t="str"/>
      <x:c r="K21" s="121" t="n">
        <x:f>IF(AND(G21&lt;&gt;"",H21&lt;&gt;"Complete",H21&lt;&gt;"Verified"),MAX(0,TODAY()-G21),0)</x:f>
        <x:v>0</x:v>
      </x:c>
    </x:row>
    <x:row r="22">
      <x:c r="A22" s="121" t="str"/>
      <x:c r="B22" s="121" t="str"/>
      <x:c r="C22" s="121" t="str"/>
      <x:c r="D22" s="121" t="str"/>
      <x:c r="E22" s="121" t="str"/>
      <x:c r="F22" s="121" t="str"/>
      <x:c r="G22" s="134" t="str"/>
      <x:c r="H22" s="121" t="str">
        <x:v>Open</x:v>
      </x:c>
      <x:c r="I22" s="134" t="str"/>
      <x:c r="J22" s="121" t="str"/>
      <x:c r="K22" s="121" t="n">
        <x:f>IF(AND(G22&lt;&gt;"",H22&lt;&gt;"Complete",H22&lt;&gt;"Verified"),MAX(0,TODAY()-G22),0)</x:f>
        <x:v>0</x:v>
      </x:c>
    </x:row>
    <x:row r="23">
      <x:c r="A23" s="121" t="str"/>
      <x:c r="B23" s="121" t="str"/>
      <x:c r="C23" s="121" t="str"/>
      <x:c r="D23" s="121" t="str"/>
      <x:c r="E23" s="121" t="str"/>
      <x:c r="F23" s="121" t="str"/>
      <x:c r="G23" s="134" t="str"/>
      <x:c r="H23" s="121" t="str">
        <x:v>Open</x:v>
      </x:c>
      <x:c r="I23" s="134" t="str"/>
      <x:c r="J23" s="121" t="str"/>
      <x:c r="K23" s="121" t="n">
        <x:f>IF(AND(G23&lt;&gt;"",H23&lt;&gt;"Complete",H23&lt;&gt;"Verified"),MAX(0,TODAY()-G23),0)</x:f>
        <x:v>0</x:v>
      </x:c>
    </x:row>
    <x:row r="24">
      <x:c r="A24" s="121" t="str"/>
      <x:c r="B24" s="121" t="str"/>
      <x:c r="C24" s="121" t="str"/>
      <x:c r="D24" s="121" t="str"/>
      <x:c r="E24" s="121" t="str"/>
      <x:c r="F24" s="121" t="str"/>
      <x:c r="G24" s="134" t="str"/>
      <x:c r="H24" s="121" t="str">
        <x:v>Open</x:v>
      </x:c>
      <x:c r="I24" s="134" t="str"/>
      <x:c r="J24" s="121" t="str"/>
      <x:c r="K24" s="121" t="n">
        <x:f>IF(AND(G24&lt;&gt;"",H24&lt;&gt;"Complete",H24&lt;&gt;"Verified"),MAX(0,TODAY()-G24),0)</x:f>
        <x:v>0</x:v>
      </x:c>
    </x:row>
    <x:row r="25">
      <x:c r="A25" s="121" t="str"/>
      <x:c r="B25" s="121" t="str"/>
      <x:c r="C25" s="121" t="str"/>
      <x:c r="D25" s="121" t="str"/>
      <x:c r="E25" s="121" t="str"/>
      <x:c r="F25" s="121" t="str"/>
      <x:c r="G25" s="134" t="str"/>
      <x:c r="H25" s="121" t="str">
        <x:v>Open</x:v>
      </x:c>
      <x:c r="I25" s="134" t="str"/>
      <x:c r="J25" s="121" t="str"/>
      <x:c r="K25" s="121" t="n">
        <x:f>IF(AND(G25&lt;&gt;"",H25&lt;&gt;"Complete",H25&lt;&gt;"Verified"),MAX(0,TODAY()-G25),0)</x:f>
        <x:v>0</x:v>
      </x:c>
    </x:row>
    <x:row r="26">
      <x:c r="A26" s="121" t="str"/>
      <x:c r="B26" s="121" t="str"/>
      <x:c r="C26" s="121" t="str"/>
      <x:c r="D26" s="121" t="str"/>
      <x:c r="E26" s="121" t="str"/>
      <x:c r="F26" s="121" t="str"/>
      <x:c r="G26" s="134" t="str"/>
      <x:c r="H26" s="121" t="str">
        <x:v>Open</x:v>
      </x:c>
      <x:c r="I26" s="134" t="str"/>
      <x:c r="J26" s="121" t="str"/>
      <x:c r="K26" s="121" t="n">
        <x:f>IF(AND(G26&lt;&gt;"",H26&lt;&gt;"Complete",H26&lt;&gt;"Verified"),MAX(0,TODAY()-G26),0)</x:f>
        <x:v>0</x:v>
      </x:c>
    </x:row>
    <x:row r="27">
      <x:c r="A27" s="121" t="str"/>
      <x:c r="B27" s="121" t="str"/>
      <x:c r="C27" s="121" t="str"/>
      <x:c r="D27" s="121" t="str"/>
      <x:c r="E27" s="121" t="str"/>
      <x:c r="F27" s="121" t="str"/>
      <x:c r="G27" s="134" t="str"/>
      <x:c r="H27" s="121" t="str">
        <x:v>Open</x:v>
      </x:c>
      <x:c r="I27" s="134" t="str"/>
      <x:c r="J27" s="121" t="str"/>
      <x:c r="K27" s="121" t="n">
        <x:f>IF(AND(G27&lt;&gt;"",H27&lt;&gt;"Complete",H27&lt;&gt;"Verified"),MAX(0,TODAY()-G27),0)</x:f>
        <x:v>0</x:v>
      </x:c>
    </x:row>
    <x:row r="28">
      <x:c r="A28" s="121" t="str"/>
      <x:c r="B28" s="121" t="str"/>
      <x:c r="C28" s="121" t="str"/>
      <x:c r="D28" s="121" t="str"/>
      <x:c r="E28" s="121" t="str"/>
      <x:c r="F28" s="121" t="str"/>
      <x:c r="G28" s="134" t="str"/>
      <x:c r="H28" s="121" t="str">
        <x:v>Open</x:v>
      </x:c>
      <x:c r="I28" s="134" t="str"/>
      <x:c r="J28" s="121" t="str"/>
      <x:c r="K28" s="121" t="n">
        <x:f>IF(AND(G28&lt;&gt;"",H28&lt;&gt;"Complete",H28&lt;&gt;"Verified"),MAX(0,TODAY()-G28),0)</x:f>
        <x:v>0</x:v>
      </x:c>
    </x:row>
    <x:row r="29">
      <x:c r="A29" s="121" t="str"/>
      <x:c r="B29" s="121" t="str"/>
      <x:c r="C29" s="121" t="str"/>
      <x:c r="D29" s="121" t="str"/>
      <x:c r="E29" s="121" t="str"/>
      <x:c r="F29" s="121" t="str"/>
      <x:c r="G29" s="134" t="str"/>
      <x:c r="H29" s="121" t="str">
        <x:v>Open</x:v>
      </x:c>
      <x:c r="I29" s="134" t="str"/>
      <x:c r="J29" s="121" t="str"/>
      <x:c r="K29" s="121" t="n">
        <x:f>IF(AND(G29&lt;&gt;"",H29&lt;&gt;"Complete",H29&lt;&gt;"Verified"),MAX(0,TODAY()-G29),0)</x:f>
        <x:v>0</x:v>
      </x:c>
    </x:row>
    <x:row r="30">
      <x:c r="A30" s="121" t="str"/>
      <x:c r="B30" s="121" t="str"/>
      <x:c r="C30" s="121" t="str"/>
      <x:c r="D30" s="121" t="str"/>
      <x:c r="E30" s="121" t="str"/>
      <x:c r="F30" s="121" t="str"/>
      <x:c r="G30" s="134" t="str"/>
      <x:c r="H30" s="121" t="str">
        <x:v>Open</x:v>
      </x:c>
      <x:c r="I30" s="134" t="str"/>
      <x:c r="J30" s="121" t="str"/>
      <x:c r="K30" s="121" t="n">
        <x:f>IF(AND(G30&lt;&gt;"",H30&lt;&gt;"Complete",H30&lt;&gt;"Verified"),MAX(0,TODAY()-G30),0)</x:f>
        <x:v>0</x:v>
      </x:c>
    </x:row>
    <x:row r="31">
      <x:c r="A31" s="121" t="str"/>
      <x:c r="B31" s="121" t="str"/>
      <x:c r="C31" s="121" t="str"/>
      <x:c r="D31" s="121" t="str"/>
      <x:c r="E31" s="121" t="str"/>
      <x:c r="F31" s="121" t="str"/>
      <x:c r="G31" s="134" t="str"/>
      <x:c r="H31" s="121" t="str">
        <x:v>Open</x:v>
      </x:c>
      <x:c r="I31" s="134" t="str"/>
      <x:c r="J31" s="121" t="str"/>
      <x:c r="K31" s="121" t="n">
        <x:f>IF(AND(G31&lt;&gt;"",H31&lt;&gt;"Complete",H31&lt;&gt;"Verified"),MAX(0,TODAY()-G31),0)</x:f>
        <x:v>0</x:v>
      </x:c>
    </x:row>
    <x:row r="32">
      <x:c r="A32" s="121" t="str"/>
      <x:c r="B32" s="121" t="str"/>
      <x:c r="C32" s="121" t="str"/>
      <x:c r="D32" s="121" t="str"/>
      <x:c r="E32" s="121" t="str"/>
      <x:c r="F32" s="121" t="str"/>
      <x:c r="G32" s="134" t="str"/>
      <x:c r="H32" s="121" t="str">
        <x:v>Open</x:v>
      </x:c>
      <x:c r="I32" s="134" t="str"/>
      <x:c r="J32" s="121" t="str"/>
      <x:c r="K32" s="121" t="n">
        <x:f>IF(AND(G32&lt;&gt;"",H32&lt;&gt;"Complete",H32&lt;&gt;"Verified"),MAX(0,TODAY()-G32),0)</x:f>
        <x:v>0</x:v>
      </x:c>
    </x:row>
    <x:row r="33">
      <x:c r="A33" s="121" t="str"/>
      <x:c r="B33" s="121" t="str"/>
      <x:c r="C33" s="121" t="str"/>
      <x:c r="D33" s="121" t="str"/>
      <x:c r="E33" s="121" t="str"/>
      <x:c r="F33" s="121" t="str"/>
      <x:c r="G33" s="134" t="str"/>
      <x:c r="H33" s="121" t="str">
        <x:v>Open</x:v>
      </x:c>
      <x:c r="I33" s="134" t="str"/>
      <x:c r="J33" s="121" t="str"/>
      <x:c r="K33" s="121" t="n">
        <x:f>IF(AND(G33&lt;&gt;"",H33&lt;&gt;"Complete",H33&lt;&gt;"Verified"),MAX(0,TODAY()-G33),0)</x:f>
        <x:v>0</x:v>
      </x:c>
    </x:row>
    <x:row r="34">
      <x:c r="A34" s="121" t="str"/>
      <x:c r="B34" s="121" t="str"/>
      <x:c r="C34" s="121" t="str"/>
      <x:c r="D34" s="121" t="str"/>
      <x:c r="E34" s="121" t="str"/>
      <x:c r="F34" s="121" t="str"/>
      <x:c r="G34" s="134" t="str"/>
      <x:c r="H34" s="121" t="str">
        <x:v>Open</x:v>
      </x:c>
      <x:c r="I34" s="134" t="str"/>
      <x:c r="J34" s="121" t="str"/>
      <x:c r="K34" s="121" t="n">
        <x:f>IF(AND(G34&lt;&gt;"",H34&lt;&gt;"Complete",H34&lt;&gt;"Verified"),MAX(0,TODAY()-G34),0)</x:f>
        <x:v>0</x:v>
      </x:c>
    </x:row>
  </x:sheetData>
  <x:mergeCells>
    <x:mergeCell ref="A1:K1"/>
    <x:mergeCell ref="A2:K2"/>
  </x:mergeCells>
  <x:conditionalFormatting sqref="H5:H34">
    <x:cfRule type="cellIs" dxfId="0" priority="1">
      <x:formula>"Complete"</x:formula>
    </x:cfRule>
    <x:cfRule type="cellIs" dxfId="1" priority="2">
      <x:formula>"Verified"</x:formula>
    </x:cfRule>
    <x:cfRule type="cellIs" dxfId="2" priority="3">
      <x:formula>"Overdue"</x:formula>
    </x:cfRule>
    <x:cfRule type="cellIs" dxfId="3" priority="4">
      <x:formula>"Open"</x:formula>
    </x:cfRule>
  </x:conditionalFormatting>
  <x:conditionalFormatting sqref="K5:K34">
    <x:cfRule type="cellIs" dxfId="4" priority="5" operator="greaterThan">
      <x:formula>0</x:formula>
    </x:cfRule>
  </x:conditionalFormatting>
  <x:dataValidations count="2">
    <x:dataValidation type="list" sqref="E5:E34">
      <x:formula1>"Critical,High,Medium,Low,Monitor"</x:formula1>
    </x:dataValidation>
    <x:dataValidation type="list" sqref="H5:H34">
      <x:formula1>"Open,In Progress,Complete,Overdue,Deferred,Cancelled,Verified"</x:formula1>
    </x:dataValidation>
  </x:dataValidations>
  <x:pageMargins left="0.7" right="0.7" top="0.75" bottom="0.75" header="0.3" footer="0.3"/>
  <x:tableParts count="1">
    <x:tablePart xmlns:r="http://schemas.openxmlformats.org/officeDocument/2006/relationships" r:id="R31fb6a17ecf349df"/>
  </x:tableParts>
</x:worksheet>
</file>

<file path=xl/worksheets/sheet9.xml><?xml version="1.0" encoding="utf-8"?>
<x:worksheet xmlns:x="http://schemas.openxmlformats.org/spreadsheetml/2006/main">
  <x:sheetFormatPr defaultRowHeight="15"/>
  <x:cols>
    <x:col min="1" max="1" width="30" hidden="0" customWidth="1"/>
    <x:col min="2" max="2" width="18" hidden="0" customWidth="1"/>
    <x:col min="3" max="3" width="60" hidden="0" customWidth="1"/>
  </x:cols>
  <x:sheetData>
    <x:row r="1" ht="30" customHeight="1">
      <x:c r="A1" s="98" t="str">
        <x:v>DOWNTIME EXECUTIVE DASHBOARD</x:v>
      </x:c>
      <x:c r="B1" s="98"/>
      <x:c r="C1" s="98"/>
      <x:c r="D1" s="98"/>
      <x:c r="E1" s="98"/>
      <x:c r="F1" s="98"/>
      <x:c r="G1" s="98"/>
      <x:c r="H1" s="98"/>
      <x:c r="I1" s="98"/>
      <x:c r="J1" s="98"/>
    </x:row>
    <x:row r="2" ht="32" customHeight="1">
      <x:c r="A2" s="105" t="str">
        <x:v>Management summary of downtime, cost, repeat failures, RCA triggers and action close-out.</x:v>
      </x:c>
      <x:c r="B2" s="105"/>
      <x:c r="C2" s="105"/>
      <x:c r="D2" s="105"/>
      <x:c r="E2" s="105"/>
      <x:c r="F2" s="105"/>
      <x:c r="G2" s="105"/>
      <x:c r="H2" s="105"/>
      <x:c r="I2" s="105"/>
      <x:c r="J2" s="105"/>
    </x:row>
    <x:row r="4">
      <x:c r="A4" s="132" t="str">
        <x:v>Metric</x:v>
      </x:c>
      <x:c r="B4" s="132" t="str">
        <x:v>Value</x:v>
      </x:c>
      <x:c r="C4" s="132" t="str">
        <x:v>Interpretation</x:v>
      </x:c>
    </x:row>
    <x:row r="5">
      <x:c r="A5" s="144" t="str">
        <x:v>Total downtime hours</x:v>
      </x:c>
      <x:c r="B5" t="n">
        <x:f>SUM('📋 Downtime Log'!H:H)</x:f>
        <x:v>0</x:v>
      </x:c>
      <x:c r="C5" t="str">
        <x:v>Sum of downtime hours</x:v>
      </x:c>
    </x:row>
    <x:row r="6">
      <x:c r="A6" s="144" t="str">
        <x:v>Total downtime cost</x:v>
      </x:c>
      <x:c r="B6" s="139" t="n">
        <x:f>SUM('📋 Downtime Log'!N:N)</x:f>
        <x:v>0</x:v>
      </x:c>
      <x:c r="C6" t="str">
        <x:v>Downtime hours × hourly loss rate</x:v>
      </x:c>
    </x:row>
    <x:row r="7">
      <x:c r="A7" s="144" t="str">
        <x:v>Incidents logged</x:v>
      </x:c>
      <x:c r="B7" t="n">
        <x:f>COUNTA('📋 Downtime Log'!A2:A105)</x:f>
        <x:v>0</x:v>
      </x:c>
      <x:c r="C7" t="str">
        <x:v>Number of log rows with dates</x:v>
      </x:c>
    </x:row>
    <x:row r="8">
      <x:c r="A8" s="144" t="str">
        <x:v>Average MTTR</x:v>
      </x:c>
      <x:c r="B8" t="n">
        <x:f>IFERROR(AVERAGE('📋 Downtime Log'!H2:H105),0)</x:f>
        <x:v>0</x:v>
      </x:c>
      <x:c r="C8" t="str">
        <x:v>Average downtime per event</x:v>
      </x:c>
    </x:row>
    <x:row r="9">
      <x:c r="A9" s="144" t="str">
        <x:v>RCA required events</x:v>
      </x:c>
      <x:c r="B9" t="n">
        <x:f>COUNTIF('📋 Downtime Log'!P:P,"Yes")</x:f>
        <x:v>0</x:v>
      </x:c>
      <x:c r="C9" t="str">
        <x:v>Events meeting trigger criteria</x:v>
      </x:c>
    </x:row>
    <x:row r="10">
      <x:c r="A10" s="144" t="str">
        <x:v>Repeat failures</x:v>
      </x:c>
      <x:c r="B10" t="n">
        <x:f>COUNTIF('📋 Downtime Log'!O:O,"Yes")</x:f>
        <x:v>0</x:v>
      </x:c>
      <x:c r="C10" t="str">
        <x:v>Assets failing repeatedly in 90 days</x:v>
      </x:c>
    </x:row>
    <x:row r="11">
      <x:c r="A11" s="144" t="str">
        <x:v>Open actions</x:v>
      </x:c>
      <x:c r="B11" t="n">
        <x:f>COUNTIFS('Action Tracker'!H:H,"&lt;&gt;Complete",'Action Tracker'!H:H,"&lt;&gt;Verified",'Action Tracker'!A:A,"&lt;&gt;")</x:f>
        <x:v>33</x:v>
      </x:c>
      <x:c r="C11" t="str">
        <x:v>Action tracker not closed</x:v>
      </x:c>
    </x:row>
    <x:row r="12">
      <x:c r="A12" s="144" t="str">
        <x:v>Overall status</x:v>
      </x:c>
      <x:c r="B12" t="str">
        <x:f>IF(B9&gt;0,"RCA ATTENTION",IF(B10&gt;0,"REPEAT FAILURES","CONTROLLED"))</x:f>
        <x:v>CONTROLLED</x:v>
      </x:c>
      <x:c r="C12" t="str">
        <x:v>Management interpretation</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FormatPr defaultRowHeight="15"/>
  <x:cols>
    <x:col min="1" max="1" width="13.25" hidden="0" customWidth="1"/>
    <x:col min="2" max="2" width="15.130000114440918" hidden="0" customWidth="1"/>
    <x:col min="3" max="3" width="6.25" hidden="0" customWidth="1"/>
    <x:col min="4" max="4" width="9.380000114440918" hidden="0" customWidth="1"/>
    <x:col min="5" max="5" width="14.75" hidden="0" customWidth="1"/>
    <x:col min="6" max="6" width="13.630000114440918" hidden="0" customWidth="1"/>
    <x:col min="7" max="7" width="15" hidden="0" customWidth="1"/>
    <x:col min="8" max="8" width="13.25" hidden="0" customWidth="1"/>
    <x:col min="9" max="9" width="17.3799991607666" hidden="0" customWidth="1"/>
    <x:col min="10" max="10" width="7.75" hidden="0" customWidth="1"/>
  </x:cols>
  <x:sheetData>
    <x:row r="1" ht="30" customHeight="1">
      <x:c r="A1" s="98" t="str">
        <x:v>BAD ACTOR REGISTER</x:v>
      </x:c>
      <x:c r="B1" s="98"/>
      <x:c r="C1" s="98"/>
      <x:c r="D1" s="98"/>
      <x:c r="E1" s="98"/>
      <x:c r="F1" s="98"/>
      <x:c r="G1" s="98"/>
      <x:c r="H1" s="98"/>
      <x:c r="I1" s="98"/>
      <x:c r="J1" s="98"/>
    </x:row>
    <x:row r="2" ht="32" customHeight="1">
      <x:c r="A2" s="105" t="str">
        <x:v>Use this register to rank problematic equipment for reliability improvement.</x:v>
      </x:c>
      <x:c r="B2" s="105"/>
      <x:c r="C2" s="105"/>
      <x:c r="D2" s="105"/>
      <x:c r="E2" s="105"/>
      <x:c r="F2" s="105"/>
      <x:c r="G2" s="105"/>
      <x:c r="H2" s="105"/>
      <x:c r="I2" s="105"/>
      <x:c r="J2" s="105"/>
    </x:row>
    <x:row r="4" ht="26" customHeight="1">
      <x:c r="A4" s="113" t="str">
        <x:v>Equipment Tag</x:v>
      </x:c>
      <x:c r="B4" s="113" t="str">
        <x:v>Equipment Name</x:v>
      </x:c>
      <x:c r="C4" s="113" t="str">
        <x:v>Area</x:v>
      </x:c>
      <x:c r="D4" s="113" t="str">
        <x:v>Incidents</x:v>
      </x:c>
      <x:c r="E4" s="113" t="str">
        <x:v>Downtime Hours</x:v>
      </x:c>
      <x:c r="F4" s="113" t="str">
        <x:v>Downtime Cost</x:v>
      </x:c>
      <x:c r="G4" s="113" t="str">
        <x:v>Top Failure Mode</x:v>
      </x:c>
      <x:c r="H4" s="113" t="str">
        <x:v>RCA Required?</x:v>
      </x:c>
      <x:c r="I4" s="113" t="str">
        <x:v>Improvement Action</x:v>
      </x:c>
      <x:c r="J4" s="113" t="str">
        <x:v>Owner</x:v>
      </x:c>
    </x:row>
    <x:row r="5">
      <x:c r="A5" s="121" t="str"/>
      <x:c r="B5" s="121" t="str"/>
      <x:c r="C5" s="121" t="str"/>
      <x:c r="D5" s="121" t="n">
        <x:f>COUNTIF('📋 Downtime Log'!B:B,A5)</x:f>
        <x:v>0</x:v>
      </x:c>
      <x:c r="E5" s="121" t="n">
        <x:f>SUMIF('📋 Downtime Log'!B:B,A5,'📋 Downtime Log'!H:H)</x:f>
        <x:v>0</x:v>
      </x:c>
      <x:c r="F5" s="146" t="n">
        <x:f>SUMIF('📋 Downtime Log'!B:B,A5,'📋 Downtime Log'!N:N)</x:f>
        <x:v>0</x:v>
      </x:c>
      <x:c r="G5" s="121" t="str"/>
      <x:c r="H5" s="121" t="str"/>
      <x:c r="I5" s="121" t="str"/>
      <x:c r="J5" s="121" t="str"/>
    </x:row>
    <x:row r="6">
      <x:c r="A6" s="121" t="str"/>
      <x:c r="B6" s="121" t="str"/>
      <x:c r="C6" s="121" t="str"/>
      <x:c r="D6" s="121" t="n">
        <x:f>COUNTIF('📋 Downtime Log'!B:B,A6)</x:f>
        <x:v>0</x:v>
      </x:c>
      <x:c r="E6" s="121" t="n">
        <x:f>SUMIF('📋 Downtime Log'!B:B,A6,'📋 Downtime Log'!H:H)</x:f>
        <x:v>0</x:v>
      </x:c>
      <x:c r="F6" s="146" t="n">
        <x:f>SUMIF('📋 Downtime Log'!B:B,A6,'📋 Downtime Log'!N:N)</x:f>
        <x:v>0</x:v>
      </x:c>
      <x:c r="G6" s="121" t="str"/>
      <x:c r="H6" s="121" t="str"/>
      <x:c r="I6" s="121" t="str"/>
      <x:c r="J6" s="121" t="str"/>
    </x:row>
    <x:row r="7">
      <x:c r="A7" s="121" t="str"/>
      <x:c r="B7" s="121" t="str"/>
      <x:c r="C7" s="121" t="str"/>
      <x:c r="D7" s="121" t="n">
        <x:f>COUNTIF('📋 Downtime Log'!B:B,A7)</x:f>
        <x:v>0</x:v>
      </x:c>
      <x:c r="E7" s="121" t="n">
        <x:f>SUMIF('📋 Downtime Log'!B:B,A7,'📋 Downtime Log'!H:H)</x:f>
        <x:v>0</x:v>
      </x:c>
      <x:c r="F7" s="146" t="n">
        <x:f>SUMIF('📋 Downtime Log'!B:B,A7,'📋 Downtime Log'!N:N)</x:f>
        <x:v>0</x:v>
      </x:c>
      <x:c r="G7" s="121" t="str"/>
      <x:c r="H7" s="121" t="str"/>
      <x:c r="I7" s="121" t="str"/>
      <x:c r="J7" s="121" t="str"/>
    </x:row>
    <x:row r="8">
      <x:c r="A8" s="121" t="str"/>
      <x:c r="B8" s="121" t="str"/>
      <x:c r="C8" s="121" t="str"/>
      <x:c r="D8" s="121" t="n">
        <x:f>COUNTIF('📋 Downtime Log'!B:B,A8)</x:f>
        <x:v>0</x:v>
      </x:c>
      <x:c r="E8" s="121" t="n">
        <x:f>SUMIF('📋 Downtime Log'!B:B,A8,'📋 Downtime Log'!H:H)</x:f>
        <x:v>0</x:v>
      </x:c>
      <x:c r="F8" s="146" t="n">
        <x:f>SUMIF('📋 Downtime Log'!B:B,A8,'📋 Downtime Log'!N:N)</x:f>
        <x:v>0</x:v>
      </x:c>
      <x:c r="G8" s="121" t="str"/>
      <x:c r="H8" s="121" t="str"/>
      <x:c r="I8" s="121" t="str"/>
      <x:c r="J8" s="121" t="str"/>
    </x:row>
    <x:row r="9">
      <x:c r="A9" s="121" t="str"/>
      <x:c r="B9" s="121" t="str"/>
      <x:c r="C9" s="121" t="str"/>
      <x:c r="D9" s="121" t="n">
        <x:f>COUNTIF('📋 Downtime Log'!B:B,A9)</x:f>
        <x:v>0</x:v>
      </x:c>
      <x:c r="E9" s="121" t="n">
        <x:f>SUMIF('📋 Downtime Log'!B:B,A9,'📋 Downtime Log'!H:H)</x:f>
        <x:v>0</x:v>
      </x:c>
      <x:c r="F9" s="146" t="n">
        <x:f>SUMIF('📋 Downtime Log'!B:B,A9,'📋 Downtime Log'!N:N)</x:f>
        <x:v>0</x:v>
      </x:c>
      <x:c r="G9" s="121" t="str"/>
      <x:c r="H9" s="121" t="str"/>
      <x:c r="I9" s="121" t="str"/>
      <x:c r="J9" s="121" t="str"/>
    </x:row>
    <x:row r="10">
      <x:c r="A10" s="121" t="str"/>
      <x:c r="B10" s="121" t="str"/>
      <x:c r="C10" s="121" t="str"/>
      <x:c r="D10" s="121" t="n">
        <x:f>COUNTIF('📋 Downtime Log'!B:B,A10)</x:f>
        <x:v>0</x:v>
      </x:c>
      <x:c r="E10" s="121" t="n">
        <x:f>SUMIF('📋 Downtime Log'!B:B,A10,'📋 Downtime Log'!H:H)</x:f>
        <x:v>0</x:v>
      </x:c>
      <x:c r="F10" s="146" t="n">
        <x:f>SUMIF('📋 Downtime Log'!B:B,A10,'📋 Downtime Log'!N:N)</x:f>
        <x:v>0</x:v>
      </x:c>
      <x:c r="G10" s="121" t="str"/>
      <x:c r="H10" s="121" t="str"/>
      <x:c r="I10" s="121" t="str"/>
      <x:c r="J10" s="121" t="str"/>
    </x:row>
    <x:row r="11">
      <x:c r="A11" s="121" t="str"/>
      <x:c r="B11" s="121" t="str"/>
      <x:c r="C11" s="121" t="str"/>
      <x:c r="D11" s="121" t="n">
        <x:f>COUNTIF('📋 Downtime Log'!B:B,A11)</x:f>
        <x:v>0</x:v>
      </x:c>
      <x:c r="E11" s="121" t="n">
        <x:f>SUMIF('📋 Downtime Log'!B:B,A11,'📋 Downtime Log'!H:H)</x:f>
        <x:v>0</x:v>
      </x:c>
      <x:c r="F11" s="146" t="n">
        <x:f>SUMIF('📋 Downtime Log'!B:B,A11,'📋 Downtime Log'!N:N)</x:f>
        <x:v>0</x:v>
      </x:c>
      <x:c r="G11" s="121" t="str"/>
      <x:c r="H11" s="121" t="str"/>
      <x:c r="I11" s="121" t="str"/>
      <x:c r="J11" s="121" t="str"/>
    </x:row>
    <x:row r="12">
      <x:c r="A12" s="121" t="str"/>
      <x:c r="B12" s="121" t="str"/>
      <x:c r="C12" s="121" t="str"/>
      <x:c r="D12" s="121" t="n">
        <x:f>COUNTIF('📋 Downtime Log'!B:B,A12)</x:f>
        <x:v>0</x:v>
      </x:c>
      <x:c r="E12" s="121" t="n">
        <x:f>SUMIF('📋 Downtime Log'!B:B,A12,'📋 Downtime Log'!H:H)</x:f>
        <x:v>0</x:v>
      </x:c>
      <x:c r="F12" s="146" t="n">
        <x:f>SUMIF('📋 Downtime Log'!B:B,A12,'📋 Downtime Log'!N:N)</x:f>
        <x:v>0</x:v>
      </x:c>
      <x:c r="G12" s="121" t="str"/>
      <x:c r="H12" s="121" t="str"/>
      <x:c r="I12" s="121" t="str"/>
      <x:c r="J12" s="121" t="str"/>
    </x:row>
    <x:row r="13">
      <x:c r="A13" s="121" t="str"/>
      <x:c r="B13" s="121" t="str"/>
      <x:c r="C13" s="121" t="str"/>
      <x:c r="D13" s="121" t="n">
        <x:f>COUNTIF('📋 Downtime Log'!B:B,A13)</x:f>
        <x:v>0</x:v>
      </x:c>
      <x:c r="E13" s="121" t="n">
        <x:f>SUMIF('📋 Downtime Log'!B:B,A13,'📋 Downtime Log'!H:H)</x:f>
        <x:v>0</x:v>
      </x:c>
      <x:c r="F13" s="146" t="n">
        <x:f>SUMIF('📋 Downtime Log'!B:B,A13,'📋 Downtime Log'!N:N)</x:f>
        <x:v>0</x:v>
      </x:c>
      <x:c r="G13" s="121" t="str"/>
      <x:c r="H13" s="121" t="str"/>
      <x:c r="I13" s="121" t="str"/>
      <x:c r="J13" s="121" t="str"/>
    </x:row>
    <x:row r="14">
      <x:c r="A14" s="121" t="str"/>
      <x:c r="B14" s="121" t="str"/>
      <x:c r="C14" s="121" t="str"/>
      <x:c r="D14" s="121" t="n">
        <x:f>COUNTIF('📋 Downtime Log'!B:B,A14)</x:f>
        <x:v>0</x:v>
      </x:c>
      <x:c r="E14" s="121" t="n">
        <x:f>SUMIF('📋 Downtime Log'!B:B,A14,'📋 Downtime Log'!H:H)</x:f>
        <x:v>0</x:v>
      </x:c>
      <x:c r="F14" s="146" t="n">
        <x:f>SUMIF('📋 Downtime Log'!B:B,A14,'📋 Downtime Log'!N:N)</x:f>
        <x:v>0</x:v>
      </x:c>
      <x:c r="G14" s="121" t="str"/>
      <x:c r="H14" s="121" t="str"/>
      <x:c r="I14" s="121" t="str"/>
      <x:c r="J14" s="121" t="str"/>
    </x:row>
    <x:row r="15">
      <x:c r="A15" s="121" t="str"/>
      <x:c r="B15" s="121" t="str"/>
      <x:c r="C15" s="121" t="str"/>
      <x:c r="D15" s="121" t="n">
        <x:f>COUNTIF('📋 Downtime Log'!B:B,A15)</x:f>
        <x:v>0</x:v>
      </x:c>
      <x:c r="E15" s="121" t="n">
        <x:f>SUMIF('📋 Downtime Log'!B:B,A15,'📋 Downtime Log'!H:H)</x:f>
        <x:v>0</x:v>
      </x:c>
      <x:c r="F15" s="146" t="n">
        <x:f>SUMIF('📋 Downtime Log'!B:B,A15,'📋 Downtime Log'!N:N)</x:f>
        <x:v>0</x:v>
      </x:c>
      <x:c r="G15" s="121" t="str"/>
      <x:c r="H15" s="121" t="str"/>
      <x:c r="I15" s="121" t="str"/>
      <x:c r="J15" s="121" t="str"/>
    </x:row>
    <x:row r="16">
      <x:c r="A16" s="121" t="str"/>
      <x:c r="B16" s="121" t="str"/>
      <x:c r="C16" s="121" t="str"/>
      <x:c r="D16" s="121" t="n">
        <x:f>COUNTIF('📋 Downtime Log'!B:B,A16)</x:f>
        <x:v>0</x:v>
      </x:c>
      <x:c r="E16" s="121" t="n">
        <x:f>SUMIF('📋 Downtime Log'!B:B,A16,'📋 Downtime Log'!H:H)</x:f>
        <x:v>0</x:v>
      </x:c>
      <x:c r="F16" s="146" t="n">
        <x:f>SUMIF('📋 Downtime Log'!B:B,A16,'📋 Downtime Log'!N:N)</x:f>
        <x:v>0</x:v>
      </x:c>
      <x:c r="G16" s="121" t="str"/>
      <x:c r="H16" s="121" t="str"/>
      <x:c r="I16" s="121" t="str"/>
      <x:c r="J16" s="121" t="str"/>
    </x:row>
    <x:row r="17">
      <x:c r="A17" s="121" t="str"/>
      <x:c r="B17" s="121" t="str"/>
      <x:c r="C17" s="121" t="str"/>
      <x:c r="D17" s="121" t="n">
        <x:f>COUNTIF('📋 Downtime Log'!B:B,A17)</x:f>
        <x:v>0</x:v>
      </x:c>
      <x:c r="E17" s="121" t="n">
        <x:f>SUMIF('📋 Downtime Log'!B:B,A17,'📋 Downtime Log'!H:H)</x:f>
        <x:v>0</x:v>
      </x:c>
      <x:c r="F17" s="146" t="n">
        <x:f>SUMIF('📋 Downtime Log'!B:B,A17,'📋 Downtime Log'!N:N)</x:f>
        <x:v>0</x:v>
      </x:c>
      <x:c r="G17" s="121" t="str"/>
      <x:c r="H17" s="121" t="str"/>
      <x:c r="I17" s="121" t="str"/>
      <x:c r="J17" s="121" t="str"/>
    </x:row>
    <x:row r="18">
      <x:c r="A18" s="121" t="str"/>
      <x:c r="B18" s="121" t="str"/>
      <x:c r="C18" s="121" t="str"/>
      <x:c r="D18" s="121" t="n">
        <x:f>COUNTIF('📋 Downtime Log'!B:B,A18)</x:f>
        <x:v>0</x:v>
      </x:c>
      <x:c r="E18" s="121" t="n">
        <x:f>SUMIF('📋 Downtime Log'!B:B,A18,'📋 Downtime Log'!H:H)</x:f>
        <x:v>0</x:v>
      </x:c>
      <x:c r="F18" s="146" t="n">
        <x:f>SUMIF('📋 Downtime Log'!B:B,A18,'📋 Downtime Log'!N:N)</x:f>
        <x:v>0</x:v>
      </x:c>
      <x:c r="G18" s="121" t="str"/>
      <x:c r="H18" s="121" t="str"/>
      <x:c r="I18" s="121" t="str"/>
      <x:c r="J18" s="121" t="str"/>
    </x:row>
    <x:row r="19">
      <x:c r="A19" s="121" t="str"/>
      <x:c r="B19" s="121" t="str"/>
      <x:c r="C19" s="121" t="str"/>
      <x:c r="D19" s="121" t="n">
        <x:f>COUNTIF('📋 Downtime Log'!B:B,A19)</x:f>
        <x:v>0</x:v>
      </x:c>
      <x:c r="E19" s="121" t="n">
        <x:f>SUMIF('📋 Downtime Log'!B:B,A19,'📋 Downtime Log'!H:H)</x:f>
        <x:v>0</x:v>
      </x:c>
      <x:c r="F19" s="146" t="n">
        <x:f>SUMIF('📋 Downtime Log'!B:B,A19,'📋 Downtime Log'!N:N)</x:f>
        <x:v>0</x:v>
      </x:c>
      <x:c r="G19" s="121" t="str"/>
      <x:c r="H19" s="121" t="str"/>
      <x:c r="I19" s="121" t="str"/>
      <x:c r="J19" s="121" t="str"/>
    </x:row>
    <x:row r="20">
      <x:c r="A20" s="121" t="str"/>
      <x:c r="B20" s="121" t="str"/>
      <x:c r="C20" s="121" t="str"/>
      <x:c r="D20" s="121" t="n">
        <x:f>COUNTIF('📋 Downtime Log'!B:B,A20)</x:f>
        <x:v>0</x:v>
      </x:c>
      <x:c r="E20" s="121" t="n">
        <x:f>SUMIF('📋 Downtime Log'!B:B,A20,'📋 Downtime Log'!H:H)</x:f>
        <x:v>0</x:v>
      </x:c>
      <x:c r="F20" s="146" t="n">
        <x:f>SUMIF('📋 Downtime Log'!B:B,A20,'📋 Downtime Log'!N:N)</x:f>
        <x:v>0</x:v>
      </x:c>
      <x:c r="G20" s="121" t="str"/>
      <x:c r="H20" s="121" t="str"/>
      <x:c r="I20" s="121" t="str"/>
      <x:c r="J20" s="121" t="str"/>
    </x:row>
    <x:row r="21">
      <x:c r="A21" s="121" t="str"/>
      <x:c r="B21" s="121" t="str"/>
      <x:c r="C21" s="121" t="str"/>
      <x:c r="D21" s="121" t="n">
        <x:f>COUNTIF('📋 Downtime Log'!B:B,A21)</x:f>
        <x:v>0</x:v>
      </x:c>
      <x:c r="E21" s="121" t="n">
        <x:f>SUMIF('📋 Downtime Log'!B:B,A21,'📋 Downtime Log'!H:H)</x:f>
        <x:v>0</x:v>
      </x:c>
      <x:c r="F21" s="146" t="n">
        <x:f>SUMIF('📋 Downtime Log'!B:B,A21,'📋 Downtime Log'!N:N)</x:f>
        <x:v>0</x:v>
      </x:c>
      <x:c r="G21" s="121" t="str"/>
      <x:c r="H21" s="121" t="str"/>
      <x:c r="I21" s="121" t="str"/>
      <x:c r="J21" s="121" t="str"/>
    </x:row>
    <x:row r="22">
      <x:c r="A22" s="121" t="str"/>
      <x:c r="B22" s="121" t="str"/>
      <x:c r="C22" s="121" t="str"/>
      <x:c r="D22" s="121" t="n">
        <x:f>COUNTIF('📋 Downtime Log'!B:B,A22)</x:f>
        <x:v>0</x:v>
      </x:c>
      <x:c r="E22" s="121" t="n">
        <x:f>SUMIF('📋 Downtime Log'!B:B,A22,'📋 Downtime Log'!H:H)</x:f>
        <x:v>0</x:v>
      </x:c>
      <x:c r="F22" s="146" t="n">
        <x:f>SUMIF('📋 Downtime Log'!B:B,A22,'📋 Downtime Log'!N:N)</x:f>
        <x:v>0</x:v>
      </x:c>
      <x:c r="G22" s="121" t="str"/>
      <x:c r="H22" s="121" t="str"/>
      <x:c r="I22" s="121" t="str"/>
      <x:c r="J22" s="121" t="str"/>
    </x:row>
    <x:row r="23">
      <x:c r="A23" s="121" t="str"/>
      <x:c r="B23" s="121" t="str"/>
      <x:c r="C23" s="121" t="str"/>
      <x:c r="D23" s="121" t="n">
        <x:f>COUNTIF('📋 Downtime Log'!B:B,A23)</x:f>
        <x:v>0</x:v>
      </x:c>
      <x:c r="E23" s="121" t="n">
        <x:f>SUMIF('📋 Downtime Log'!B:B,A23,'📋 Downtime Log'!H:H)</x:f>
        <x:v>0</x:v>
      </x:c>
      <x:c r="F23" s="146" t="n">
        <x:f>SUMIF('📋 Downtime Log'!B:B,A23,'📋 Downtime Log'!N:N)</x:f>
        <x:v>0</x:v>
      </x:c>
      <x:c r="G23" s="121" t="str"/>
      <x:c r="H23" s="121" t="str"/>
      <x:c r="I23" s="121" t="str"/>
      <x:c r="J23" s="121" t="str"/>
    </x:row>
    <x:row r="24">
      <x:c r="A24" s="121" t="str"/>
      <x:c r="B24" s="121" t="str"/>
      <x:c r="C24" s="121" t="str"/>
      <x:c r="D24" s="121" t="n">
        <x:f>COUNTIF('📋 Downtime Log'!B:B,A24)</x:f>
        <x:v>0</x:v>
      </x:c>
      <x:c r="E24" s="121" t="n">
        <x:f>SUMIF('📋 Downtime Log'!B:B,A24,'📋 Downtime Log'!H:H)</x:f>
        <x:v>0</x:v>
      </x:c>
      <x:c r="F24" s="146" t="n">
        <x:f>SUMIF('📋 Downtime Log'!B:B,A24,'📋 Downtime Log'!N:N)</x:f>
        <x:v>0</x:v>
      </x:c>
      <x:c r="G24" s="121" t="str"/>
      <x:c r="H24" s="121" t="str"/>
      <x:c r="I24" s="121" t="str"/>
      <x:c r="J24" s="121" t="str"/>
    </x:row>
  </x:sheetData>
  <x:mergeCells>
    <x:mergeCell ref="A1:J1"/>
    <x:mergeCell ref="A2:J2"/>
  </x:mergeCells>
  <x:pageMargins left="0.7" right="0.7" top="0.75" bottom="0.75" header="0.3" footer="0.3"/>
  <x:tableParts count="1">
    <x:tablePart xmlns:r="http://schemas.openxmlformats.org/officeDocument/2006/relationships" r:id="R5b076039088b447a"/>
  </x:tableParts>
</x:worksheet>
</file>

<file path=xl/worksheets/sheet11.xml><?xml version="1.0" encoding="utf-8"?>
<x:worksheet xmlns:x="http://schemas.openxmlformats.org/spreadsheetml/2006/main">
  <x:sheetFormatPr defaultRowHeight="15"/>
  <x:cols>
    <x:col min="1" max="1" width="12.5" hidden="0" customWidth="1"/>
    <x:col min="2" max="2" width="14.630000114440918" hidden="0" customWidth="1"/>
    <x:col min="3" max="3" width="17.75" hidden="0" customWidth="1"/>
    <x:col min="4" max="4" width="8.880000114440918" hidden="0" customWidth="1"/>
    <x:col min="5" max="5" width="7.5" hidden="0" customWidth="1"/>
    <x:col min="6" max="6" width="7.75" hidden="0" customWidth="1"/>
    <x:col min="7" max="7" width="9.5" hidden="0" customWidth="1"/>
    <x:col min="8" max="8" width="7.380000114440918" hidden="0" customWidth="1"/>
    <x:col min="9" max="9" width="17.3799991607666" hidden="0" customWidth="1"/>
    <x:col min="10" max="10" width="9.25" hidden="0" customWidth="1"/>
    <x:col min="11" max="11" width="10.5" hidden="0" customWidth="1"/>
  </x:cols>
  <x:sheetData>
    <x:row r="1" ht="30" customHeight="1">
      <x:c r="A1" s="98" t="str">
        <x:v>DOWNTIME REVIEW MEETING SUMMARY</x:v>
      </x:c>
      <x:c r="B1" s="98"/>
      <x:c r="C1" s="98"/>
      <x:c r="D1" s="98"/>
      <x:c r="E1" s="98"/>
      <x:c r="F1" s="98"/>
      <x:c r="G1" s="98"/>
      <x:c r="H1" s="98"/>
      <x:c r="I1" s="98"/>
      <x:c r="J1" s="98"/>
      <x:c r="K1" s="98"/>
    </x:row>
    <x:row r="2" ht="32" customHeight="1">
      <x:c r="A2" s="105" t="str">
        <x:v>Capture decisions from weekly/monthly downtime review meetings.</x:v>
      </x:c>
      <x:c r="B2" s="105"/>
      <x:c r="C2" s="105"/>
      <x:c r="D2" s="105"/>
      <x:c r="E2" s="105"/>
      <x:c r="F2" s="105"/>
      <x:c r="G2" s="105"/>
      <x:c r="H2" s="105"/>
      <x:c r="I2" s="105"/>
      <x:c r="J2" s="105"/>
      <x:c r="K2" s="105"/>
    </x:row>
    <x:row r="4" ht="26" customHeight="1">
      <x:c r="A4" s="113" t="str">
        <x:v>Meeting Date</x:v>
      </x:c>
      <x:c r="B4" s="113" t="str">
        <x:v>Period Reviewed</x:v>
      </x:c>
      <x:c r="C4" s="113" t="str">
        <x:v>Key Downtime Driver</x:v>
      </x:c>
      <x:c r="D4" s="113" t="str">
        <x:v>Decision</x:v>
      </x:c>
      <x:c r="E4" s="113" t="str">
        <x:v>Action</x:v>
      </x:c>
      <x:c r="F4" s="113" t="str">
        <x:v>Owner</x:v>
      </x:c>
      <x:c r="G4" s="113" t="str">
        <x:v>Due Date</x:v>
      </x:c>
      <x:c r="H4" s="113" t="str">
        <x:v>Status</x:v>
      </x:c>
      <x:c r="I4" s="113" t="str">
        <x:v>Escalation Required?</x:v>
      </x:c>
      <x:c r="J4" s="113" t="str">
        <x:v>Evidence</x:v>
      </x:c>
      <x:c r="K4" s="113" t="str">
        <x:v>Comments</x:v>
      </x:c>
    </x:row>
    <x:row r="5">
      <x:c r="A5" s="134" t="str"/>
      <x:c r="B5" s="121" t="str"/>
      <x:c r="C5" s="121" t="str"/>
      <x:c r="D5" s="121" t="str"/>
      <x:c r="E5" s="121" t="str"/>
      <x:c r="F5" s="121" t="str"/>
      <x:c r="G5" s="134" t="str"/>
      <x:c r="H5" s="121" t="str">
        <x:v>Open</x:v>
      </x:c>
      <x:c r="I5" s="121" t="str">
        <x:v>No</x:v>
      </x:c>
      <x:c r="J5" s="121" t="str"/>
      <x:c r="K5" s="121" t="str"/>
    </x:row>
    <x:row r="6">
      <x:c r="A6" s="134" t="str"/>
      <x:c r="B6" s="121" t="str"/>
      <x:c r="C6" s="121" t="str"/>
      <x:c r="D6" s="121" t="str"/>
      <x:c r="E6" s="121" t="str"/>
      <x:c r="F6" s="121" t="str"/>
      <x:c r="G6" s="134" t="str"/>
      <x:c r="H6" s="121" t="str">
        <x:v>Open</x:v>
      </x:c>
      <x:c r="I6" s="121" t="str">
        <x:v>No</x:v>
      </x:c>
      <x:c r="J6" s="121" t="str"/>
      <x:c r="K6" s="121" t="str"/>
    </x:row>
    <x:row r="7">
      <x:c r="A7" s="134" t="str"/>
      <x:c r="B7" s="121" t="str"/>
      <x:c r="C7" s="121" t="str"/>
      <x:c r="D7" s="121" t="str"/>
      <x:c r="E7" s="121" t="str"/>
      <x:c r="F7" s="121" t="str"/>
      <x:c r="G7" s="134" t="str"/>
      <x:c r="H7" s="121" t="str">
        <x:v>Open</x:v>
      </x:c>
      <x:c r="I7" s="121" t="str">
        <x:v>No</x:v>
      </x:c>
      <x:c r="J7" s="121" t="str"/>
      <x:c r="K7" s="121" t="str"/>
    </x:row>
    <x:row r="8">
      <x:c r="A8" s="134" t="str"/>
      <x:c r="B8" s="121" t="str"/>
      <x:c r="C8" s="121" t="str"/>
      <x:c r="D8" s="121" t="str"/>
      <x:c r="E8" s="121" t="str"/>
      <x:c r="F8" s="121" t="str"/>
      <x:c r="G8" s="134" t="str"/>
      <x:c r="H8" s="121" t="str">
        <x:v>Open</x:v>
      </x:c>
      <x:c r="I8" s="121" t="str">
        <x:v>No</x:v>
      </x:c>
      <x:c r="J8" s="121" t="str"/>
      <x:c r="K8" s="121" t="str"/>
    </x:row>
    <x:row r="9">
      <x:c r="A9" s="134" t="str"/>
      <x:c r="B9" s="121" t="str"/>
      <x:c r="C9" s="121" t="str"/>
      <x:c r="D9" s="121" t="str"/>
      <x:c r="E9" s="121" t="str"/>
      <x:c r="F9" s="121" t="str"/>
      <x:c r="G9" s="134" t="str"/>
      <x:c r="H9" s="121" t="str">
        <x:v>Open</x:v>
      </x:c>
      <x:c r="I9" s="121" t="str">
        <x:v>No</x:v>
      </x:c>
      <x:c r="J9" s="121" t="str"/>
      <x:c r="K9" s="121" t="str"/>
    </x:row>
    <x:row r="10">
      <x:c r="A10" s="134" t="str"/>
      <x:c r="B10" s="121" t="str"/>
      <x:c r="C10" s="121" t="str"/>
      <x:c r="D10" s="121" t="str"/>
      <x:c r="E10" s="121" t="str"/>
      <x:c r="F10" s="121" t="str"/>
      <x:c r="G10" s="134" t="str"/>
      <x:c r="H10" s="121" t="str">
        <x:v>Open</x:v>
      </x:c>
      <x:c r="I10" s="121" t="str">
        <x:v>No</x:v>
      </x:c>
      <x:c r="J10" s="121" t="str"/>
      <x:c r="K10" s="121" t="str"/>
    </x:row>
    <x:row r="11">
      <x:c r="A11" s="134" t="str"/>
      <x:c r="B11" s="121" t="str"/>
      <x:c r="C11" s="121" t="str"/>
      <x:c r="D11" s="121" t="str"/>
      <x:c r="E11" s="121" t="str"/>
      <x:c r="F11" s="121" t="str"/>
      <x:c r="G11" s="134" t="str"/>
      <x:c r="H11" s="121" t="str">
        <x:v>Open</x:v>
      </x:c>
      <x:c r="I11" s="121" t="str">
        <x:v>No</x:v>
      </x:c>
      <x:c r="J11" s="121" t="str"/>
      <x:c r="K11" s="121" t="str"/>
    </x:row>
    <x:row r="12">
      <x:c r="A12" s="134" t="str"/>
      <x:c r="B12" s="121" t="str"/>
      <x:c r="C12" s="121" t="str"/>
      <x:c r="D12" s="121" t="str"/>
      <x:c r="E12" s="121" t="str"/>
      <x:c r="F12" s="121" t="str"/>
      <x:c r="G12" s="134" t="str"/>
      <x:c r="H12" s="121" t="str">
        <x:v>Open</x:v>
      </x:c>
      <x:c r="I12" s="121" t="str">
        <x:v>No</x:v>
      </x:c>
      <x:c r="J12" s="121" t="str"/>
      <x:c r="K12" s="121" t="str"/>
    </x:row>
    <x:row r="13">
      <x:c r="A13" s="134" t="str"/>
      <x:c r="B13" s="121" t="str"/>
      <x:c r="C13" s="121" t="str"/>
      <x:c r="D13" s="121" t="str"/>
      <x:c r="E13" s="121" t="str"/>
      <x:c r="F13" s="121" t="str"/>
      <x:c r="G13" s="134" t="str"/>
      <x:c r="H13" s="121" t="str">
        <x:v>Open</x:v>
      </x:c>
      <x:c r="I13" s="121" t="str">
        <x:v>No</x:v>
      </x:c>
      <x:c r="J13" s="121" t="str"/>
      <x:c r="K13" s="121" t="str"/>
    </x:row>
    <x:row r="14">
      <x:c r="A14" s="134" t="str"/>
      <x:c r="B14" s="121" t="str"/>
      <x:c r="C14" s="121" t="str"/>
      <x:c r="D14" s="121" t="str"/>
      <x:c r="E14" s="121" t="str"/>
      <x:c r="F14" s="121" t="str"/>
      <x:c r="G14" s="134" t="str"/>
      <x:c r="H14" s="121" t="str">
        <x:v>Open</x:v>
      </x:c>
      <x:c r="I14" s="121" t="str">
        <x:v>No</x:v>
      </x:c>
      <x:c r="J14" s="121" t="str"/>
      <x:c r="K14" s="121" t="str"/>
    </x:row>
    <x:row r="15">
      <x:c r="A15" s="134" t="str"/>
      <x:c r="B15" s="121" t="str"/>
      <x:c r="C15" s="121" t="str"/>
      <x:c r="D15" s="121" t="str"/>
      <x:c r="E15" s="121" t="str"/>
      <x:c r="F15" s="121" t="str"/>
      <x:c r="G15" s="134" t="str"/>
      <x:c r="H15" s="121" t="str">
        <x:v>Open</x:v>
      </x:c>
      <x:c r="I15" s="121" t="str">
        <x:v>No</x:v>
      </x:c>
      <x:c r="J15" s="121" t="str"/>
      <x:c r="K15" s="121" t="str"/>
    </x:row>
    <x:row r="16">
      <x:c r="A16" s="134" t="str"/>
      <x:c r="B16" s="121" t="str"/>
      <x:c r="C16" s="121" t="str"/>
      <x:c r="D16" s="121" t="str"/>
      <x:c r="E16" s="121" t="str"/>
      <x:c r="F16" s="121" t="str"/>
      <x:c r="G16" s="134" t="str"/>
      <x:c r="H16" s="121" t="str">
        <x:v>Open</x:v>
      </x:c>
      <x:c r="I16" s="121" t="str">
        <x:v>No</x:v>
      </x:c>
      <x:c r="J16" s="121" t="str"/>
      <x:c r="K16" s="121" t="str"/>
    </x:row>
    <x:row r="17">
      <x:c r="A17" s="134" t="str"/>
      <x:c r="B17" s="121" t="str"/>
      <x:c r="C17" s="121" t="str"/>
      <x:c r="D17" s="121" t="str"/>
      <x:c r="E17" s="121" t="str"/>
      <x:c r="F17" s="121" t="str"/>
      <x:c r="G17" s="134" t="str"/>
      <x:c r="H17" s="121" t="str">
        <x:v>Open</x:v>
      </x:c>
      <x:c r="I17" s="121" t="str">
        <x:v>No</x:v>
      </x:c>
      <x:c r="J17" s="121" t="str"/>
      <x:c r="K17" s="121" t="str"/>
    </x:row>
    <x:row r="18">
      <x:c r="A18" s="134" t="str"/>
      <x:c r="B18" s="121" t="str"/>
      <x:c r="C18" s="121" t="str"/>
      <x:c r="D18" s="121" t="str"/>
      <x:c r="E18" s="121" t="str"/>
      <x:c r="F18" s="121" t="str"/>
      <x:c r="G18" s="134" t="str"/>
      <x:c r="H18" s="121" t="str">
        <x:v>Open</x:v>
      </x:c>
      <x:c r="I18" s="121" t="str">
        <x:v>No</x:v>
      </x:c>
      <x:c r="J18" s="121" t="str"/>
      <x:c r="K18" s="121" t="str"/>
    </x:row>
    <x:row r="19">
      <x:c r="A19" s="134" t="str"/>
      <x:c r="B19" s="121" t="str"/>
      <x:c r="C19" s="121" t="str"/>
      <x:c r="D19" s="121" t="str"/>
      <x:c r="E19" s="121" t="str"/>
      <x:c r="F19" s="121" t="str"/>
      <x:c r="G19" s="134" t="str"/>
      <x:c r="H19" s="121" t="str">
        <x:v>Open</x:v>
      </x:c>
      <x:c r="I19" s="121" t="str">
        <x:v>No</x:v>
      </x:c>
      <x:c r="J19" s="121" t="str"/>
      <x:c r="K19" s="121" t="str"/>
    </x:row>
    <x:row r="20">
      <x:c r="A20" s="134" t="str"/>
      <x:c r="B20" s="121" t="str"/>
      <x:c r="C20" s="121" t="str"/>
      <x:c r="D20" s="121" t="str"/>
      <x:c r="E20" s="121" t="str"/>
      <x:c r="F20" s="121" t="str"/>
      <x:c r="G20" s="134" t="str"/>
      <x:c r="H20" s="121" t="str">
        <x:v>Open</x:v>
      </x:c>
      <x:c r="I20" s="121" t="str">
        <x:v>No</x:v>
      </x:c>
      <x:c r="J20" s="121" t="str"/>
      <x:c r="K20" s="121" t="str"/>
    </x:row>
    <x:row r="21">
      <x:c r="A21" s="134" t="str"/>
      <x:c r="B21" s="121" t="str"/>
      <x:c r="C21" s="121" t="str"/>
      <x:c r="D21" s="121" t="str"/>
      <x:c r="E21" s="121" t="str"/>
      <x:c r="F21" s="121" t="str"/>
      <x:c r="G21" s="134" t="str"/>
      <x:c r="H21" s="121" t="str">
        <x:v>Open</x:v>
      </x:c>
      <x:c r="I21" s="121" t="str">
        <x:v>No</x:v>
      </x:c>
      <x:c r="J21" s="121" t="str"/>
      <x:c r="K21" s="121" t="str"/>
    </x:row>
    <x:row r="22">
      <x:c r="A22" s="134" t="str"/>
      <x:c r="B22" s="121" t="str"/>
      <x:c r="C22" s="121" t="str"/>
      <x:c r="D22" s="121" t="str"/>
      <x:c r="E22" s="121" t="str"/>
      <x:c r="F22" s="121" t="str"/>
      <x:c r="G22" s="134" t="str"/>
      <x:c r="H22" s="121" t="str">
        <x:v>Open</x:v>
      </x:c>
      <x:c r="I22" s="121" t="str">
        <x:v>No</x:v>
      </x:c>
      <x:c r="J22" s="121" t="str"/>
      <x:c r="K22" s="121" t="str"/>
    </x:row>
    <x:row r="23">
      <x:c r="A23" s="134" t="str"/>
      <x:c r="B23" s="121" t="str"/>
      <x:c r="C23" s="121" t="str"/>
      <x:c r="D23" s="121" t="str"/>
      <x:c r="E23" s="121" t="str"/>
      <x:c r="F23" s="121" t="str"/>
      <x:c r="G23" s="134" t="str"/>
      <x:c r="H23" s="121" t="str">
        <x:v>Open</x:v>
      </x:c>
      <x:c r="I23" s="121" t="str">
        <x:v>No</x:v>
      </x:c>
      <x:c r="J23" s="121" t="str"/>
      <x:c r="K23" s="121" t="str"/>
    </x:row>
    <x:row r="24">
      <x:c r="A24" s="134" t="str"/>
      <x:c r="B24" s="121" t="str"/>
      <x:c r="C24" s="121" t="str"/>
      <x:c r="D24" s="121" t="str"/>
      <x:c r="E24" s="121" t="str"/>
      <x:c r="F24" s="121" t="str"/>
      <x:c r="G24" s="134" t="str"/>
      <x:c r="H24" s="121" t="str">
        <x:v>Open</x:v>
      </x:c>
      <x:c r="I24" s="121" t="str">
        <x:v>No</x:v>
      </x:c>
      <x:c r="J24" s="121" t="str"/>
      <x:c r="K24" s="121" t="str"/>
    </x:row>
  </x:sheetData>
  <x:mergeCells>
    <x:mergeCell ref="A1:K1"/>
    <x:mergeCell ref="A2:K2"/>
  </x:mergeCells>
  <x:dataValidations count="2">
    <x:dataValidation type="list" sqref="H5:H24">
      <x:formula1>"Open,In Progress,Complete,Overdue,Deferred,Verified"</x:formula1>
    </x:dataValidation>
    <x:dataValidation type="list" sqref="I5:I24">
      <x:formula1>"Yes,No,TBC"</x:formula1>
    </x:dataValidation>
  </x:dataValidations>
  <x:pageMargins left="0.7" right="0.7" top="0.75" bottom="0.75" header="0.3" footer="0.3"/>
  <x:tableParts count="1">
    <x:tablePart xmlns:r="http://schemas.openxmlformats.org/officeDocument/2006/relationships" r:id="R3beb9d2c86774813"/>
  </x:tableParts>
</x:worksheet>
</file>