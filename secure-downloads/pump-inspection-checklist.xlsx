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b1b936d66c4309d/Desktop/LinkedIn Engineering Templates/"/>
    </mc:Choice>
  </mc:AlternateContent>
  <xr:revisionPtr revIDLastSave="0" documentId="8_{C53531D0-9BA2-422A-925C-8381A598B53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🔧 Pump Inspection" sheetId="1" r:id="rId1"/>
    <sheet name="Premium Guide" sheetId="2" r:id="rId2"/>
    <sheet name="Lists" sheetId="3" r:id="rId3"/>
    <sheet name="Action Tracker" sheetId="4" r:id="rId4"/>
    <sheet name="Defect Photo Log" sheetId="5" r:id="rId5"/>
    <sheet name="Pump Performance" sheetId="6" r:id="rId6"/>
    <sheet name="Condition Trend Log" sheetId="7" r:id="rId7"/>
    <sheet name="Cavitation &amp; Seal Checks" sheetId="8" r:id="rId8"/>
    <sheet name="Premium Dashboard" sheetId="9" r:id="rId9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9" l="1"/>
  <c r="B11" i="9"/>
  <c r="B13" i="9" s="1"/>
  <c r="B10" i="9"/>
  <c r="B8" i="9"/>
  <c r="B7" i="9"/>
  <c r="B6" i="9"/>
  <c r="B9" i="9" s="1"/>
  <c r="B5" i="9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</calcChain>
</file>

<file path=xl/sharedStrings.xml><?xml version="1.0" encoding="utf-8"?>
<sst xmlns="http://schemas.openxmlformats.org/spreadsheetml/2006/main" count="368" uniqueCount="321">
  <si>
    <t>PUMP INSPECTION CHECKLIST</t>
  </si>
  <si>
    <t>► ✓ = Satisfactory  ✗ = Unsatisfactory — Action required  N/A = Not applicable</t>
  </si>
  <si>
    <t>Equipment Tag:</t>
  </si>
  <si>
    <t>Pump Name / Description:</t>
  </si>
  <si>
    <t>Date of Inspection:</t>
  </si>
  <si>
    <t>Inspector:</t>
  </si>
  <si>
    <t>Service (Fluid handled):</t>
  </si>
  <si>
    <t>Work Order #:</t>
  </si>
  <si>
    <t>#</t>
  </si>
  <si>
    <t>Inspection Item</t>
  </si>
  <si>
    <t>Specification / Limit</t>
  </si>
  <si>
    <t>✓/✗/N/A</t>
  </si>
  <si>
    <t>Reading</t>
  </si>
  <si>
    <t>Acceptable?</t>
  </si>
  <si>
    <t>Action Required</t>
  </si>
  <si>
    <t>Tech</t>
  </si>
  <si>
    <t xml:space="preserve">  MECHANICAL — GENERAL</t>
  </si>
  <si>
    <t>1</t>
  </si>
  <si>
    <t>Check for visible leaks (gland, seal, casing joints)</t>
  </si>
  <si>
    <t>No visible leakage</t>
  </si>
  <si>
    <t>2</t>
  </si>
  <si>
    <t>Inspect paint / coating condition</t>
  </si>
  <si>
    <t>No corrosion / blistering</t>
  </si>
  <si>
    <t>3</t>
  </si>
  <si>
    <t>Check foundation bolts — tight</t>
  </si>
  <si>
    <t>All bolts torqued</t>
  </si>
  <si>
    <t>4</t>
  </si>
  <si>
    <t>Check grout condition</t>
  </si>
  <si>
    <t>No cracking / settling</t>
  </si>
  <si>
    <t>5</t>
  </si>
  <si>
    <t>Inspect mounting feet — level</t>
  </si>
  <si>
    <t>Shim pack intact</t>
  </si>
  <si>
    <t xml:space="preserve">  BEARINGS &amp; LUBRICATION</t>
  </si>
  <si>
    <t>6</t>
  </si>
  <si>
    <t>Check bearing housing oil level</t>
  </si>
  <si>
    <t>Within sight glass marks</t>
  </si>
  <si>
    <t>7</t>
  </si>
  <si>
    <t>Check bearing temperature</t>
  </si>
  <si>
    <t>≤ 80°C (infrared)</t>
  </si>
  <si>
    <t>8</t>
  </si>
  <si>
    <t>Measure bearing vibration — DE</t>
  </si>
  <si>
    <t>≤ 4.5 mm/s RMS (ISO 10816)</t>
  </si>
  <si>
    <t>9</t>
  </si>
  <si>
    <t>Measure bearing vibration — NDE</t>
  </si>
  <si>
    <t>≤ 4.5 mm/s RMS</t>
  </si>
  <si>
    <t>10</t>
  </si>
  <si>
    <t>Check grease nipple condition / grease fresh</t>
  </si>
  <si>
    <t>As per lube schedule</t>
  </si>
  <si>
    <t>11</t>
  </si>
  <si>
    <t>Listen for abnormal bearing noise</t>
  </si>
  <si>
    <t>No grinding/clicking</t>
  </si>
  <si>
    <t xml:space="preserve">  MECHANICAL SEAL / GLAND PACKING</t>
  </si>
  <si>
    <t>12</t>
  </si>
  <si>
    <t>Inspect seal flush line — flowing</t>
  </si>
  <si>
    <t>Flow confirmed</t>
  </si>
  <si>
    <t>13</t>
  </si>
  <si>
    <t>Check seal face leakage (mech. seal)</t>
  </si>
  <si>
    <t>&lt; 1 drop / min</t>
  </si>
  <si>
    <t>14</t>
  </si>
  <si>
    <t>Check gland packing drip rate (if packed)</t>
  </si>
  <si>
    <t>3–5 drops / min</t>
  </si>
  <si>
    <t>15</t>
  </si>
  <si>
    <t>Inspect seal pot level (double seals)</t>
  </si>
  <si>
    <t>Above minimum</t>
  </si>
  <si>
    <t>16</t>
  </si>
  <si>
    <t>Check buffer fluid pressure (double seals)</t>
  </si>
  <si>
    <t>Per spec</t>
  </si>
  <si>
    <t xml:space="preserve">  IMPELLER &amp; CASING</t>
  </si>
  <si>
    <t>17</t>
  </si>
  <si>
    <t>Check discharge pressure</t>
  </si>
  <si>
    <t>Per process P&amp;ID</t>
  </si>
  <si>
    <t>18</t>
  </si>
  <si>
    <t>Check suction pressure</t>
  </si>
  <si>
    <t>19</t>
  </si>
  <si>
    <t>Calculate differential pressure</t>
  </si>
  <si>
    <t>ΔP = discharge – suction</t>
  </si>
  <si>
    <t>20</t>
  </si>
  <si>
    <t>Check flow rate vs design</t>
  </si>
  <si>
    <t>Within ±10% of design</t>
  </si>
  <si>
    <t>21</t>
  </si>
  <si>
    <t>Listen for cavitation noise</t>
  </si>
  <si>
    <t>No rattling / crackling</t>
  </si>
  <si>
    <t>22</t>
  </si>
  <si>
    <t>Check casing temperature</t>
  </si>
  <si>
    <t>No unusual hot spots</t>
  </si>
  <si>
    <t xml:space="preserve">  COUPLING &amp; ALIGNMENT</t>
  </si>
  <si>
    <t>23</t>
  </si>
  <si>
    <t>Inspect coupling guard — in place &amp; secured</t>
  </si>
  <si>
    <t>Guarding intact</t>
  </si>
  <si>
    <t>24</t>
  </si>
  <si>
    <t>Check coupling for wear / cracking</t>
  </si>
  <si>
    <t>No visible wear</t>
  </si>
  <si>
    <t>25</t>
  </si>
  <si>
    <t>Verify alignment within tolerance</t>
  </si>
  <si>
    <t>≤ 0.05 mm parallel, ≤ 0.05 mm angular</t>
  </si>
  <si>
    <t>26</t>
  </si>
  <si>
    <t>Check coupling bolts / fasteners tight</t>
  </si>
  <si>
    <t>All torqued</t>
  </si>
  <si>
    <t xml:space="preserve">  MOTOR</t>
  </si>
  <si>
    <t>27</t>
  </si>
  <si>
    <t>Check motor winding temperature</t>
  </si>
  <si>
    <t>&lt; Insulation class limit</t>
  </si>
  <si>
    <t>28</t>
  </si>
  <si>
    <t>Measure motor current (each phase)</t>
  </si>
  <si>
    <t>Within nameplate FLA ±5%</t>
  </si>
  <si>
    <t>29</t>
  </si>
  <si>
    <t>Check motor fan guard intact</t>
  </si>
  <si>
    <t>Guarding in place</t>
  </si>
  <si>
    <t>30</t>
  </si>
  <si>
    <t>Inspect motor terminal box — sealed</t>
  </si>
  <si>
    <t>No moisture ingress</t>
  </si>
  <si>
    <t xml:space="preserve">  PIPEWORK &amp; VALVES</t>
  </si>
  <si>
    <t>31</t>
  </si>
  <si>
    <t>Inspect suction / discharge flanges — no leaks</t>
  </si>
  <si>
    <t>Tight, no seepage</t>
  </si>
  <si>
    <t>32</t>
  </si>
  <si>
    <t>Check suction valve — fully open</t>
  </si>
  <si>
    <t>Open position confirmed</t>
  </si>
  <si>
    <t>33</t>
  </si>
  <si>
    <t>Check discharge valve position</t>
  </si>
  <si>
    <t>Per operating procedure</t>
  </si>
  <si>
    <t>34</t>
  </si>
  <si>
    <t>Inspect pressure gauges — readable</t>
  </si>
  <si>
    <t>Readable, needle in range</t>
  </si>
  <si>
    <t>35</t>
  </si>
  <si>
    <t>Check flexible connections — condition</t>
  </si>
  <si>
    <t>No cracking / swelling</t>
  </si>
  <si>
    <t xml:space="preserve">  INSTRUMENTATION</t>
  </si>
  <si>
    <t>36</t>
  </si>
  <si>
    <t>Check pressure transmitter / gauge functioning</t>
  </si>
  <si>
    <t>Reading stable</t>
  </si>
  <si>
    <t>37</t>
  </si>
  <si>
    <t>Check flow meter indicating</t>
  </si>
  <si>
    <t>Reading within spec</t>
  </si>
  <si>
    <t>38</t>
  </si>
  <si>
    <t>Check temperature sensor</t>
  </si>
  <si>
    <t>Reading plausible</t>
  </si>
  <si>
    <t xml:space="preserve">  OVERALL RESULT</t>
  </si>
  <si>
    <t>Overall Status</t>
  </si>
  <si>
    <t>SATISFACTORY / UNSATISFACTORY</t>
  </si>
  <si>
    <t>Next Inspection Due</t>
  </si>
  <si>
    <t>Inspector Signature</t>
  </si>
  <si>
    <t>Priority</t>
  </si>
  <si>
    <t>Due Date</t>
  </si>
  <si>
    <t>Action Status</t>
  </si>
  <si>
    <t>Risk Score</t>
  </si>
  <si>
    <t>Evidence Ref</t>
  </si>
  <si>
    <t>Pump Inspection Checklist — PREMIUM UPGRADE GUIDE</t>
  </si>
  <si>
    <t>Original template preserved. Added premium sheets turn the file into a semi-automated maintenance management tool.</t>
  </si>
  <si>
    <t>Step</t>
  </si>
  <si>
    <t>What to do</t>
  </si>
  <si>
    <t>Outcome</t>
  </si>
  <si>
    <t>Enter field data</t>
  </si>
  <si>
    <t>Complete the original inspection/report sheet. Yellow cells and result columns are input fields.</t>
  </si>
  <si>
    <t>Use dropdowns</t>
  </si>
  <si>
    <t>Use standardised results, priority, status, criticality and RCA decision fields to keep data clean.</t>
  </si>
  <si>
    <t>Review dashboard</t>
  </si>
  <si>
    <t>Open the dashboard/summary sheet to view compliance, open actions, overdue actions and management risk indicators.</t>
  </si>
  <si>
    <t>Close actions</t>
  </si>
  <si>
    <t>Transfer defects/recommendations to the Action Tracker with owner, due date, status and verification evidence.</t>
  </si>
  <si>
    <t>Issue report</t>
  </si>
  <si>
    <t>Use the original form for site records and the added registers for meetings, audits and maintenance planning.</t>
  </si>
  <si>
    <t>Upgrades Implemented</t>
  </si>
  <si>
    <t>• Pump condition score and risk priority columns added to the inspection sheet.</t>
  </si>
  <si>
    <t>• Pump performance sheet added for suction/discharge pressure, flow, current, head and operating point review.</t>
  </si>
  <si>
    <t>• Trend log added for bearing temperature, vibration and seal leakage.</t>
  </si>
  <si>
    <t>• Photo evidence log added for leaks, seals, coupling, base, corrosion and pipework defects.</t>
  </si>
  <si>
    <t>• Dashboard added for compliance, defects, open actions and overdue actions.</t>
  </si>
  <si>
    <t>CONTROL LISTS / DROPDOWNS</t>
  </si>
  <si>
    <t>Edit these lists if your site uses different status, priority, failure mode or criticality labels.</t>
  </si>
  <si>
    <t>Status</t>
  </si>
  <si>
    <t>Result</t>
  </si>
  <si>
    <t>Severity</t>
  </si>
  <si>
    <t>Failure Mode</t>
  </si>
  <si>
    <t>Criticality</t>
  </si>
  <si>
    <t>Shift</t>
  </si>
  <si>
    <t>RCA Required</t>
  </si>
  <si>
    <t>Open</t>
  </si>
  <si>
    <t>Critical</t>
  </si>
  <si>
    <t>✓</t>
  </si>
  <si>
    <t>Mechanical</t>
  </si>
  <si>
    <t>A - Critical</t>
  </si>
  <si>
    <t>Day</t>
  </si>
  <si>
    <t>Yes</t>
  </si>
  <si>
    <t>In Progress</t>
  </si>
  <si>
    <t>High</t>
  </si>
  <si>
    <t>✗</t>
  </si>
  <si>
    <t>Electrical</t>
  </si>
  <si>
    <t>B - Important</t>
  </si>
  <si>
    <t>Night</t>
  </si>
  <si>
    <t>No</t>
  </si>
  <si>
    <t>Complete</t>
  </si>
  <si>
    <t>Medium</t>
  </si>
  <si>
    <t>N/A</t>
  </si>
  <si>
    <t>Lubrication</t>
  </si>
  <si>
    <t>C - General</t>
  </si>
  <si>
    <t>A</t>
  </si>
  <si>
    <t>TBC</t>
  </si>
  <si>
    <t>Overdue</t>
  </si>
  <si>
    <t>Low</t>
  </si>
  <si>
    <t>Monitor</t>
  </si>
  <si>
    <t>Hydraulic</t>
  </si>
  <si>
    <t>B</t>
  </si>
  <si>
    <t>Deferred</t>
  </si>
  <si>
    <t>Pneumatic</t>
  </si>
  <si>
    <t>C</t>
  </si>
  <si>
    <t>Cancelled</t>
  </si>
  <si>
    <t>Instrumentation</t>
  </si>
  <si>
    <t>D</t>
  </si>
  <si>
    <t>Verified</t>
  </si>
  <si>
    <t>Process</t>
  </si>
  <si>
    <t>Operator</t>
  </si>
  <si>
    <t>Design</t>
  </si>
  <si>
    <t>Unknown</t>
  </si>
  <si>
    <t>ACTION TRACKER</t>
  </si>
  <si>
    <t>Central register for defects, recommendations, close-out dates, and verification.</t>
  </si>
  <si>
    <t>Source/Sheet</t>
  </si>
  <si>
    <t>Asset / Equipment</t>
  </si>
  <si>
    <t>Finding / Defect</t>
  </si>
  <si>
    <t>Risk / Impact</t>
  </si>
  <si>
    <t>Responsible Person</t>
  </si>
  <si>
    <t>Close-out Date</t>
  </si>
  <si>
    <t>Verification / Evidence</t>
  </si>
  <si>
    <t>Days Overdue</t>
  </si>
  <si>
    <t>DEFECT PHOTO LOG</t>
  </si>
  <si>
    <t>Record photo evidence references; paste links to shared folders/CMMS records rather than inserting large images into the workbook.</t>
  </si>
  <si>
    <t>Photo Ref</t>
  </si>
  <si>
    <t>Pump Tag</t>
  </si>
  <si>
    <t>Component / Location</t>
  </si>
  <si>
    <t>Finding Shown</t>
  </si>
  <si>
    <t>File/Folder Link</t>
  </si>
  <si>
    <t>Taken By</t>
  </si>
  <si>
    <t>Date</t>
  </si>
  <si>
    <t>Action Ref</t>
  </si>
  <si>
    <t>Notes</t>
  </si>
  <si>
    <t>PH-001</t>
  </si>
  <si>
    <t>PH-002</t>
  </si>
  <si>
    <t>PH-003</t>
  </si>
  <si>
    <t>PH-004</t>
  </si>
  <si>
    <t>PH-005</t>
  </si>
  <si>
    <t>PH-006</t>
  </si>
  <si>
    <t>PH-007</t>
  </si>
  <si>
    <t>PH-008</t>
  </si>
  <si>
    <t>PH-009</t>
  </si>
  <si>
    <t>PH-010</t>
  </si>
  <si>
    <t>PH-011</t>
  </si>
  <si>
    <t>PH-012</t>
  </si>
  <si>
    <t>PH-013</t>
  </si>
  <si>
    <t>PH-014</t>
  </si>
  <si>
    <t>PH-015</t>
  </si>
  <si>
    <t>PUMP PERFORMANCE CHECK</t>
  </si>
  <si>
    <t>Compare actual operating readings with design values to identify cavitation, blockage, wear or off-design operation.</t>
  </si>
  <si>
    <t>Fluid</t>
  </si>
  <si>
    <t>Speed rpm</t>
  </si>
  <si>
    <t>Suction Pressure</t>
  </si>
  <si>
    <t>Discharge Pressure</t>
  </si>
  <si>
    <t>Differential Pressure</t>
  </si>
  <si>
    <t>Flow Rate</t>
  </si>
  <si>
    <t>Motor Current</t>
  </si>
  <si>
    <t>Design Flow</t>
  </si>
  <si>
    <t>Design Head</t>
  </si>
  <si>
    <t>Performance Status</t>
  </si>
  <si>
    <t>CONDITION TREND LOG</t>
  </si>
  <si>
    <t>Record readings over time to support trend-based maintenance and condition monitoring.</t>
  </si>
  <si>
    <t>Asset Tag</t>
  </si>
  <si>
    <t>Operating Hours</t>
  </si>
  <si>
    <t>Operating Condition</t>
  </si>
  <si>
    <t>DE Temp (°C)</t>
  </si>
  <si>
    <t>NDE Temp (°C)</t>
  </si>
  <si>
    <t>DE Vib (mm/s)</t>
  </si>
  <si>
    <t>NDE Vib (mm/s)</t>
  </si>
  <si>
    <t>Seal Leak Rate</t>
  </si>
  <si>
    <t>Motor Current (A)</t>
  </si>
  <si>
    <t>Technician</t>
  </si>
  <si>
    <t>PUMP CAVITATION AND SEAL HEALTH CHECKS</t>
  </si>
  <si>
    <t>Use these indicators to prioritise deeper pump investigation.</t>
  </si>
  <si>
    <t>Indicator</t>
  </si>
  <si>
    <t>Likely cause</t>
  </si>
  <si>
    <t>Recommended check</t>
  </si>
  <si>
    <t>Low suction pressure</t>
  </si>
  <si>
    <t>Possible suction restriction / insufficient NPSH</t>
  </si>
  <si>
    <t>Check suction valve, strainer, tank level and suction line</t>
  </si>
  <si>
    <t>Crackling/gravel noise</t>
  </si>
  <si>
    <t>Cavitation likely</t>
  </si>
  <si>
    <t>Reduce flow restriction, check NPSH margin and pump speed</t>
  </si>
  <si>
    <t>Vibration increase</t>
  </si>
  <si>
    <t>Cavitation, misalignment, bearing wear or hydraulic imbalance</t>
  </si>
  <si>
    <t>Trend vibration and inspect coupling/alignment</t>
  </si>
  <si>
    <t>Seal leakage increase</t>
  </si>
  <si>
    <t>Seal face wear, flush issue or pressure imbalance</t>
  </si>
  <si>
    <t>Check seal flush, seal pot/barrier pressure and leakage rate</t>
  </si>
  <si>
    <t>Flow drop with same speed</t>
  </si>
  <si>
    <t>Impeller wear, blockage or suction problem</t>
  </si>
  <si>
    <t>Check pump curve and inspect impeller/casing</t>
  </si>
  <si>
    <t>PUMP INSPECTION DASHBOARD</t>
  </si>
  <si>
    <t>Formula-driven summary from the inspection sheet and Action Tracker.</t>
  </si>
  <si>
    <t>Metric</t>
  </si>
  <si>
    <t>Value</t>
  </si>
  <si>
    <t>Interpretation</t>
  </si>
  <si>
    <t>Total checklist items</t>
  </si>
  <si>
    <t>Numbered inspection items</t>
  </si>
  <si>
    <t>Pass / OK count</t>
  </si>
  <si>
    <t>All items marked satisfactory</t>
  </si>
  <si>
    <t>Fail / defect count</t>
  </si>
  <si>
    <t>Items requiring action</t>
  </si>
  <si>
    <t>N/A count</t>
  </si>
  <si>
    <t>Not applicable items</t>
  </si>
  <si>
    <t>Compliance %</t>
  </si>
  <si>
    <t>Passes ÷ applicable checks</t>
  </si>
  <si>
    <t>Actions raised</t>
  </si>
  <si>
    <t>Non-empty action fields</t>
  </si>
  <si>
    <t>Open actions</t>
  </si>
  <si>
    <t>Not complete or verified</t>
  </si>
  <si>
    <t>Overdue actions</t>
  </si>
  <si>
    <t>Past due and not complete</t>
  </si>
  <si>
    <t>Overall status</t>
  </si>
  <si>
    <t>Management interpretation</t>
  </si>
  <si>
    <t>Management Notes</t>
  </si>
  <si>
    <t>Use this page before maintenance meetings to identify overdue actions, repeated failed items and repair priority.</t>
  </si>
  <si>
    <t>Any defect without a responsible person and due date should be transferred to the Action Tracker.</t>
  </si>
  <si>
    <t>Safety-critical failed items should trigger supervisor review before the equipment is returned to service.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</si>
</sst>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yyyy\-mm\-dd"/>
  </numFmts>
  <fonts count="12" x14ac:knownFonts="1">
    <font>
      <sz val="11"/>
      <color theme="1"/>
      <name val="Calibri"/>
    </font>
    <font>
      <sz val="10"/>
      <name val="Arial"/>
    </font>
    <font>
      <b/>
      <sz val="13"/>
      <color rgb="FFE8A020"/>
      <name val="Arial"/>
    </font>
    <font>
      <i/>
      <sz val="8"/>
      <color rgb="FF717D7E"/>
      <name val="Arial"/>
    </font>
    <font>
      <b/>
      <sz val="9"/>
      <color rgb="FFFFFFFF"/>
      <name val="Arial"/>
    </font>
    <font>
      <sz val="9"/>
      <color rgb="FF1A1A2E"/>
      <name val="Arial"/>
    </font>
    <font>
      <b/>
      <sz val="10"/>
      <color rgb="FFFFFFFF"/>
      <name val="Arial"/>
    </font>
    <font>
      <b/>
      <sz val="16"/>
      <color rgb="FFFFFFFF"/>
      <name val="Calibri"/>
    </font>
    <font>
      <i/>
      <sz val="10"/>
      <color rgb="FF1F2937"/>
      <name val="Calibri"/>
    </font>
    <font>
      <b/>
      <sz val="10"/>
      <color rgb="FFFFFFFF"/>
      <name val="Calibri"/>
    </font>
    <font>
      <b/>
      <sz val="11"/>
      <color rgb="FFFFFFFF"/>
      <name val="Calibri"/>
    </font>
    <font>
      <b/>
      <sz val="11"/>
      <color theme="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9E6"/>
      </patternFill>
    </fill>
    <fill>
      <patternFill patternType="solid">
        <fgColor rgb="FF16213E"/>
      </patternFill>
    </fill>
    <fill>
      <patternFill patternType="solid">
        <fgColor rgb="FFF2F3F4"/>
      </patternFill>
    </fill>
    <fill>
      <patternFill patternType="solid">
        <fgColor rgb="FFFFFFFF"/>
      </patternFill>
    </fill>
    <fill>
      <patternFill patternType="solid">
        <fgColor rgb="FF111827"/>
      </patternFill>
    </fill>
    <fill>
      <patternFill patternType="solid">
        <fgColor rgb="FFF3F4F6"/>
      </patternFill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DBEAFE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6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</cellStyleXfs>
  <cellXfs count="29">
    <xf numFmtId="0" fontId="0" fillId="0" borderId="0" xfId="0"/>
    <xf numFmtId="0" fontId="0" fillId="11" borderId="0" xfId="0" applyFill="1" applyAlignment="1">
      <alignment wrapText="1"/>
    </xf>
    <xf numFmtId="0" fontId="8" fillId="8" borderId="0" xfId="0" applyFont="1" applyFill="1" applyAlignment="1">
      <alignment wrapText="1"/>
    </xf>
    <xf numFmtId="0" fontId="7" fillId="7" borderId="0" xfId="0" applyFont="1" applyFill="1" applyAlignment="1">
      <alignment horizontal="left" vertical="center"/>
    </xf>
    <xf numFmtId="0" fontId="6" fillId="2" borderId="2" xfId="0" applyFont="1" applyFill="1" applyBorder="1"/>
    <xf numFmtId="0" fontId="4" fillId="4" borderId="2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0" fontId="4" fillId="4" borderId="1" xfId="0" applyFont="1" applyFill="1" applyBorder="1" applyAlignment="1">
      <alignment horizontal="right" vertical="center"/>
    </xf>
    <xf numFmtId="0" fontId="0" fillId="3" borderId="1" xfId="0" applyFill="1" applyBorder="1"/>
    <xf numFmtId="0" fontId="4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9" fillId="9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10" fillId="10" borderId="0" xfId="0" applyFont="1" applyFill="1"/>
    <xf numFmtId="0" fontId="10" fillId="9" borderId="0" xfId="0" applyFont="1" applyFill="1"/>
    <xf numFmtId="164" fontId="0" fillId="0" borderId="0" xfId="0" applyNumberFormat="1" applyAlignment="1">
      <alignment vertical="top" wrapText="1"/>
    </xf>
    <xf numFmtId="0" fontId="10" fillId="10" borderId="0" xfId="0" applyFont="1" applyFill="1" applyAlignment="1">
      <alignment wrapText="1"/>
    </xf>
    <xf numFmtId="164" fontId="0" fillId="0" borderId="0" xfId="0" applyNumberFormat="1"/>
    <xf numFmtId="0" fontId="10" fillId="9" borderId="0" xfId="0" applyFont="1" applyFill="1" applyAlignment="1">
      <alignment wrapText="1"/>
    </xf>
    <xf numFmtId="0" fontId="11" fillId="8" borderId="0" xfId="0" applyFont="1" applyFill="1" applyAlignment="1">
      <alignment wrapText="1"/>
    </xf>
    <xf numFmtId="9" fontId="0" fillId="0" borderId="0" xfId="0" applyNumberFormat="1" applyAlignment="1">
      <alignment wrapText="1"/>
    </xf>
  </cellXfs>
  <cellStyles count="6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0" builtinId="0"/>
    <cellStyle name="Percent" xfId="5" xr:uid="{00000000-0005-0000-0000-000005000000}"/>
  </cellStyles>
  <dxfs count="2">
    <dxf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17D7E"/>
      <rgbColor rgb="FF9999FF"/>
      <rgbColor rgb="FF993366"/>
      <rgbColor rgb="FFFFF9E6"/>
      <rgbColor rgb="FFF2F3F4"/>
      <rgbColor rgb="FF660066"/>
      <rgbColor rgb="FFFF8080"/>
      <rgbColor rgb="FF1F618D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8A020"/>
      <rgbColor rgb="FFFF6600"/>
      <rgbColor rgb="FF666699"/>
      <rgbColor rgb="FF969696"/>
      <rgbColor rgb="FF003366"/>
      <rgbColor rgb="FF339966"/>
      <rgbColor rgb="FF003300"/>
      <rgbColor rgb="FF1A1A2E"/>
      <rgbColor rgb="FF993300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mpActionTracker" displayName="PumpActionTracker" ref="A4:K34">
  <tableColumns count="11">
    <tableColumn id="1" xr3:uid="{00000000-0010-0000-0000-000001000000}" name="Source/Sheet"/>
    <tableColumn id="2" xr3:uid="{00000000-0010-0000-0000-000002000000}" name="Asset / Equipment"/>
    <tableColumn id="3" xr3:uid="{00000000-0010-0000-0000-000003000000}" name="Finding / Defect"/>
    <tableColumn id="4" xr3:uid="{00000000-0010-0000-0000-000004000000}" name="Risk / Impact"/>
    <tableColumn id="5" xr3:uid="{00000000-0010-0000-0000-000005000000}" name="Priority"/>
    <tableColumn id="6" xr3:uid="{00000000-0010-0000-0000-000006000000}" name="Responsible Person"/>
    <tableColumn id="7" xr3:uid="{00000000-0010-0000-0000-000007000000}" name="Due Date"/>
    <tableColumn id="8" xr3:uid="{00000000-0010-0000-0000-000008000000}" name="Status"/>
    <tableColumn id="9" xr3:uid="{00000000-0010-0000-0000-000009000000}" name="Close-out Date"/>
    <tableColumn id="10" xr3:uid="{00000000-0010-0000-0000-00000A000000}" name="Verification / Evidence"/>
    <tableColumn id="11" xr3:uid="{00000000-0010-0000-0000-00000B000000}" name="Days Overd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umpPhotoLog" displayName="PumpPhotoLog" ref="A4:J19">
  <tableColumns count="10">
    <tableColumn id="1" xr3:uid="{00000000-0010-0000-0100-000001000000}" name="Photo Ref"/>
    <tableColumn id="2" xr3:uid="{00000000-0010-0000-0100-000002000000}" name="Pump Tag"/>
    <tableColumn id="3" xr3:uid="{00000000-0010-0000-0100-000003000000}" name="Component / Location"/>
    <tableColumn id="4" xr3:uid="{00000000-0010-0000-0100-000004000000}" name="Finding Shown"/>
    <tableColumn id="5" xr3:uid="{00000000-0010-0000-0100-000005000000}" name="File/Folder Link"/>
    <tableColumn id="6" xr3:uid="{00000000-0010-0000-0100-000006000000}" name="Taken By"/>
    <tableColumn id="7" xr3:uid="{00000000-0010-0000-0100-000007000000}" name="Date"/>
    <tableColumn id="8" xr3:uid="{00000000-0010-0000-0100-000008000000}" name="Severity"/>
    <tableColumn id="9" xr3:uid="{00000000-0010-0000-0100-000009000000}" name="Action Ref"/>
    <tableColumn id="10" xr3:uid="{00000000-0010-0000-0100-00000A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mpPerformance" displayName="PumpPerformance" ref="A4:L24">
  <tableColumns count="12">
    <tableColumn id="1" xr3:uid="{00000000-0010-0000-0200-000001000000}" name="Date"/>
    <tableColumn id="2" xr3:uid="{00000000-0010-0000-0200-000002000000}" name="Pump Tag"/>
    <tableColumn id="3" xr3:uid="{00000000-0010-0000-0200-000003000000}" name="Fluid"/>
    <tableColumn id="4" xr3:uid="{00000000-0010-0000-0200-000004000000}" name="Speed rpm"/>
    <tableColumn id="5" xr3:uid="{00000000-0010-0000-0200-000005000000}" name="Suction Pressure"/>
    <tableColumn id="6" xr3:uid="{00000000-0010-0000-0200-000006000000}" name="Discharge Pressure"/>
    <tableColumn id="7" xr3:uid="{00000000-0010-0000-0200-000007000000}" name="Differential Pressure"/>
    <tableColumn id="8" xr3:uid="{00000000-0010-0000-0200-000008000000}" name="Flow Rate"/>
    <tableColumn id="9" xr3:uid="{00000000-0010-0000-0200-000009000000}" name="Motor Current"/>
    <tableColumn id="10" xr3:uid="{00000000-0010-0000-0200-00000A000000}" name="Design Flow"/>
    <tableColumn id="11" xr3:uid="{00000000-0010-0000-0200-00000B000000}" name="Design Head"/>
    <tableColumn id="12" xr3:uid="{00000000-0010-0000-0200-00000C000000}" name="Performance 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umpTrendLog" displayName="PumpTrendLog" ref="A4:M24">
  <tableColumns count="13">
    <tableColumn id="1" xr3:uid="{00000000-0010-0000-0300-000001000000}" name="Date"/>
    <tableColumn id="2" xr3:uid="{00000000-0010-0000-0300-000002000000}" name="Asset Tag"/>
    <tableColumn id="3" xr3:uid="{00000000-0010-0000-0300-000003000000}" name="Operating Hours"/>
    <tableColumn id="4" xr3:uid="{00000000-0010-0000-0300-000004000000}" name="Operating Condition"/>
    <tableColumn id="5" xr3:uid="{00000000-0010-0000-0300-000005000000}" name="DE Temp (°C)"/>
    <tableColumn id="6" xr3:uid="{00000000-0010-0000-0300-000006000000}" name="NDE Temp (°C)"/>
    <tableColumn id="7" xr3:uid="{00000000-0010-0000-0300-000007000000}" name="DE Vib (mm/s)"/>
    <tableColumn id="8" xr3:uid="{00000000-0010-0000-0300-000008000000}" name="NDE Vib (mm/s)"/>
    <tableColumn id="9" xr3:uid="{00000000-0010-0000-0300-000009000000}" name="Seal Leak Rate"/>
    <tableColumn id="10" xr3:uid="{00000000-0010-0000-0300-00000A000000}" name="Motor Current (A)"/>
    <tableColumn id="11" xr3:uid="{00000000-0010-0000-0300-00000B000000}" name="Overall Status"/>
    <tableColumn id="12" xr3:uid="{00000000-0010-0000-0300-00000C000000}" name="Action Required"/>
    <tableColumn id="13" xr3:uid="{00000000-0010-0000-0300-00000D000000}" name="Technicia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umpCavSealGuide" displayName="PumpCavSealGuide" ref="A4:C9">
  <tableColumns count="3">
    <tableColumn id="1" xr3:uid="{00000000-0010-0000-0400-000001000000}" name="Indicator"/>
    <tableColumn id="2" xr3:uid="{00000000-0010-0000-0400-000002000000}" name="Likely cause"/>
    <tableColumn id="3" xr3:uid="{00000000-0010-0000-0400-000003000000}" name="Recommended 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618D"/>
  </sheetPr>
  <dimension ref="A1:N65"/>
  <sheetViews>
    <sheetView showGridLines="0" tabSelected="1" workbookViewId="0"/>
  </sheetViews>
  <sheetFormatPr defaultColWidth="8.6640625" defaultRowHeight="14.4" x14ac:dyDescent="0.3"/>
  <cols>
    <col min="1" max="1" width="2" customWidth="1"/>
    <col min="2" max="2" width="6" customWidth="1"/>
    <col min="3" max="3" width="30" customWidth="1"/>
    <col min="4" max="4" width="20" customWidth="1"/>
    <col min="5" max="5" width="12" customWidth="1"/>
    <col min="6" max="8" width="14" customWidth="1"/>
    <col min="9" max="9" width="20" customWidth="1"/>
    <col min="10" max="11" width="12" customWidth="1"/>
    <col min="12" max="12" width="14" customWidth="1"/>
    <col min="13" max="13" width="11" customWidth="1"/>
    <col min="14" max="14" width="16" customWidth="1"/>
  </cols>
  <sheetData>
    <row r="1" spans="1:14" ht="7.5" customHeight="1" x14ac:dyDescent="0.3"/>
    <row r="2" spans="1:14" ht="37.5" customHeight="1" x14ac:dyDescent="0.3">
      <c r="A2" s="8"/>
      <c r="B2" s="7" t="s">
        <v>0</v>
      </c>
      <c r="C2" s="7"/>
      <c r="D2" s="7"/>
      <c r="E2" s="7"/>
      <c r="F2" s="7"/>
      <c r="G2" s="7"/>
      <c r="H2" s="7"/>
      <c r="I2" s="7"/>
      <c r="J2" s="8"/>
    </row>
    <row r="3" spans="1:14" ht="18" customHeight="1" x14ac:dyDescent="0.3">
      <c r="B3" s="6" t="s">
        <v>1</v>
      </c>
      <c r="C3" s="6"/>
      <c r="D3" s="6"/>
      <c r="E3" s="6"/>
      <c r="F3" s="6"/>
      <c r="G3" s="6"/>
      <c r="H3" s="6"/>
    </row>
    <row r="4" spans="1:14" ht="19.5" customHeight="1" x14ac:dyDescent="0.3">
      <c r="B4" s="9" t="s">
        <v>2</v>
      </c>
      <c r="C4" s="10"/>
      <c r="F4" s="9" t="s">
        <v>3</v>
      </c>
      <c r="G4" s="10"/>
    </row>
    <row r="5" spans="1:14" ht="19.5" customHeight="1" x14ac:dyDescent="0.3">
      <c r="B5" s="9" t="s">
        <v>4</v>
      </c>
      <c r="C5" s="10"/>
      <c r="F5" s="9" t="s">
        <v>5</v>
      </c>
      <c r="G5" s="10"/>
    </row>
    <row r="6" spans="1:14" ht="19.5" customHeight="1" x14ac:dyDescent="0.3">
      <c r="B6" s="9" t="s">
        <v>6</v>
      </c>
      <c r="C6" s="10"/>
      <c r="F6" s="9" t="s">
        <v>7</v>
      </c>
      <c r="G6" s="10"/>
    </row>
    <row r="7" spans="1:14" ht="21.75" customHeight="1" x14ac:dyDescent="0.3">
      <c r="B7" s="11" t="s">
        <v>8</v>
      </c>
      <c r="C7" s="11" t="s">
        <v>9</v>
      </c>
      <c r="D7" s="11" t="s">
        <v>10</v>
      </c>
      <c r="E7" s="11" t="s">
        <v>11</v>
      </c>
      <c r="F7" s="11" t="s">
        <v>12</v>
      </c>
      <c r="G7" s="11" t="s">
        <v>13</v>
      </c>
      <c r="H7" s="11" t="s">
        <v>14</v>
      </c>
      <c r="I7" s="11" t="s">
        <v>15</v>
      </c>
      <c r="J7" s="24" t="s">
        <v>142</v>
      </c>
      <c r="K7" s="24" t="s">
        <v>143</v>
      </c>
      <c r="L7" s="24" t="s">
        <v>144</v>
      </c>
      <c r="M7" s="24" t="s">
        <v>145</v>
      </c>
      <c r="N7" s="24" t="s">
        <v>146</v>
      </c>
    </row>
    <row r="8" spans="1:14" ht="18" customHeight="1" x14ac:dyDescent="0.3">
      <c r="B8" s="5" t="s">
        <v>16</v>
      </c>
      <c r="C8" s="5"/>
      <c r="D8" s="5"/>
      <c r="E8" s="5"/>
      <c r="F8" s="5"/>
      <c r="G8" s="5"/>
      <c r="H8" s="5"/>
      <c r="I8" s="5"/>
      <c r="K8" s="25"/>
      <c r="M8" t="str">
        <f t="shared" ref="M8:M39" si="0">IF($E8="✗",IF(J8="Critical",25,IF(J8="High",15,IF(J8="Medium",8,IF(J8="Low",4,1)))),"")</f>
        <v/>
      </c>
    </row>
    <row r="9" spans="1:14" ht="18" customHeight="1" x14ac:dyDescent="0.3">
      <c r="B9" s="12" t="s">
        <v>17</v>
      </c>
      <c r="C9" s="13" t="s">
        <v>18</v>
      </c>
      <c r="D9" s="13" t="s">
        <v>19</v>
      </c>
      <c r="E9" s="14"/>
      <c r="F9" s="14"/>
      <c r="G9" s="14"/>
      <c r="H9" s="15"/>
      <c r="I9" s="14"/>
      <c r="K9" s="25"/>
      <c r="M9" t="str">
        <f t="shared" si="0"/>
        <v/>
      </c>
    </row>
    <row r="10" spans="1:14" ht="18" customHeight="1" x14ac:dyDescent="0.3">
      <c r="B10" s="16" t="s">
        <v>20</v>
      </c>
      <c r="C10" s="17" t="s">
        <v>21</v>
      </c>
      <c r="D10" s="17" t="s">
        <v>22</v>
      </c>
      <c r="E10" s="14"/>
      <c r="F10" s="14"/>
      <c r="G10" s="14"/>
      <c r="H10" s="15"/>
      <c r="I10" s="14"/>
      <c r="K10" s="25"/>
      <c r="M10" t="str">
        <f t="shared" si="0"/>
        <v/>
      </c>
    </row>
    <row r="11" spans="1:14" ht="18" customHeight="1" x14ac:dyDescent="0.3">
      <c r="B11" s="12" t="s">
        <v>23</v>
      </c>
      <c r="C11" s="13" t="s">
        <v>24</v>
      </c>
      <c r="D11" s="13" t="s">
        <v>25</v>
      </c>
      <c r="E11" s="14"/>
      <c r="F11" s="14"/>
      <c r="G11" s="14"/>
      <c r="H11" s="15"/>
      <c r="I11" s="14"/>
      <c r="K11" s="25"/>
      <c r="M11" t="str">
        <f t="shared" si="0"/>
        <v/>
      </c>
    </row>
    <row r="12" spans="1:14" ht="18" customHeight="1" x14ac:dyDescent="0.3">
      <c r="B12" s="16" t="s">
        <v>26</v>
      </c>
      <c r="C12" s="17" t="s">
        <v>27</v>
      </c>
      <c r="D12" s="17" t="s">
        <v>28</v>
      </c>
      <c r="E12" s="14"/>
      <c r="F12" s="14"/>
      <c r="G12" s="14"/>
      <c r="H12" s="15"/>
      <c r="I12" s="14"/>
      <c r="K12" s="25"/>
      <c r="M12" t="str">
        <f t="shared" si="0"/>
        <v/>
      </c>
    </row>
    <row r="13" spans="1:14" ht="18" customHeight="1" x14ac:dyDescent="0.3">
      <c r="B13" s="12" t="s">
        <v>29</v>
      </c>
      <c r="C13" s="13" t="s">
        <v>30</v>
      </c>
      <c r="D13" s="13" t="s">
        <v>31</v>
      </c>
      <c r="E13" s="14"/>
      <c r="F13" s="14"/>
      <c r="G13" s="14"/>
      <c r="H13" s="15"/>
      <c r="I13" s="14"/>
      <c r="K13" s="25"/>
      <c r="M13" t="str">
        <f t="shared" si="0"/>
        <v/>
      </c>
    </row>
    <row r="14" spans="1:14" ht="18" customHeight="1" x14ac:dyDescent="0.3">
      <c r="B14" s="5" t="s">
        <v>32</v>
      </c>
      <c r="C14" s="5"/>
      <c r="D14" s="5"/>
      <c r="E14" s="5"/>
      <c r="F14" s="5"/>
      <c r="G14" s="5"/>
      <c r="H14" s="5"/>
      <c r="I14" s="5"/>
      <c r="K14" s="25"/>
      <c r="M14" t="str">
        <f t="shared" si="0"/>
        <v/>
      </c>
    </row>
    <row r="15" spans="1:14" ht="18" customHeight="1" x14ac:dyDescent="0.3">
      <c r="B15" s="12" t="s">
        <v>33</v>
      </c>
      <c r="C15" s="13" t="s">
        <v>34</v>
      </c>
      <c r="D15" s="13" t="s">
        <v>35</v>
      </c>
      <c r="E15" s="14"/>
      <c r="F15" s="14"/>
      <c r="G15" s="14"/>
      <c r="H15" s="15"/>
      <c r="I15" s="14"/>
      <c r="K15" s="25"/>
      <c r="M15" t="str">
        <f t="shared" si="0"/>
        <v/>
      </c>
    </row>
    <row r="16" spans="1:14" ht="18" customHeight="1" x14ac:dyDescent="0.3">
      <c r="B16" s="16" t="s">
        <v>36</v>
      </c>
      <c r="C16" s="17" t="s">
        <v>37</v>
      </c>
      <c r="D16" s="17" t="s">
        <v>38</v>
      </c>
      <c r="E16" s="14"/>
      <c r="F16" s="14"/>
      <c r="G16" s="14"/>
      <c r="H16" s="15"/>
      <c r="I16" s="14"/>
      <c r="K16" s="25"/>
      <c r="M16" t="str">
        <f t="shared" si="0"/>
        <v/>
      </c>
    </row>
    <row r="17" spans="2:13" ht="18" customHeight="1" x14ac:dyDescent="0.3">
      <c r="B17" s="12" t="s">
        <v>39</v>
      </c>
      <c r="C17" s="13" t="s">
        <v>40</v>
      </c>
      <c r="D17" s="13" t="s">
        <v>41</v>
      </c>
      <c r="E17" s="14"/>
      <c r="F17" s="14"/>
      <c r="G17" s="14"/>
      <c r="H17" s="15"/>
      <c r="I17" s="14"/>
      <c r="K17" s="25"/>
      <c r="M17" t="str">
        <f t="shared" si="0"/>
        <v/>
      </c>
    </row>
    <row r="18" spans="2:13" ht="18" customHeight="1" x14ac:dyDescent="0.3">
      <c r="B18" s="16" t="s">
        <v>42</v>
      </c>
      <c r="C18" s="17" t="s">
        <v>43</v>
      </c>
      <c r="D18" s="17" t="s">
        <v>44</v>
      </c>
      <c r="E18" s="14"/>
      <c r="F18" s="14"/>
      <c r="G18" s="14"/>
      <c r="H18" s="15"/>
      <c r="I18" s="14"/>
      <c r="K18" s="25"/>
      <c r="M18" t="str">
        <f t="shared" si="0"/>
        <v/>
      </c>
    </row>
    <row r="19" spans="2:13" ht="18" customHeight="1" x14ac:dyDescent="0.3">
      <c r="B19" s="12" t="s">
        <v>45</v>
      </c>
      <c r="C19" s="13" t="s">
        <v>46</v>
      </c>
      <c r="D19" s="13" t="s">
        <v>47</v>
      </c>
      <c r="E19" s="14"/>
      <c r="F19" s="14"/>
      <c r="G19" s="14"/>
      <c r="H19" s="15"/>
      <c r="I19" s="14"/>
      <c r="K19" s="25"/>
      <c r="M19" t="str">
        <f t="shared" si="0"/>
        <v/>
      </c>
    </row>
    <row r="20" spans="2:13" ht="18" customHeight="1" x14ac:dyDescent="0.3">
      <c r="B20" s="16" t="s">
        <v>48</v>
      </c>
      <c r="C20" s="17" t="s">
        <v>49</v>
      </c>
      <c r="D20" s="17" t="s">
        <v>50</v>
      </c>
      <c r="E20" s="14"/>
      <c r="F20" s="14"/>
      <c r="G20" s="14"/>
      <c r="H20" s="15"/>
      <c r="I20" s="14"/>
      <c r="K20" s="25"/>
      <c r="M20" t="str">
        <f t="shared" si="0"/>
        <v/>
      </c>
    </row>
    <row r="21" spans="2:13" ht="18" customHeight="1" x14ac:dyDescent="0.3">
      <c r="B21" s="5" t="s">
        <v>51</v>
      </c>
      <c r="C21" s="5"/>
      <c r="D21" s="5"/>
      <c r="E21" s="5"/>
      <c r="F21" s="5"/>
      <c r="G21" s="5"/>
      <c r="H21" s="5"/>
      <c r="I21" s="5"/>
      <c r="K21" s="25"/>
      <c r="M21" t="str">
        <f t="shared" si="0"/>
        <v/>
      </c>
    </row>
    <row r="22" spans="2:13" ht="18" customHeight="1" x14ac:dyDescent="0.3">
      <c r="B22" s="12" t="s">
        <v>52</v>
      </c>
      <c r="C22" s="13" t="s">
        <v>53</v>
      </c>
      <c r="D22" s="13" t="s">
        <v>54</v>
      </c>
      <c r="E22" s="14"/>
      <c r="F22" s="14"/>
      <c r="G22" s="14"/>
      <c r="H22" s="15"/>
      <c r="I22" s="14"/>
      <c r="K22" s="25"/>
      <c r="M22" t="str">
        <f t="shared" si="0"/>
        <v/>
      </c>
    </row>
    <row r="23" spans="2:13" ht="18" customHeight="1" x14ac:dyDescent="0.3">
      <c r="B23" s="16" t="s">
        <v>55</v>
      </c>
      <c r="C23" s="17" t="s">
        <v>56</v>
      </c>
      <c r="D23" s="17" t="s">
        <v>57</v>
      </c>
      <c r="E23" s="14"/>
      <c r="F23" s="14"/>
      <c r="G23" s="14"/>
      <c r="H23" s="15"/>
      <c r="I23" s="14"/>
      <c r="K23" s="25"/>
      <c r="M23" t="str">
        <f t="shared" si="0"/>
        <v/>
      </c>
    </row>
    <row r="24" spans="2:13" ht="18" customHeight="1" x14ac:dyDescent="0.3">
      <c r="B24" s="12" t="s">
        <v>58</v>
      </c>
      <c r="C24" s="13" t="s">
        <v>59</v>
      </c>
      <c r="D24" s="13" t="s">
        <v>60</v>
      </c>
      <c r="E24" s="14"/>
      <c r="F24" s="14"/>
      <c r="G24" s="14"/>
      <c r="H24" s="15"/>
      <c r="I24" s="14"/>
      <c r="K24" s="25"/>
      <c r="M24" t="str">
        <f t="shared" si="0"/>
        <v/>
      </c>
    </row>
    <row r="25" spans="2:13" ht="18" customHeight="1" x14ac:dyDescent="0.3">
      <c r="B25" s="16" t="s">
        <v>61</v>
      </c>
      <c r="C25" s="17" t="s">
        <v>62</v>
      </c>
      <c r="D25" s="17" t="s">
        <v>63</v>
      </c>
      <c r="E25" s="14"/>
      <c r="F25" s="14"/>
      <c r="G25" s="14"/>
      <c r="H25" s="15"/>
      <c r="I25" s="14"/>
      <c r="K25" s="25"/>
      <c r="M25" t="str">
        <f t="shared" si="0"/>
        <v/>
      </c>
    </row>
    <row r="26" spans="2:13" ht="18" customHeight="1" x14ac:dyDescent="0.3">
      <c r="B26" s="12" t="s">
        <v>64</v>
      </c>
      <c r="C26" s="13" t="s">
        <v>65</v>
      </c>
      <c r="D26" s="13" t="s">
        <v>66</v>
      </c>
      <c r="E26" s="14"/>
      <c r="F26" s="14"/>
      <c r="G26" s="14"/>
      <c r="H26" s="15"/>
      <c r="I26" s="14"/>
      <c r="K26" s="25"/>
      <c r="M26" t="str">
        <f t="shared" si="0"/>
        <v/>
      </c>
    </row>
    <row r="27" spans="2:13" ht="18" customHeight="1" x14ac:dyDescent="0.3">
      <c r="B27" s="5" t="s">
        <v>67</v>
      </c>
      <c r="C27" s="5"/>
      <c r="D27" s="5"/>
      <c r="E27" s="5"/>
      <c r="F27" s="5"/>
      <c r="G27" s="5"/>
      <c r="H27" s="5"/>
      <c r="I27" s="5"/>
      <c r="K27" s="25"/>
      <c r="M27" t="str">
        <f t="shared" si="0"/>
        <v/>
      </c>
    </row>
    <row r="28" spans="2:13" ht="18" customHeight="1" x14ac:dyDescent="0.3">
      <c r="B28" s="12" t="s">
        <v>68</v>
      </c>
      <c r="C28" s="13" t="s">
        <v>69</v>
      </c>
      <c r="D28" s="13" t="s">
        <v>70</v>
      </c>
      <c r="E28" s="14"/>
      <c r="F28" s="14"/>
      <c r="G28" s="14"/>
      <c r="H28" s="15"/>
      <c r="I28" s="14"/>
      <c r="K28" s="25"/>
      <c r="M28" t="str">
        <f t="shared" si="0"/>
        <v/>
      </c>
    </row>
    <row r="29" spans="2:13" ht="18" customHeight="1" x14ac:dyDescent="0.3">
      <c r="B29" s="16" t="s">
        <v>71</v>
      </c>
      <c r="C29" s="17" t="s">
        <v>72</v>
      </c>
      <c r="D29" s="17" t="s">
        <v>70</v>
      </c>
      <c r="E29" s="14"/>
      <c r="F29" s="14"/>
      <c r="G29" s="14"/>
      <c r="H29" s="15"/>
      <c r="I29" s="14"/>
      <c r="K29" s="25"/>
      <c r="M29" t="str">
        <f t="shared" si="0"/>
        <v/>
      </c>
    </row>
    <row r="30" spans="2:13" ht="18" customHeight="1" x14ac:dyDescent="0.3">
      <c r="B30" s="12" t="s">
        <v>73</v>
      </c>
      <c r="C30" s="13" t="s">
        <v>74</v>
      </c>
      <c r="D30" s="13" t="s">
        <v>75</v>
      </c>
      <c r="E30" s="14"/>
      <c r="F30" s="14"/>
      <c r="G30" s="14"/>
      <c r="H30" s="15"/>
      <c r="I30" s="14"/>
      <c r="K30" s="25"/>
      <c r="M30" t="str">
        <f t="shared" si="0"/>
        <v/>
      </c>
    </row>
    <row r="31" spans="2:13" ht="18" customHeight="1" x14ac:dyDescent="0.3">
      <c r="B31" s="16" t="s">
        <v>76</v>
      </c>
      <c r="C31" s="17" t="s">
        <v>77</v>
      </c>
      <c r="D31" s="17" t="s">
        <v>78</v>
      </c>
      <c r="E31" s="14"/>
      <c r="F31" s="14"/>
      <c r="G31" s="14"/>
      <c r="H31" s="15"/>
      <c r="I31" s="14"/>
      <c r="K31" s="25"/>
      <c r="M31" t="str">
        <f t="shared" si="0"/>
        <v/>
      </c>
    </row>
    <row r="32" spans="2:13" ht="18" customHeight="1" x14ac:dyDescent="0.3">
      <c r="B32" s="12" t="s">
        <v>79</v>
      </c>
      <c r="C32" s="13" t="s">
        <v>80</v>
      </c>
      <c r="D32" s="13" t="s">
        <v>81</v>
      </c>
      <c r="E32" s="14"/>
      <c r="F32" s="14"/>
      <c r="G32" s="14"/>
      <c r="H32" s="15"/>
      <c r="I32" s="14"/>
      <c r="K32" s="25"/>
      <c r="M32" t="str">
        <f t="shared" si="0"/>
        <v/>
      </c>
    </row>
    <row r="33" spans="2:13" ht="18" customHeight="1" x14ac:dyDescent="0.3">
      <c r="B33" s="16" t="s">
        <v>82</v>
      </c>
      <c r="C33" s="17" t="s">
        <v>83</v>
      </c>
      <c r="D33" s="17" t="s">
        <v>84</v>
      </c>
      <c r="E33" s="14"/>
      <c r="F33" s="14"/>
      <c r="G33" s="14"/>
      <c r="H33" s="15"/>
      <c r="I33" s="14"/>
      <c r="K33" s="25"/>
      <c r="M33" t="str">
        <f t="shared" si="0"/>
        <v/>
      </c>
    </row>
    <row r="34" spans="2:13" ht="18" customHeight="1" x14ac:dyDescent="0.3">
      <c r="B34" s="5" t="s">
        <v>85</v>
      </c>
      <c r="C34" s="5"/>
      <c r="D34" s="5"/>
      <c r="E34" s="5"/>
      <c r="F34" s="5"/>
      <c r="G34" s="5"/>
      <c r="H34" s="5"/>
      <c r="I34" s="5"/>
      <c r="K34" s="25"/>
      <c r="M34" t="str">
        <f t="shared" si="0"/>
        <v/>
      </c>
    </row>
    <row r="35" spans="2:13" ht="18" customHeight="1" x14ac:dyDescent="0.3">
      <c r="B35" s="12" t="s">
        <v>86</v>
      </c>
      <c r="C35" s="13" t="s">
        <v>87</v>
      </c>
      <c r="D35" s="13" t="s">
        <v>88</v>
      </c>
      <c r="E35" s="14"/>
      <c r="F35" s="14"/>
      <c r="G35" s="14"/>
      <c r="H35" s="15"/>
      <c r="I35" s="14"/>
      <c r="K35" s="25"/>
      <c r="M35" t="str">
        <f t="shared" si="0"/>
        <v/>
      </c>
    </row>
    <row r="36" spans="2:13" ht="18" customHeight="1" x14ac:dyDescent="0.3">
      <c r="B36" s="16" t="s">
        <v>89</v>
      </c>
      <c r="C36" s="17" t="s">
        <v>90</v>
      </c>
      <c r="D36" s="17" t="s">
        <v>91</v>
      </c>
      <c r="E36" s="14"/>
      <c r="F36" s="14"/>
      <c r="G36" s="14"/>
      <c r="H36" s="15"/>
      <c r="I36" s="14"/>
      <c r="K36" s="25"/>
      <c r="M36" t="str">
        <f t="shared" si="0"/>
        <v/>
      </c>
    </row>
    <row r="37" spans="2:13" ht="18" customHeight="1" x14ac:dyDescent="0.3">
      <c r="B37" s="12" t="s">
        <v>92</v>
      </c>
      <c r="C37" s="13" t="s">
        <v>93</v>
      </c>
      <c r="D37" s="13" t="s">
        <v>94</v>
      </c>
      <c r="E37" s="14"/>
      <c r="F37" s="14"/>
      <c r="G37" s="14"/>
      <c r="H37" s="15"/>
      <c r="I37" s="14"/>
      <c r="K37" s="25"/>
      <c r="M37" t="str">
        <f t="shared" si="0"/>
        <v/>
      </c>
    </row>
    <row r="38" spans="2:13" ht="18" customHeight="1" x14ac:dyDescent="0.3">
      <c r="B38" s="16" t="s">
        <v>95</v>
      </c>
      <c r="C38" s="17" t="s">
        <v>96</v>
      </c>
      <c r="D38" s="17" t="s">
        <v>97</v>
      </c>
      <c r="E38" s="14"/>
      <c r="F38" s="14"/>
      <c r="G38" s="14"/>
      <c r="H38" s="15"/>
      <c r="I38" s="14"/>
      <c r="K38" s="25"/>
      <c r="M38" t="str">
        <f t="shared" si="0"/>
        <v/>
      </c>
    </row>
    <row r="39" spans="2:13" ht="18" customHeight="1" x14ac:dyDescent="0.3">
      <c r="B39" s="5" t="s">
        <v>98</v>
      </c>
      <c r="C39" s="5"/>
      <c r="D39" s="5"/>
      <c r="E39" s="5"/>
      <c r="F39" s="5"/>
      <c r="G39" s="5"/>
      <c r="H39" s="5"/>
      <c r="I39" s="5"/>
      <c r="K39" s="25"/>
      <c r="M39" t="str">
        <f t="shared" si="0"/>
        <v/>
      </c>
    </row>
    <row r="40" spans="2:13" ht="18" customHeight="1" x14ac:dyDescent="0.3">
      <c r="B40" s="12" t="s">
        <v>99</v>
      </c>
      <c r="C40" s="13" t="s">
        <v>100</v>
      </c>
      <c r="D40" s="13" t="s">
        <v>101</v>
      </c>
      <c r="E40" s="14"/>
      <c r="F40" s="14"/>
      <c r="G40" s="14"/>
      <c r="H40" s="15"/>
      <c r="I40" s="14"/>
      <c r="K40" s="25"/>
      <c r="M40" t="str">
        <f t="shared" ref="M40:M65" si="1">IF($E40="✗",IF(J40="Critical",25,IF(J40="High",15,IF(J40="Medium",8,IF(J40="Low",4,1)))),"")</f>
        <v/>
      </c>
    </row>
    <row r="41" spans="2:13" ht="18" customHeight="1" x14ac:dyDescent="0.3">
      <c r="B41" s="16" t="s">
        <v>102</v>
      </c>
      <c r="C41" s="17" t="s">
        <v>103</v>
      </c>
      <c r="D41" s="17" t="s">
        <v>104</v>
      </c>
      <c r="E41" s="14"/>
      <c r="F41" s="14"/>
      <c r="G41" s="14"/>
      <c r="H41" s="15"/>
      <c r="I41" s="14"/>
      <c r="K41" s="25"/>
      <c r="M41" t="str">
        <f t="shared" si="1"/>
        <v/>
      </c>
    </row>
    <row r="42" spans="2:13" ht="18" customHeight="1" x14ac:dyDescent="0.3">
      <c r="B42" s="12" t="s">
        <v>105</v>
      </c>
      <c r="C42" s="13" t="s">
        <v>106</v>
      </c>
      <c r="D42" s="13" t="s">
        <v>107</v>
      </c>
      <c r="E42" s="14"/>
      <c r="F42" s="14"/>
      <c r="G42" s="14"/>
      <c r="H42" s="15"/>
      <c r="I42" s="14"/>
      <c r="K42" s="25"/>
      <c r="M42" t="str">
        <f t="shared" si="1"/>
        <v/>
      </c>
    </row>
    <row r="43" spans="2:13" ht="18" customHeight="1" x14ac:dyDescent="0.3">
      <c r="B43" s="16" t="s">
        <v>108</v>
      </c>
      <c r="C43" s="17" t="s">
        <v>109</v>
      </c>
      <c r="D43" s="17" t="s">
        <v>110</v>
      </c>
      <c r="E43" s="14"/>
      <c r="F43" s="14"/>
      <c r="G43" s="14"/>
      <c r="H43" s="15"/>
      <c r="I43" s="14"/>
      <c r="K43" s="25"/>
      <c r="M43" t="str">
        <f t="shared" si="1"/>
        <v/>
      </c>
    </row>
    <row r="44" spans="2:13" ht="18" customHeight="1" x14ac:dyDescent="0.3">
      <c r="B44" s="5" t="s">
        <v>111</v>
      </c>
      <c r="C44" s="5"/>
      <c r="D44" s="5"/>
      <c r="E44" s="5"/>
      <c r="F44" s="5"/>
      <c r="G44" s="5"/>
      <c r="H44" s="5"/>
      <c r="I44" s="5"/>
      <c r="K44" s="25"/>
      <c r="M44" t="str">
        <f t="shared" si="1"/>
        <v/>
      </c>
    </row>
    <row r="45" spans="2:13" ht="18" customHeight="1" x14ac:dyDescent="0.3">
      <c r="B45" s="12" t="s">
        <v>112</v>
      </c>
      <c r="C45" s="13" t="s">
        <v>113</v>
      </c>
      <c r="D45" s="13" t="s">
        <v>114</v>
      </c>
      <c r="E45" s="14"/>
      <c r="F45" s="14"/>
      <c r="G45" s="14"/>
      <c r="H45" s="15"/>
      <c r="I45" s="14"/>
      <c r="K45" s="25"/>
      <c r="M45" t="str">
        <f t="shared" si="1"/>
        <v/>
      </c>
    </row>
    <row r="46" spans="2:13" ht="18" customHeight="1" x14ac:dyDescent="0.3">
      <c r="B46" s="16" t="s">
        <v>115</v>
      </c>
      <c r="C46" s="17" t="s">
        <v>116</v>
      </c>
      <c r="D46" s="17" t="s">
        <v>117</v>
      </c>
      <c r="E46" s="14"/>
      <c r="F46" s="14"/>
      <c r="G46" s="14"/>
      <c r="H46" s="15"/>
      <c r="I46" s="14"/>
      <c r="K46" s="25"/>
      <c r="M46" t="str">
        <f t="shared" si="1"/>
        <v/>
      </c>
    </row>
    <row r="47" spans="2:13" ht="18" customHeight="1" x14ac:dyDescent="0.3">
      <c r="B47" s="12" t="s">
        <v>118</v>
      </c>
      <c r="C47" s="13" t="s">
        <v>119</v>
      </c>
      <c r="D47" s="13" t="s">
        <v>120</v>
      </c>
      <c r="E47" s="14"/>
      <c r="F47" s="14"/>
      <c r="G47" s="14"/>
      <c r="H47" s="15"/>
      <c r="I47" s="14"/>
      <c r="K47" s="25"/>
      <c r="M47" t="str">
        <f t="shared" si="1"/>
        <v/>
      </c>
    </row>
    <row r="48" spans="2:13" ht="18" customHeight="1" x14ac:dyDescent="0.3">
      <c r="B48" s="16" t="s">
        <v>121</v>
      </c>
      <c r="C48" s="17" t="s">
        <v>122</v>
      </c>
      <c r="D48" s="17" t="s">
        <v>123</v>
      </c>
      <c r="E48" s="14"/>
      <c r="F48" s="14"/>
      <c r="G48" s="14"/>
      <c r="H48" s="15"/>
      <c r="I48" s="14"/>
      <c r="K48" s="25"/>
      <c r="M48" t="str">
        <f t="shared" si="1"/>
        <v/>
      </c>
    </row>
    <row r="49" spans="2:13" ht="18" customHeight="1" x14ac:dyDescent="0.3">
      <c r="B49" s="12" t="s">
        <v>124</v>
      </c>
      <c r="C49" s="13" t="s">
        <v>125</v>
      </c>
      <c r="D49" s="13" t="s">
        <v>126</v>
      </c>
      <c r="E49" s="14"/>
      <c r="F49" s="14"/>
      <c r="G49" s="14"/>
      <c r="H49" s="15"/>
      <c r="I49" s="14"/>
      <c r="K49" s="25"/>
      <c r="M49" t="str">
        <f t="shared" si="1"/>
        <v/>
      </c>
    </row>
    <row r="50" spans="2:13" ht="18" customHeight="1" x14ac:dyDescent="0.3">
      <c r="B50" s="5" t="s">
        <v>127</v>
      </c>
      <c r="C50" s="5"/>
      <c r="D50" s="5"/>
      <c r="E50" s="5"/>
      <c r="F50" s="5"/>
      <c r="G50" s="5"/>
      <c r="H50" s="5"/>
      <c r="I50" s="5"/>
      <c r="K50" s="25"/>
      <c r="M50" t="str">
        <f t="shared" si="1"/>
        <v/>
      </c>
    </row>
    <row r="51" spans="2:13" ht="18" customHeight="1" x14ac:dyDescent="0.3">
      <c r="B51" s="12" t="s">
        <v>128</v>
      </c>
      <c r="C51" s="13" t="s">
        <v>129</v>
      </c>
      <c r="D51" s="13" t="s">
        <v>130</v>
      </c>
      <c r="E51" s="14"/>
      <c r="F51" s="14"/>
      <c r="G51" s="14"/>
      <c r="H51" s="15"/>
      <c r="I51" s="14"/>
      <c r="K51" s="25"/>
      <c r="M51" t="str">
        <f t="shared" si="1"/>
        <v/>
      </c>
    </row>
    <row r="52" spans="2:13" ht="18" customHeight="1" x14ac:dyDescent="0.3">
      <c r="B52" s="16" t="s">
        <v>131</v>
      </c>
      <c r="C52" s="17" t="s">
        <v>132</v>
      </c>
      <c r="D52" s="17" t="s">
        <v>133</v>
      </c>
      <c r="E52" s="14"/>
      <c r="F52" s="14"/>
      <c r="G52" s="14"/>
      <c r="H52" s="15"/>
      <c r="I52" s="14"/>
      <c r="K52" s="25"/>
      <c r="M52" t="str">
        <f t="shared" si="1"/>
        <v/>
      </c>
    </row>
    <row r="53" spans="2:13" ht="18" customHeight="1" x14ac:dyDescent="0.3">
      <c r="B53" s="12" t="s">
        <v>134</v>
      </c>
      <c r="C53" s="13" t="s">
        <v>135</v>
      </c>
      <c r="D53" s="13" t="s">
        <v>136</v>
      </c>
      <c r="E53" s="14"/>
      <c r="F53" s="14"/>
      <c r="G53" s="14"/>
      <c r="H53" s="15"/>
      <c r="I53" s="14"/>
      <c r="K53" s="25"/>
      <c r="M53" t="str">
        <f t="shared" si="1"/>
        <v/>
      </c>
    </row>
    <row r="54" spans="2:13" ht="9.75" customHeight="1" x14ac:dyDescent="0.3">
      <c r="K54" s="25"/>
      <c r="M54" t="str">
        <f t="shared" si="1"/>
        <v/>
      </c>
    </row>
    <row r="55" spans="2:13" ht="21.75" customHeight="1" x14ac:dyDescent="0.3">
      <c r="B55" s="4" t="s">
        <v>137</v>
      </c>
      <c r="C55" s="4"/>
      <c r="D55" s="4"/>
      <c r="E55" s="4"/>
      <c r="F55" s="4"/>
      <c r="G55" s="4"/>
      <c r="H55" s="4"/>
      <c r="I55" s="4"/>
      <c r="K55" s="25"/>
      <c r="M55" t="str">
        <f t="shared" si="1"/>
        <v/>
      </c>
    </row>
    <row r="56" spans="2:13" ht="21.75" customHeight="1" x14ac:dyDescent="0.3">
      <c r="B56" s="11" t="s">
        <v>138</v>
      </c>
      <c r="D56" s="11" t="s">
        <v>139</v>
      </c>
      <c r="F56" s="11" t="s">
        <v>140</v>
      </c>
      <c r="H56" s="11" t="s">
        <v>141</v>
      </c>
      <c r="K56" s="25"/>
      <c r="M56" t="str">
        <f t="shared" si="1"/>
        <v/>
      </c>
    </row>
    <row r="57" spans="2:13" ht="27.75" customHeight="1" x14ac:dyDescent="0.3">
      <c r="B57" s="10"/>
      <c r="C57" s="10"/>
      <c r="D57" s="10"/>
      <c r="E57" s="10"/>
      <c r="F57" s="10"/>
      <c r="G57" s="10"/>
      <c r="H57" s="10"/>
      <c r="I57" s="10"/>
      <c r="K57" s="25"/>
      <c r="M57" t="str">
        <f t="shared" si="1"/>
        <v/>
      </c>
    </row>
    <row r="58" spans="2:13" x14ac:dyDescent="0.3">
      <c r="K58" s="25"/>
      <c r="M58" t="str">
        <f t="shared" si="1"/>
        <v/>
      </c>
    </row>
    <row r="59" spans="2:13" x14ac:dyDescent="0.3">
      <c r="K59" s="25"/>
      <c r="M59" t="str">
        <f t="shared" si="1"/>
        <v/>
      </c>
    </row>
    <row r="60" spans="2:13" x14ac:dyDescent="0.3">
      <c r="K60" s="25"/>
      <c r="M60" t="str">
        <f t="shared" si="1"/>
        <v/>
      </c>
    </row>
    <row r="61" spans="2:13" x14ac:dyDescent="0.3">
      <c r="K61" s="25"/>
      <c r="M61" t="str">
        <f t="shared" si="1"/>
        <v/>
      </c>
    </row>
    <row r="62" spans="2:13" x14ac:dyDescent="0.3">
      <c r="K62" s="25"/>
      <c r="M62" t="str">
        <f t="shared" si="1"/>
        <v/>
      </c>
    </row>
    <row r="63" spans="2:13" x14ac:dyDescent="0.3">
      <c r="K63" s="25"/>
      <c r="M63" t="str">
        <f t="shared" si="1"/>
        <v/>
      </c>
    </row>
    <row r="64" spans="2:13" x14ac:dyDescent="0.3">
      <c r="K64" s="25"/>
      <c r="M64" t="str">
        <f t="shared" si="1"/>
        <v/>
      </c>
    </row>
    <row r="65" spans="11:13" x14ac:dyDescent="0.3">
      <c r="K65" s="25"/>
      <c r="M65" t="str">
        <f t="shared" si="1"/>
        <v/>
      </c>
    </row>
  </sheetData>
  <mergeCells count="11">
    <mergeCell ref="B55:I55"/>
    <mergeCell ref="B27:I27"/>
    <mergeCell ref="B34:I34"/>
    <mergeCell ref="B39:I39"/>
    <mergeCell ref="B44:I44"/>
    <mergeCell ref="B50:I50"/>
    <mergeCell ref="B2:I2"/>
    <mergeCell ref="B3:H3"/>
    <mergeCell ref="B8:I8"/>
    <mergeCell ref="B14:I14"/>
    <mergeCell ref="B21:I21"/>
  </mergeCells>
  <conditionalFormatting sqref="M8:M65">
    <cfRule type="cellIs" dxfId="1" priority="5" operator="greaterThanOrEqual">
      <formula>15</formula>
    </cfRule>
  </conditionalFormatting>
  <dataValidations count="4">
    <dataValidation type="list" allowBlank="1" sqref="E8:E80" xr:uid="{00000000-0002-0000-0000-000000000000}">
      <formula1>"✓,✗,N/A"</formula1>
      <formula2>0</formula2>
    </dataValidation>
    <dataValidation type="list" allowBlank="1" sqref="G8:G80" xr:uid="{00000000-0002-0000-0000-000001000000}">
      <formula1>"Yes,No,N/A"</formula1>
      <formula2>0</formula2>
    </dataValidation>
    <dataValidation type="list" sqref="J8:J65" xr:uid="{00000000-0002-0000-0000-000002000000}">
      <formula1>"Critical,High,Medium,Low,Monitor"</formula1>
    </dataValidation>
    <dataValidation type="list" sqref="L8:L65" xr:uid="{00000000-0002-0000-0000-000003000000}">
      <formula1>"Open,In Progress,Complete,Overdue,Deferred,Verified"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7"/>
  <sheetViews>
    <sheetView workbookViewId="0"/>
  </sheetViews>
  <sheetFormatPr defaultRowHeight="14.4" x14ac:dyDescent="0.3"/>
  <cols>
    <col min="1" max="1" width="10" customWidth="1"/>
    <col min="2" max="2" width="26" customWidth="1"/>
    <col min="3" max="3" width="80" customWidth="1"/>
  </cols>
  <sheetData>
    <row r="1" spans="1:11" ht="24" customHeight="1" x14ac:dyDescent="0.3">
      <c r="A1" s="3" t="s">
        <v>147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25.65" customHeight="1" x14ac:dyDescent="0.3">
      <c r="A2" s="2" t="s">
        <v>148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20.85" customHeight="1" x14ac:dyDescent="0.3">
      <c r="A4" s="18" t="s">
        <v>149</v>
      </c>
      <c r="B4" s="18" t="s">
        <v>150</v>
      </c>
      <c r="C4" s="18" t="s">
        <v>151</v>
      </c>
    </row>
    <row r="5" spans="1:11" x14ac:dyDescent="0.3">
      <c r="A5" s="20" t="s">
        <v>17</v>
      </c>
      <c r="B5" s="20" t="s">
        <v>152</v>
      </c>
      <c r="C5" s="20" t="s">
        <v>153</v>
      </c>
    </row>
    <row r="6" spans="1:11" x14ac:dyDescent="0.3">
      <c r="A6" s="20" t="s">
        <v>20</v>
      </c>
      <c r="B6" s="20" t="s">
        <v>154</v>
      </c>
      <c r="C6" s="20" t="s">
        <v>155</v>
      </c>
    </row>
    <row r="7" spans="1:11" ht="28.8" x14ac:dyDescent="0.3">
      <c r="A7" s="20" t="s">
        <v>23</v>
      </c>
      <c r="B7" s="20" t="s">
        <v>156</v>
      </c>
      <c r="C7" s="20" t="s">
        <v>157</v>
      </c>
    </row>
    <row r="8" spans="1:11" ht="28.8" x14ac:dyDescent="0.3">
      <c r="A8" s="20" t="s">
        <v>26</v>
      </c>
      <c r="B8" s="20" t="s">
        <v>158</v>
      </c>
      <c r="C8" s="20" t="s">
        <v>159</v>
      </c>
    </row>
    <row r="9" spans="1:11" ht="28.8" x14ac:dyDescent="0.3">
      <c r="A9" s="20" t="s">
        <v>29</v>
      </c>
      <c r="B9" s="20" t="s">
        <v>160</v>
      </c>
      <c r="C9" s="20" t="s">
        <v>161</v>
      </c>
    </row>
    <row r="12" spans="1:11" x14ac:dyDescent="0.3">
      <c r="A12" s="21" t="s">
        <v>162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</row>
    <row r="13" spans="1:11" x14ac:dyDescent="0.3">
      <c r="A13" s="1" t="s">
        <v>163</v>
      </c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x14ac:dyDescent="0.3">
      <c r="A14" s="1" t="s">
        <v>164</v>
      </c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x14ac:dyDescent="0.3">
      <c r="A15" s="1" t="s">
        <v>165</v>
      </c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x14ac:dyDescent="0.3">
      <c r="A16" s="1" t="s">
        <v>166</v>
      </c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3">
      <c r="A17" s="1" t="s">
        <v>167</v>
      </c>
      <c r="B17" s="1"/>
      <c r="C17" s="1"/>
      <c r="D17" s="1"/>
      <c r="E17" s="1"/>
      <c r="F17" s="1"/>
      <c r="G17" s="1"/>
      <c r="H17" s="1"/>
      <c r="I17" s="1"/>
      <c r="J17" s="1"/>
      <c r="K17" s="1"/>
    </row>
  </sheetData>
  <mergeCells count="7">
    <mergeCell ref="A16:K16"/>
    <mergeCell ref="A17:K17"/>
    <mergeCell ref="A1:K1"/>
    <mergeCell ref="A2:K2"/>
    <mergeCell ref="A13:K13"/>
    <mergeCell ref="A14:K14"/>
    <mergeCell ref="A15:K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workbookViewId="0"/>
  </sheetViews>
  <sheetFormatPr defaultRowHeight="14.4" x14ac:dyDescent="0.3"/>
  <cols>
    <col min="1" max="1" width="59.44140625" customWidth="1"/>
    <col min="2" max="2" width="6.88671875" customWidth="1"/>
    <col min="3" max="3" width="6.6640625" customWidth="1"/>
    <col min="4" max="4" width="6.77734375" customWidth="1"/>
    <col min="5" max="5" width="12.6640625" customWidth="1"/>
    <col min="6" max="6" width="10.44140625" customWidth="1"/>
    <col min="7" max="7" width="4.6640625" customWidth="1"/>
    <col min="8" max="8" width="11" customWidth="1"/>
  </cols>
  <sheetData>
    <row r="1" spans="1:8" ht="24" customHeight="1" x14ac:dyDescent="0.3">
      <c r="A1" s="3" t="s">
        <v>168</v>
      </c>
      <c r="B1" s="3"/>
      <c r="C1" s="3"/>
      <c r="D1" s="3"/>
      <c r="E1" s="3"/>
      <c r="F1" s="3"/>
      <c r="G1" s="3"/>
      <c r="H1" s="3"/>
    </row>
    <row r="2" spans="1:8" ht="25.65" customHeight="1" x14ac:dyDescent="0.3">
      <c r="A2" s="2" t="s">
        <v>169</v>
      </c>
      <c r="B2" s="2"/>
      <c r="C2" s="2"/>
      <c r="D2" s="2"/>
      <c r="E2" s="2"/>
      <c r="F2" s="2"/>
      <c r="G2" s="2"/>
      <c r="H2" s="2"/>
    </row>
    <row r="4" spans="1:8" x14ac:dyDescent="0.3">
      <c r="A4" s="22" t="s">
        <v>170</v>
      </c>
      <c r="B4" s="22" t="s">
        <v>142</v>
      </c>
      <c r="C4" s="22" t="s">
        <v>171</v>
      </c>
      <c r="D4" s="22" t="s">
        <v>172</v>
      </c>
      <c r="E4" s="22" t="s">
        <v>173</v>
      </c>
      <c r="F4" s="22" t="s">
        <v>174</v>
      </c>
      <c r="G4" s="22" t="s">
        <v>175</v>
      </c>
      <c r="H4" s="22" t="s">
        <v>176</v>
      </c>
    </row>
    <row r="5" spans="1:8" x14ac:dyDescent="0.3">
      <c r="A5" t="s">
        <v>177</v>
      </c>
      <c r="B5" t="s">
        <v>178</v>
      </c>
      <c r="C5" t="s">
        <v>179</v>
      </c>
      <c r="D5">
        <v>1</v>
      </c>
      <c r="E5" t="s">
        <v>180</v>
      </c>
      <c r="F5" t="s">
        <v>181</v>
      </c>
      <c r="G5" t="s">
        <v>182</v>
      </c>
      <c r="H5" t="s">
        <v>183</v>
      </c>
    </row>
    <row r="6" spans="1:8" x14ac:dyDescent="0.3">
      <c r="A6" t="s">
        <v>184</v>
      </c>
      <c r="B6" t="s">
        <v>185</v>
      </c>
      <c r="C6" t="s">
        <v>186</v>
      </c>
      <c r="D6">
        <v>2</v>
      </c>
      <c r="E6" t="s">
        <v>187</v>
      </c>
      <c r="F6" t="s">
        <v>188</v>
      </c>
      <c r="G6" t="s">
        <v>189</v>
      </c>
      <c r="H6" t="s">
        <v>190</v>
      </c>
    </row>
    <row r="7" spans="1:8" x14ac:dyDescent="0.3">
      <c r="A7" t="s">
        <v>191</v>
      </c>
      <c r="B7" t="s">
        <v>192</v>
      </c>
      <c r="C7" t="s">
        <v>193</v>
      </c>
      <c r="D7">
        <v>3</v>
      </c>
      <c r="E7" t="s">
        <v>194</v>
      </c>
      <c r="F7" t="s">
        <v>195</v>
      </c>
      <c r="G7" t="s">
        <v>196</v>
      </c>
      <c r="H7" t="s">
        <v>197</v>
      </c>
    </row>
    <row r="8" spans="1:8" x14ac:dyDescent="0.3">
      <c r="A8" t="s">
        <v>198</v>
      </c>
      <c r="B8" t="s">
        <v>199</v>
      </c>
      <c r="C8" t="s">
        <v>200</v>
      </c>
      <c r="D8">
        <v>4</v>
      </c>
      <c r="E8" t="s">
        <v>201</v>
      </c>
      <c r="G8" t="s">
        <v>202</v>
      </c>
    </row>
    <row r="9" spans="1:8" x14ac:dyDescent="0.3">
      <c r="A9" t="s">
        <v>203</v>
      </c>
      <c r="B9" t="s">
        <v>200</v>
      </c>
      <c r="D9">
        <v>5</v>
      </c>
      <c r="E9" t="s">
        <v>204</v>
      </c>
      <c r="G9" t="s">
        <v>205</v>
      </c>
    </row>
    <row r="10" spans="1:8" x14ac:dyDescent="0.3">
      <c r="A10" t="s">
        <v>206</v>
      </c>
      <c r="E10" t="s">
        <v>207</v>
      </c>
      <c r="G10" t="s">
        <v>208</v>
      </c>
    </row>
    <row r="11" spans="1:8" x14ac:dyDescent="0.3">
      <c r="A11" t="s">
        <v>209</v>
      </c>
      <c r="E11" t="s">
        <v>210</v>
      </c>
    </row>
    <row r="12" spans="1:8" x14ac:dyDescent="0.3">
      <c r="E12" t="s">
        <v>211</v>
      </c>
    </row>
    <row r="13" spans="1:8" x14ac:dyDescent="0.3">
      <c r="E13" t="s">
        <v>212</v>
      </c>
    </row>
    <row r="14" spans="1:8" x14ac:dyDescent="0.3">
      <c r="E14" t="s">
        <v>213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4"/>
  <sheetViews>
    <sheetView workbookViewId="0"/>
  </sheetViews>
  <sheetFormatPr defaultRowHeight="14.4" x14ac:dyDescent="0.3"/>
  <cols>
    <col min="1" max="1" width="18" customWidth="1"/>
    <col min="2" max="2" width="20" customWidth="1"/>
    <col min="3" max="3" width="34" customWidth="1"/>
    <col min="4" max="4" width="26" customWidth="1"/>
    <col min="5" max="5" width="13" customWidth="1"/>
    <col min="6" max="6" width="18" customWidth="1"/>
    <col min="7" max="7" width="13" customWidth="1"/>
    <col min="8" max="8" width="14" customWidth="1"/>
    <col min="9" max="9" width="13" customWidth="1"/>
    <col min="10" max="10" width="32" customWidth="1"/>
    <col min="11" max="11" width="12" customWidth="1"/>
  </cols>
  <sheetData>
    <row r="1" spans="1:11" ht="24" customHeight="1" x14ac:dyDescent="0.3">
      <c r="A1" s="3" t="s">
        <v>214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25.65" customHeight="1" x14ac:dyDescent="0.3">
      <c r="A2" s="2" t="s">
        <v>215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20.85" customHeight="1" x14ac:dyDescent="0.3">
      <c r="A4" s="18" t="s">
        <v>216</v>
      </c>
      <c r="B4" s="18" t="s">
        <v>217</v>
      </c>
      <c r="C4" s="18" t="s">
        <v>218</v>
      </c>
      <c r="D4" s="18" t="s">
        <v>219</v>
      </c>
      <c r="E4" s="18" t="s">
        <v>142</v>
      </c>
      <c r="F4" s="18" t="s">
        <v>220</v>
      </c>
      <c r="G4" s="18" t="s">
        <v>143</v>
      </c>
      <c r="H4" s="18" t="s">
        <v>170</v>
      </c>
      <c r="I4" s="18" t="s">
        <v>221</v>
      </c>
      <c r="J4" s="18" t="s">
        <v>222</v>
      </c>
      <c r="K4" s="18" t="s">
        <v>223</v>
      </c>
    </row>
    <row r="5" spans="1:11" x14ac:dyDescent="0.3">
      <c r="A5" s="20"/>
      <c r="B5" s="20"/>
      <c r="C5" s="20"/>
      <c r="D5" s="20"/>
      <c r="E5" s="20"/>
      <c r="F5" s="20"/>
      <c r="G5" s="23"/>
      <c r="H5" s="20" t="s">
        <v>177</v>
      </c>
      <c r="I5" s="23"/>
      <c r="J5" s="20"/>
      <c r="K5" s="20">
        <f t="shared" ref="K5:K34" ca="1" si="0">IF(AND(G5&lt;&gt;"",H5&lt;&gt;"Complete",H5&lt;&gt;"Verified"),MAX(0,TODAY()-G5),0)</f>
        <v>0</v>
      </c>
    </row>
    <row r="6" spans="1:11" x14ac:dyDescent="0.3">
      <c r="A6" s="20"/>
      <c r="B6" s="20"/>
      <c r="C6" s="20"/>
      <c r="D6" s="20"/>
      <c r="E6" s="20"/>
      <c r="F6" s="20"/>
      <c r="G6" s="23"/>
      <c r="H6" s="20" t="s">
        <v>177</v>
      </c>
      <c r="I6" s="23"/>
      <c r="J6" s="20"/>
      <c r="K6" s="20">
        <f t="shared" ca="1" si="0"/>
        <v>0</v>
      </c>
    </row>
    <row r="7" spans="1:11" x14ac:dyDescent="0.3">
      <c r="A7" s="20"/>
      <c r="B7" s="20"/>
      <c r="C7" s="20"/>
      <c r="D7" s="20"/>
      <c r="E7" s="20"/>
      <c r="F7" s="20"/>
      <c r="G7" s="23"/>
      <c r="H7" s="20" t="s">
        <v>177</v>
      </c>
      <c r="I7" s="23"/>
      <c r="J7" s="20"/>
      <c r="K7" s="20">
        <f t="shared" ca="1" si="0"/>
        <v>0</v>
      </c>
    </row>
    <row r="8" spans="1:11" x14ac:dyDescent="0.3">
      <c r="A8" s="20"/>
      <c r="B8" s="20"/>
      <c r="C8" s="20"/>
      <c r="D8" s="20"/>
      <c r="E8" s="20"/>
      <c r="F8" s="20"/>
      <c r="G8" s="23"/>
      <c r="H8" s="20" t="s">
        <v>177</v>
      </c>
      <c r="I8" s="23"/>
      <c r="J8" s="20"/>
      <c r="K8" s="20">
        <f t="shared" ca="1" si="0"/>
        <v>0</v>
      </c>
    </row>
    <row r="9" spans="1:11" x14ac:dyDescent="0.3">
      <c r="A9" s="20"/>
      <c r="B9" s="20"/>
      <c r="C9" s="20"/>
      <c r="D9" s="20"/>
      <c r="E9" s="20"/>
      <c r="F9" s="20"/>
      <c r="G9" s="23"/>
      <c r="H9" s="20" t="s">
        <v>177</v>
      </c>
      <c r="I9" s="23"/>
      <c r="J9" s="20"/>
      <c r="K9" s="20">
        <f t="shared" ca="1" si="0"/>
        <v>0</v>
      </c>
    </row>
    <row r="10" spans="1:11" x14ac:dyDescent="0.3">
      <c r="A10" s="20"/>
      <c r="B10" s="20"/>
      <c r="C10" s="20"/>
      <c r="D10" s="20"/>
      <c r="E10" s="20"/>
      <c r="F10" s="20"/>
      <c r="G10" s="23"/>
      <c r="H10" s="20" t="s">
        <v>177</v>
      </c>
      <c r="I10" s="23"/>
      <c r="J10" s="20"/>
      <c r="K10" s="20">
        <f t="shared" ca="1" si="0"/>
        <v>0</v>
      </c>
    </row>
    <row r="11" spans="1:11" x14ac:dyDescent="0.3">
      <c r="A11" s="20"/>
      <c r="B11" s="20"/>
      <c r="C11" s="20"/>
      <c r="D11" s="20"/>
      <c r="E11" s="20"/>
      <c r="F11" s="20"/>
      <c r="G11" s="23"/>
      <c r="H11" s="20" t="s">
        <v>177</v>
      </c>
      <c r="I11" s="23"/>
      <c r="J11" s="20"/>
      <c r="K11" s="20">
        <f t="shared" ca="1" si="0"/>
        <v>0</v>
      </c>
    </row>
    <row r="12" spans="1:11" x14ac:dyDescent="0.3">
      <c r="A12" s="20"/>
      <c r="B12" s="20"/>
      <c r="C12" s="20"/>
      <c r="D12" s="20"/>
      <c r="E12" s="20"/>
      <c r="F12" s="20"/>
      <c r="G12" s="23"/>
      <c r="H12" s="20" t="s">
        <v>177</v>
      </c>
      <c r="I12" s="23"/>
      <c r="J12" s="20"/>
      <c r="K12" s="20">
        <f t="shared" ca="1" si="0"/>
        <v>0</v>
      </c>
    </row>
    <row r="13" spans="1:11" x14ac:dyDescent="0.3">
      <c r="A13" s="20"/>
      <c r="B13" s="20"/>
      <c r="C13" s="20"/>
      <c r="D13" s="20"/>
      <c r="E13" s="20"/>
      <c r="F13" s="20"/>
      <c r="G13" s="23"/>
      <c r="H13" s="20" t="s">
        <v>177</v>
      </c>
      <c r="I13" s="23"/>
      <c r="J13" s="20"/>
      <c r="K13" s="20">
        <f t="shared" ca="1" si="0"/>
        <v>0</v>
      </c>
    </row>
    <row r="14" spans="1:11" x14ac:dyDescent="0.3">
      <c r="A14" s="20"/>
      <c r="B14" s="20"/>
      <c r="C14" s="20"/>
      <c r="D14" s="20"/>
      <c r="E14" s="20"/>
      <c r="F14" s="20"/>
      <c r="G14" s="23"/>
      <c r="H14" s="20" t="s">
        <v>177</v>
      </c>
      <c r="I14" s="23"/>
      <c r="J14" s="20"/>
      <c r="K14" s="20">
        <f t="shared" ca="1" si="0"/>
        <v>0</v>
      </c>
    </row>
    <row r="15" spans="1:11" x14ac:dyDescent="0.3">
      <c r="A15" s="20"/>
      <c r="B15" s="20"/>
      <c r="C15" s="20"/>
      <c r="D15" s="20"/>
      <c r="E15" s="20"/>
      <c r="F15" s="20"/>
      <c r="G15" s="23"/>
      <c r="H15" s="20" t="s">
        <v>177</v>
      </c>
      <c r="I15" s="23"/>
      <c r="J15" s="20"/>
      <c r="K15" s="20">
        <f t="shared" ca="1" si="0"/>
        <v>0</v>
      </c>
    </row>
    <row r="16" spans="1:11" x14ac:dyDescent="0.3">
      <c r="A16" s="20"/>
      <c r="B16" s="20"/>
      <c r="C16" s="20"/>
      <c r="D16" s="20"/>
      <c r="E16" s="20"/>
      <c r="F16" s="20"/>
      <c r="G16" s="23"/>
      <c r="H16" s="20" t="s">
        <v>177</v>
      </c>
      <c r="I16" s="23"/>
      <c r="J16" s="20"/>
      <c r="K16" s="20">
        <f t="shared" ca="1" si="0"/>
        <v>0</v>
      </c>
    </row>
    <row r="17" spans="1:11" x14ac:dyDescent="0.3">
      <c r="A17" s="20"/>
      <c r="B17" s="20"/>
      <c r="C17" s="20"/>
      <c r="D17" s="20"/>
      <c r="E17" s="20"/>
      <c r="F17" s="20"/>
      <c r="G17" s="23"/>
      <c r="H17" s="20" t="s">
        <v>177</v>
      </c>
      <c r="I17" s="23"/>
      <c r="J17" s="20"/>
      <c r="K17" s="20">
        <f t="shared" ca="1" si="0"/>
        <v>0</v>
      </c>
    </row>
    <row r="18" spans="1:11" x14ac:dyDescent="0.3">
      <c r="A18" s="20"/>
      <c r="B18" s="20"/>
      <c r="C18" s="20"/>
      <c r="D18" s="20"/>
      <c r="E18" s="20"/>
      <c r="F18" s="20"/>
      <c r="G18" s="23"/>
      <c r="H18" s="20" t="s">
        <v>177</v>
      </c>
      <c r="I18" s="23"/>
      <c r="J18" s="20"/>
      <c r="K18" s="20">
        <f t="shared" ca="1" si="0"/>
        <v>0</v>
      </c>
    </row>
    <row r="19" spans="1:11" x14ac:dyDescent="0.3">
      <c r="A19" s="20"/>
      <c r="B19" s="20"/>
      <c r="C19" s="20"/>
      <c r="D19" s="20"/>
      <c r="E19" s="20"/>
      <c r="F19" s="20"/>
      <c r="G19" s="23"/>
      <c r="H19" s="20" t="s">
        <v>177</v>
      </c>
      <c r="I19" s="23"/>
      <c r="J19" s="20"/>
      <c r="K19" s="20">
        <f t="shared" ca="1" si="0"/>
        <v>0</v>
      </c>
    </row>
    <row r="20" spans="1:11" x14ac:dyDescent="0.3">
      <c r="A20" s="20"/>
      <c r="B20" s="20"/>
      <c r="C20" s="20"/>
      <c r="D20" s="20"/>
      <c r="E20" s="20"/>
      <c r="F20" s="20"/>
      <c r="G20" s="23"/>
      <c r="H20" s="20" t="s">
        <v>177</v>
      </c>
      <c r="I20" s="23"/>
      <c r="J20" s="20"/>
      <c r="K20" s="20">
        <f t="shared" ca="1" si="0"/>
        <v>0</v>
      </c>
    </row>
    <row r="21" spans="1:11" x14ac:dyDescent="0.3">
      <c r="A21" s="20"/>
      <c r="B21" s="20"/>
      <c r="C21" s="20"/>
      <c r="D21" s="20"/>
      <c r="E21" s="20"/>
      <c r="F21" s="20"/>
      <c r="G21" s="23"/>
      <c r="H21" s="20" t="s">
        <v>177</v>
      </c>
      <c r="I21" s="23"/>
      <c r="J21" s="20"/>
      <c r="K21" s="20">
        <f t="shared" ca="1" si="0"/>
        <v>0</v>
      </c>
    </row>
    <row r="22" spans="1:11" x14ac:dyDescent="0.3">
      <c r="A22" s="20"/>
      <c r="B22" s="20"/>
      <c r="C22" s="20"/>
      <c r="D22" s="20"/>
      <c r="E22" s="20"/>
      <c r="F22" s="20"/>
      <c r="G22" s="23"/>
      <c r="H22" s="20" t="s">
        <v>177</v>
      </c>
      <c r="I22" s="23"/>
      <c r="J22" s="20"/>
      <c r="K22" s="20">
        <f t="shared" ca="1" si="0"/>
        <v>0</v>
      </c>
    </row>
    <row r="23" spans="1:11" x14ac:dyDescent="0.3">
      <c r="A23" s="20"/>
      <c r="B23" s="20"/>
      <c r="C23" s="20"/>
      <c r="D23" s="20"/>
      <c r="E23" s="20"/>
      <c r="F23" s="20"/>
      <c r="G23" s="23"/>
      <c r="H23" s="20" t="s">
        <v>177</v>
      </c>
      <c r="I23" s="23"/>
      <c r="J23" s="20"/>
      <c r="K23" s="20">
        <f t="shared" ca="1" si="0"/>
        <v>0</v>
      </c>
    </row>
    <row r="24" spans="1:11" x14ac:dyDescent="0.3">
      <c r="A24" s="20"/>
      <c r="B24" s="20"/>
      <c r="C24" s="20"/>
      <c r="D24" s="20"/>
      <c r="E24" s="20"/>
      <c r="F24" s="20"/>
      <c r="G24" s="23"/>
      <c r="H24" s="20" t="s">
        <v>177</v>
      </c>
      <c r="I24" s="23"/>
      <c r="J24" s="20"/>
      <c r="K24" s="20">
        <f t="shared" ca="1" si="0"/>
        <v>0</v>
      </c>
    </row>
    <row r="25" spans="1:11" x14ac:dyDescent="0.3">
      <c r="A25" s="20"/>
      <c r="B25" s="20"/>
      <c r="C25" s="20"/>
      <c r="D25" s="20"/>
      <c r="E25" s="20"/>
      <c r="F25" s="20"/>
      <c r="G25" s="23"/>
      <c r="H25" s="20" t="s">
        <v>177</v>
      </c>
      <c r="I25" s="23"/>
      <c r="J25" s="20"/>
      <c r="K25" s="20">
        <f t="shared" ca="1" si="0"/>
        <v>0</v>
      </c>
    </row>
    <row r="26" spans="1:11" x14ac:dyDescent="0.3">
      <c r="A26" s="20"/>
      <c r="B26" s="20"/>
      <c r="C26" s="20"/>
      <c r="D26" s="20"/>
      <c r="E26" s="20"/>
      <c r="F26" s="20"/>
      <c r="G26" s="23"/>
      <c r="H26" s="20" t="s">
        <v>177</v>
      </c>
      <c r="I26" s="23"/>
      <c r="J26" s="20"/>
      <c r="K26" s="20">
        <f t="shared" ca="1" si="0"/>
        <v>0</v>
      </c>
    </row>
    <row r="27" spans="1:11" x14ac:dyDescent="0.3">
      <c r="A27" s="20"/>
      <c r="B27" s="20"/>
      <c r="C27" s="20"/>
      <c r="D27" s="20"/>
      <c r="E27" s="20"/>
      <c r="F27" s="20"/>
      <c r="G27" s="23"/>
      <c r="H27" s="20" t="s">
        <v>177</v>
      </c>
      <c r="I27" s="23"/>
      <c r="J27" s="20"/>
      <c r="K27" s="20">
        <f t="shared" ca="1" si="0"/>
        <v>0</v>
      </c>
    </row>
    <row r="28" spans="1:11" x14ac:dyDescent="0.3">
      <c r="A28" s="20"/>
      <c r="B28" s="20"/>
      <c r="C28" s="20"/>
      <c r="D28" s="20"/>
      <c r="E28" s="20"/>
      <c r="F28" s="20"/>
      <c r="G28" s="23"/>
      <c r="H28" s="20" t="s">
        <v>177</v>
      </c>
      <c r="I28" s="23"/>
      <c r="J28" s="20"/>
      <c r="K28" s="20">
        <f t="shared" ca="1" si="0"/>
        <v>0</v>
      </c>
    </row>
    <row r="29" spans="1:11" x14ac:dyDescent="0.3">
      <c r="A29" s="20"/>
      <c r="B29" s="20"/>
      <c r="C29" s="20"/>
      <c r="D29" s="20"/>
      <c r="E29" s="20"/>
      <c r="F29" s="20"/>
      <c r="G29" s="23"/>
      <c r="H29" s="20" t="s">
        <v>177</v>
      </c>
      <c r="I29" s="23"/>
      <c r="J29" s="20"/>
      <c r="K29" s="20">
        <f t="shared" ca="1" si="0"/>
        <v>0</v>
      </c>
    </row>
    <row r="30" spans="1:11" x14ac:dyDescent="0.3">
      <c r="A30" s="20"/>
      <c r="B30" s="20"/>
      <c r="C30" s="20"/>
      <c r="D30" s="20"/>
      <c r="E30" s="20"/>
      <c r="F30" s="20"/>
      <c r="G30" s="23"/>
      <c r="H30" s="20" t="s">
        <v>177</v>
      </c>
      <c r="I30" s="23"/>
      <c r="J30" s="20"/>
      <c r="K30" s="20">
        <f t="shared" ca="1" si="0"/>
        <v>0</v>
      </c>
    </row>
    <row r="31" spans="1:11" x14ac:dyDescent="0.3">
      <c r="A31" s="20"/>
      <c r="B31" s="20"/>
      <c r="C31" s="20"/>
      <c r="D31" s="20"/>
      <c r="E31" s="20"/>
      <c r="F31" s="20"/>
      <c r="G31" s="23"/>
      <c r="H31" s="20" t="s">
        <v>177</v>
      </c>
      <c r="I31" s="23"/>
      <c r="J31" s="20"/>
      <c r="K31" s="20">
        <f t="shared" ca="1" si="0"/>
        <v>0</v>
      </c>
    </row>
    <row r="32" spans="1:11" x14ac:dyDescent="0.3">
      <c r="A32" s="20"/>
      <c r="B32" s="20"/>
      <c r="C32" s="20"/>
      <c r="D32" s="20"/>
      <c r="E32" s="20"/>
      <c r="F32" s="20"/>
      <c r="G32" s="23"/>
      <c r="H32" s="20" t="s">
        <v>177</v>
      </c>
      <c r="I32" s="23"/>
      <c r="J32" s="20"/>
      <c r="K32" s="20">
        <f t="shared" ca="1" si="0"/>
        <v>0</v>
      </c>
    </row>
    <row r="33" spans="1:11" x14ac:dyDescent="0.3">
      <c r="A33" s="20"/>
      <c r="B33" s="20"/>
      <c r="C33" s="20"/>
      <c r="D33" s="20"/>
      <c r="E33" s="20"/>
      <c r="F33" s="20"/>
      <c r="G33" s="23"/>
      <c r="H33" s="20" t="s">
        <v>177</v>
      </c>
      <c r="I33" s="23"/>
      <c r="J33" s="20"/>
      <c r="K33" s="20">
        <f t="shared" ca="1" si="0"/>
        <v>0</v>
      </c>
    </row>
    <row r="34" spans="1:11" x14ac:dyDescent="0.3">
      <c r="A34" s="20"/>
      <c r="B34" s="20"/>
      <c r="C34" s="20"/>
      <c r="D34" s="20"/>
      <c r="E34" s="20"/>
      <c r="F34" s="20"/>
      <c r="G34" s="23"/>
      <c r="H34" s="20" t="s">
        <v>177</v>
      </c>
      <c r="I34" s="23"/>
      <c r="J34" s="20"/>
      <c r="K34" s="20">
        <f t="shared" ca="1" si="0"/>
        <v>0</v>
      </c>
    </row>
  </sheetData>
  <mergeCells count="2">
    <mergeCell ref="A1:K1"/>
    <mergeCell ref="A2:K2"/>
  </mergeCells>
  <conditionalFormatting sqref="K5:K34">
    <cfRule type="cellIs" dxfId="0" priority="5" operator="greaterThan">
      <formula>0</formula>
    </cfRule>
  </conditionalFormatting>
  <dataValidations count="2">
    <dataValidation type="list" sqref="E5:E34" xr:uid="{00000000-0002-0000-0300-000000000000}">
      <formula1>"Critical,High,Medium,Low,Monitor"</formula1>
    </dataValidation>
    <dataValidation type="list" sqref="H5:H34" xr:uid="{00000000-0002-0000-0300-000001000000}">
      <formula1>"Open,In Progress,Complete,Overdue,Deferred,Cancelled,Verified"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9"/>
  <sheetViews>
    <sheetView workbookViewId="0"/>
  </sheetViews>
  <sheetFormatPr defaultRowHeight="14.4" x14ac:dyDescent="0.3"/>
  <cols>
    <col min="1" max="1" width="12" customWidth="1"/>
    <col min="2" max="2" width="18" customWidth="1"/>
    <col min="3" max="3" width="24" customWidth="1"/>
    <col min="4" max="5" width="36" customWidth="1"/>
    <col min="6" max="6" width="16" customWidth="1"/>
    <col min="7" max="9" width="12" customWidth="1"/>
    <col min="10" max="10" width="30" customWidth="1"/>
  </cols>
  <sheetData>
    <row r="1" spans="1:10" ht="24" customHeight="1" x14ac:dyDescent="0.3">
      <c r="A1" s="3" t="s">
        <v>224</v>
      </c>
      <c r="B1" s="3"/>
      <c r="C1" s="3"/>
      <c r="D1" s="3"/>
      <c r="E1" s="3"/>
      <c r="F1" s="3"/>
      <c r="G1" s="3"/>
      <c r="H1" s="3"/>
      <c r="I1" s="3"/>
      <c r="J1" s="3"/>
    </row>
    <row r="2" spans="1:10" ht="25.65" customHeight="1" x14ac:dyDescent="0.3">
      <c r="A2" s="2" t="s">
        <v>225</v>
      </c>
      <c r="B2" s="2"/>
      <c r="C2" s="2"/>
      <c r="D2" s="2"/>
      <c r="E2" s="2"/>
      <c r="F2" s="2"/>
      <c r="G2" s="2"/>
      <c r="H2" s="2"/>
      <c r="I2" s="2"/>
      <c r="J2" s="2"/>
    </row>
    <row r="4" spans="1:10" ht="20.85" customHeight="1" x14ac:dyDescent="0.3">
      <c r="A4" s="18" t="s">
        <v>226</v>
      </c>
      <c r="B4" s="18" t="s">
        <v>227</v>
      </c>
      <c r="C4" s="18" t="s">
        <v>228</v>
      </c>
      <c r="D4" s="18" t="s">
        <v>229</v>
      </c>
      <c r="E4" s="18" t="s">
        <v>230</v>
      </c>
      <c r="F4" s="18" t="s">
        <v>231</v>
      </c>
      <c r="G4" s="18" t="s">
        <v>232</v>
      </c>
      <c r="H4" s="18" t="s">
        <v>172</v>
      </c>
      <c r="I4" s="18" t="s">
        <v>233</v>
      </c>
      <c r="J4" s="18" t="s">
        <v>234</v>
      </c>
    </row>
    <row r="5" spans="1:10" x14ac:dyDescent="0.3">
      <c r="A5" s="20" t="s">
        <v>235</v>
      </c>
      <c r="B5" s="20"/>
      <c r="C5" s="20"/>
      <c r="D5" s="20"/>
      <c r="E5" s="20"/>
      <c r="F5" s="20"/>
      <c r="G5" s="23"/>
      <c r="H5" s="20"/>
      <c r="I5" s="20"/>
      <c r="J5" s="20"/>
    </row>
    <row r="6" spans="1:10" x14ac:dyDescent="0.3">
      <c r="A6" s="20" t="s">
        <v>236</v>
      </c>
      <c r="B6" s="20"/>
      <c r="C6" s="20"/>
      <c r="D6" s="20"/>
      <c r="E6" s="20"/>
      <c r="F6" s="20"/>
      <c r="G6" s="23"/>
      <c r="H6" s="20"/>
      <c r="I6" s="20"/>
      <c r="J6" s="20"/>
    </row>
    <row r="7" spans="1:10" x14ac:dyDescent="0.3">
      <c r="A7" s="20" t="s">
        <v>237</v>
      </c>
      <c r="B7" s="20"/>
      <c r="C7" s="20"/>
      <c r="D7" s="20"/>
      <c r="E7" s="20"/>
      <c r="F7" s="20"/>
      <c r="G7" s="23"/>
      <c r="H7" s="20"/>
      <c r="I7" s="20"/>
      <c r="J7" s="20"/>
    </row>
    <row r="8" spans="1:10" x14ac:dyDescent="0.3">
      <c r="A8" s="20" t="s">
        <v>238</v>
      </c>
      <c r="B8" s="20"/>
      <c r="C8" s="20"/>
      <c r="D8" s="20"/>
      <c r="E8" s="20"/>
      <c r="F8" s="20"/>
      <c r="G8" s="23"/>
      <c r="H8" s="20"/>
      <c r="I8" s="20"/>
      <c r="J8" s="20"/>
    </row>
    <row r="9" spans="1:10" x14ac:dyDescent="0.3">
      <c r="A9" s="20" t="s">
        <v>239</v>
      </c>
      <c r="B9" s="20"/>
      <c r="C9" s="20"/>
      <c r="D9" s="20"/>
      <c r="E9" s="20"/>
      <c r="F9" s="20"/>
      <c r="G9" s="23"/>
      <c r="H9" s="20"/>
      <c r="I9" s="20"/>
      <c r="J9" s="20"/>
    </row>
    <row r="10" spans="1:10" x14ac:dyDescent="0.3">
      <c r="A10" s="20" t="s">
        <v>240</v>
      </c>
      <c r="B10" s="20"/>
      <c r="C10" s="20"/>
      <c r="D10" s="20"/>
      <c r="E10" s="20"/>
      <c r="F10" s="20"/>
      <c r="G10" s="23"/>
      <c r="H10" s="20"/>
      <c r="I10" s="20"/>
      <c r="J10" s="20"/>
    </row>
    <row r="11" spans="1:10" x14ac:dyDescent="0.3">
      <c r="A11" s="20" t="s">
        <v>241</v>
      </c>
      <c r="B11" s="20"/>
      <c r="C11" s="20"/>
      <c r="D11" s="20"/>
      <c r="E11" s="20"/>
      <c r="F11" s="20"/>
      <c r="G11" s="23"/>
      <c r="H11" s="20"/>
      <c r="I11" s="20"/>
      <c r="J11" s="20"/>
    </row>
    <row r="12" spans="1:10" x14ac:dyDescent="0.3">
      <c r="A12" s="20" t="s">
        <v>242</v>
      </c>
      <c r="B12" s="20"/>
      <c r="C12" s="20"/>
      <c r="D12" s="20"/>
      <c r="E12" s="20"/>
      <c r="F12" s="20"/>
      <c r="G12" s="23"/>
      <c r="H12" s="20"/>
      <c r="I12" s="20"/>
      <c r="J12" s="20"/>
    </row>
    <row r="13" spans="1:10" x14ac:dyDescent="0.3">
      <c r="A13" s="20" t="s">
        <v>243</v>
      </c>
      <c r="B13" s="20"/>
      <c r="C13" s="20"/>
      <c r="D13" s="20"/>
      <c r="E13" s="20"/>
      <c r="F13" s="20"/>
      <c r="G13" s="23"/>
      <c r="H13" s="20"/>
      <c r="I13" s="20"/>
      <c r="J13" s="20"/>
    </row>
    <row r="14" spans="1:10" x14ac:dyDescent="0.3">
      <c r="A14" s="20" t="s">
        <v>244</v>
      </c>
      <c r="B14" s="20"/>
      <c r="C14" s="20"/>
      <c r="D14" s="20"/>
      <c r="E14" s="20"/>
      <c r="F14" s="20"/>
      <c r="G14" s="23"/>
      <c r="H14" s="20"/>
      <c r="I14" s="20"/>
      <c r="J14" s="20"/>
    </row>
    <row r="15" spans="1:10" x14ac:dyDescent="0.3">
      <c r="A15" s="20" t="s">
        <v>245</v>
      </c>
      <c r="B15" s="20"/>
      <c r="C15" s="20"/>
      <c r="D15" s="20"/>
      <c r="E15" s="20"/>
      <c r="F15" s="20"/>
      <c r="G15" s="23"/>
      <c r="H15" s="20"/>
      <c r="I15" s="20"/>
      <c r="J15" s="20"/>
    </row>
    <row r="16" spans="1:10" x14ac:dyDescent="0.3">
      <c r="A16" s="20" t="s">
        <v>246</v>
      </c>
      <c r="B16" s="20"/>
      <c r="C16" s="20"/>
      <c r="D16" s="20"/>
      <c r="E16" s="20"/>
      <c r="F16" s="20"/>
      <c r="G16" s="23"/>
      <c r="H16" s="20"/>
      <c r="I16" s="20"/>
      <c r="J16" s="20"/>
    </row>
    <row r="17" spans="1:10" x14ac:dyDescent="0.3">
      <c r="A17" s="20" t="s">
        <v>247</v>
      </c>
      <c r="B17" s="20"/>
      <c r="C17" s="20"/>
      <c r="D17" s="20"/>
      <c r="E17" s="20"/>
      <c r="F17" s="20"/>
      <c r="G17" s="23"/>
      <c r="H17" s="20"/>
      <c r="I17" s="20"/>
      <c r="J17" s="20"/>
    </row>
    <row r="18" spans="1:10" x14ac:dyDescent="0.3">
      <c r="A18" s="20" t="s">
        <v>248</v>
      </c>
      <c r="B18" s="20"/>
      <c r="C18" s="20"/>
      <c r="D18" s="20"/>
      <c r="E18" s="20"/>
      <c r="F18" s="20"/>
      <c r="G18" s="23"/>
      <c r="H18" s="20"/>
      <c r="I18" s="20"/>
      <c r="J18" s="20"/>
    </row>
    <row r="19" spans="1:10" x14ac:dyDescent="0.3">
      <c r="A19" s="20" t="s">
        <v>249</v>
      </c>
      <c r="B19" s="20"/>
      <c r="C19" s="20"/>
      <c r="D19" s="20"/>
      <c r="E19" s="20"/>
      <c r="F19" s="20"/>
      <c r="G19" s="23"/>
      <c r="H19" s="20"/>
      <c r="I19" s="20"/>
      <c r="J19" s="20"/>
    </row>
  </sheetData>
  <mergeCells count="2">
    <mergeCell ref="A1:J1"/>
    <mergeCell ref="A2:J2"/>
  </mergeCells>
  <dataValidations count="1">
    <dataValidation type="list" sqref="H5:H19" xr:uid="{00000000-0002-0000-0400-000000000000}">
      <formula1>"Critical,High,Medium,Low,1,2,3,4,5"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4"/>
  <sheetViews>
    <sheetView workbookViewId="0"/>
  </sheetViews>
  <sheetFormatPr defaultRowHeight="14.4" x14ac:dyDescent="0.3"/>
  <cols>
    <col min="1" max="1" width="6.33203125" customWidth="1"/>
    <col min="2" max="2" width="9.77734375" customWidth="1"/>
    <col min="3" max="3" width="6.33203125" customWidth="1"/>
    <col min="4" max="4" width="10.44140625" customWidth="1"/>
    <col min="5" max="5" width="14.44140625" customWidth="1"/>
    <col min="6" max="6" width="16.109375" customWidth="1"/>
    <col min="7" max="7" width="17.109375" customWidth="1"/>
    <col min="8" max="8" width="9.88671875" customWidth="1"/>
    <col min="9" max="9" width="13.109375" customWidth="1"/>
    <col min="10" max="10" width="11.33203125" customWidth="1"/>
    <col min="11" max="11" width="11.77734375" customWidth="1"/>
    <col min="12" max="12" width="16.6640625" customWidth="1"/>
  </cols>
  <sheetData>
    <row r="1" spans="1:12" ht="24" customHeight="1" x14ac:dyDescent="0.3">
      <c r="A1" s="3" t="s">
        <v>250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12" ht="25.65" customHeight="1" x14ac:dyDescent="0.3">
      <c r="A2" s="2" t="s">
        <v>251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 ht="20.85" customHeight="1" x14ac:dyDescent="0.3">
      <c r="A4" s="18" t="s">
        <v>232</v>
      </c>
      <c r="B4" s="18" t="s">
        <v>227</v>
      </c>
      <c r="C4" s="18" t="s">
        <v>252</v>
      </c>
      <c r="D4" s="18" t="s">
        <v>253</v>
      </c>
      <c r="E4" s="18" t="s">
        <v>254</v>
      </c>
      <c r="F4" s="18" t="s">
        <v>255</v>
      </c>
      <c r="G4" s="18" t="s">
        <v>256</v>
      </c>
      <c r="H4" s="18" t="s">
        <v>257</v>
      </c>
      <c r="I4" s="18" t="s">
        <v>258</v>
      </c>
      <c r="J4" s="18" t="s">
        <v>259</v>
      </c>
      <c r="K4" s="18" t="s">
        <v>260</v>
      </c>
      <c r="L4" s="18" t="s">
        <v>261</v>
      </c>
    </row>
    <row r="5" spans="1:12" x14ac:dyDescent="0.3">
      <c r="A5" s="23"/>
      <c r="B5" s="20"/>
      <c r="C5" s="20"/>
      <c r="D5" s="20"/>
      <c r="E5" s="20"/>
      <c r="F5" s="20"/>
      <c r="G5" s="20" t="str">
        <f t="shared" ref="G5:G24" si="0">IF(OR(F5="",E5=""),"",F5-E5)</f>
        <v/>
      </c>
      <c r="H5" s="20"/>
      <c r="I5" s="20"/>
      <c r="J5" s="20"/>
      <c r="K5" s="20"/>
      <c r="L5" s="20"/>
    </row>
    <row r="6" spans="1:12" x14ac:dyDescent="0.3">
      <c r="A6" s="23"/>
      <c r="B6" s="20"/>
      <c r="C6" s="20"/>
      <c r="D6" s="20"/>
      <c r="E6" s="20"/>
      <c r="F6" s="20"/>
      <c r="G6" s="20" t="str">
        <f t="shared" si="0"/>
        <v/>
      </c>
      <c r="H6" s="20"/>
      <c r="I6" s="20"/>
      <c r="J6" s="20"/>
      <c r="K6" s="20"/>
      <c r="L6" s="20"/>
    </row>
    <row r="7" spans="1:12" x14ac:dyDescent="0.3">
      <c r="A7" s="23"/>
      <c r="B7" s="20"/>
      <c r="C7" s="20"/>
      <c r="D7" s="20"/>
      <c r="E7" s="20"/>
      <c r="F7" s="20"/>
      <c r="G7" s="20" t="str">
        <f t="shared" si="0"/>
        <v/>
      </c>
      <c r="H7" s="20"/>
      <c r="I7" s="20"/>
      <c r="J7" s="20"/>
      <c r="K7" s="20"/>
      <c r="L7" s="20"/>
    </row>
    <row r="8" spans="1:12" x14ac:dyDescent="0.3">
      <c r="A8" s="23"/>
      <c r="B8" s="20"/>
      <c r="C8" s="20"/>
      <c r="D8" s="20"/>
      <c r="E8" s="20"/>
      <c r="F8" s="20"/>
      <c r="G8" s="20" t="str">
        <f t="shared" si="0"/>
        <v/>
      </c>
      <c r="H8" s="20"/>
      <c r="I8" s="20"/>
      <c r="J8" s="20"/>
      <c r="K8" s="20"/>
      <c r="L8" s="20"/>
    </row>
    <row r="9" spans="1:12" x14ac:dyDescent="0.3">
      <c r="A9" s="23"/>
      <c r="B9" s="20"/>
      <c r="C9" s="20"/>
      <c r="D9" s="20"/>
      <c r="E9" s="20"/>
      <c r="F9" s="20"/>
      <c r="G9" s="20" t="str">
        <f t="shared" si="0"/>
        <v/>
      </c>
      <c r="H9" s="20"/>
      <c r="I9" s="20"/>
      <c r="J9" s="20"/>
      <c r="K9" s="20"/>
      <c r="L9" s="20"/>
    </row>
    <row r="10" spans="1:12" x14ac:dyDescent="0.3">
      <c r="A10" s="23"/>
      <c r="B10" s="20"/>
      <c r="C10" s="20"/>
      <c r="D10" s="20"/>
      <c r="E10" s="20"/>
      <c r="F10" s="20"/>
      <c r="G10" s="20" t="str">
        <f t="shared" si="0"/>
        <v/>
      </c>
      <c r="H10" s="20"/>
      <c r="I10" s="20"/>
      <c r="J10" s="20"/>
      <c r="K10" s="20"/>
      <c r="L10" s="20"/>
    </row>
    <row r="11" spans="1:12" x14ac:dyDescent="0.3">
      <c r="A11" s="23"/>
      <c r="B11" s="20"/>
      <c r="C11" s="20"/>
      <c r="D11" s="20"/>
      <c r="E11" s="20"/>
      <c r="F11" s="20"/>
      <c r="G11" s="20" t="str">
        <f t="shared" si="0"/>
        <v/>
      </c>
      <c r="H11" s="20"/>
      <c r="I11" s="20"/>
      <c r="J11" s="20"/>
      <c r="K11" s="20"/>
      <c r="L11" s="20"/>
    </row>
    <row r="12" spans="1:12" x14ac:dyDescent="0.3">
      <c r="A12" s="23"/>
      <c r="B12" s="20"/>
      <c r="C12" s="20"/>
      <c r="D12" s="20"/>
      <c r="E12" s="20"/>
      <c r="F12" s="20"/>
      <c r="G12" s="20" t="str">
        <f t="shared" si="0"/>
        <v/>
      </c>
      <c r="H12" s="20"/>
      <c r="I12" s="20"/>
      <c r="J12" s="20"/>
      <c r="K12" s="20"/>
      <c r="L12" s="20"/>
    </row>
    <row r="13" spans="1:12" x14ac:dyDescent="0.3">
      <c r="A13" s="23"/>
      <c r="B13" s="20"/>
      <c r="C13" s="20"/>
      <c r="D13" s="20"/>
      <c r="E13" s="20"/>
      <c r="F13" s="20"/>
      <c r="G13" s="20" t="str">
        <f t="shared" si="0"/>
        <v/>
      </c>
      <c r="H13" s="20"/>
      <c r="I13" s="20"/>
      <c r="J13" s="20"/>
      <c r="K13" s="20"/>
      <c r="L13" s="20"/>
    </row>
    <row r="14" spans="1:12" x14ac:dyDescent="0.3">
      <c r="A14" s="23"/>
      <c r="B14" s="20"/>
      <c r="C14" s="20"/>
      <c r="D14" s="20"/>
      <c r="E14" s="20"/>
      <c r="F14" s="20"/>
      <c r="G14" s="20" t="str">
        <f t="shared" si="0"/>
        <v/>
      </c>
      <c r="H14" s="20"/>
      <c r="I14" s="20"/>
      <c r="J14" s="20"/>
      <c r="K14" s="20"/>
      <c r="L14" s="20"/>
    </row>
    <row r="15" spans="1:12" x14ac:dyDescent="0.3">
      <c r="A15" s="23"/>
      <c r="B15" s="20"/>
      <c r="C15" s="20"/>
      <c r="D15" s="20"/>
      <c r="E15" s="20"/>
      <c r="F15" s="20"/>
      <c r="G15" s="20" t="str">
        <f t="shared" si="0"/>
        <v/>
      </c>
      <c r="H15" s="20"/>
      <c r="I15" s="20"/>
      <c r="J15" s="20"/>
      <c r="K15" s="20"/>
      <c r="L15" s="20"/>
    </row>
    <row r="16" spans="1:12" x14ac:dyDescent="0.3">
      <c r="A16" s="23"/>
      <c r="B16" s="20"/>
      <c r="C16" s="20"/>
      <c r="D16" s="20"/>
      <c r="E16" s="20"/>
      <c r="F16" s="20"/>
      <c r="G16" s="20" t="str">
        <f t="shared" si="0"/>
        <v/>
      </c>
      <c r="H16" s="20"/>
      <c r="I16" s="20"/>
      <c r="J16" s="20"/>
      <c r="K16" s="20"/>
      <c r="L16" s="20"/>
    </row>
    <row r="17" spans="1:12" x14ac:dyDescent="0.3">
      <c r="A17" s="23"/>
      <c r="B17" s="20"/>
      <c r="C17" s="20"/>
      <c r="D17" s="20"/>
      <c r="E17" s="20"/>
      <c r="F17" s="20"/>
      <c r="G17" s="20" t="str">
        <f t="shared" si="0"/>
        <v/>
      </c>
      <c r="H17" s="20"/>
      <c r="I17" s="20"/>
      <c r="J17" s="20"/>
      <c r="K17" s="20"/>
      <c r="L17" s="20"/>
    </row>
    <row r="18" spans="1:12" x14ac:dyDescent="0.3">
      <c r="A18" s="23"/>
      <c r="B18" s="20"/>
      <c r="C18" s="20"/>
      <c r="D18" s="20"/>
      <c r="E18" s="20"/>
      <c r="F18" s="20"/>
      <c r="G18" s="20" t="str">
        <f t="shared" si="0"/>
        <v/>
      </c>
      <c r="H18" s="20"/>
      <c r="I18" s="20"/>
      <c r="J18" s="20"/>
      <c r="K18" s="20"/>
      <c r="L18" s="20"/>
    </row>
    <row r="19" spans="1:12" x14ac:dyDescent="0.3">
      <c r="A19" s="23"/>
      <c r="B19" s="20"/>
      <c r="C19" s="20"/>
      <c r="D19" s="20"/>
      <c r="E19" s="20"/>
      <c r="F19" s="20"/>
      <c r="G19" s="20" t="str">
        <f t="shared" si="0"/>
        <v/>
      </c>
      <c r="H19" s="20"/>
      <c r="I19" s="20"/>
      <c r="J19" s="20"/>
      <c r="K19" s="20"/>
      <c r="L19" s="20"/>
    </row>
    <row r="20" spans="1:12" x14ac:dyDescent="0.3">
      <c r="A20" s="23"/>
      <c r="B20" s="20"/>
      <c r="C20" s="20"/>
      <c r="D20" s="20"/>
      <c r="E20" s="20"/>
      <c r="F20" s="20"/>
      <c r="G20" s="20" t="str">
        <f t="shared" si="0"/>
        <v/>
      </c>
      <c r="H20" s="20"/>
      <c r="I20" s="20"/>
      <c r="J20" s="20"/>
      <c r="K20" s="20"/>
      <c r="L20" s="20"/>
    </row>
    <row r="21" spans="1:12" x14ac:dyDescent="0.3">
      <c r="A21" s="23"/>
      <c r="B21" s="20"/>
      <c r="C21" s="20"/>
      <c r="D21" s="20"/>
      <c r="E21" s="20"/>
      <c r="F21" s="20"/>
      <c r="G21" s="20" t="str">
        <f t="shared" si="0"/>
        <v/>
      </c>
      <c r="H21" s="20"/>
      <c r="I21" s="20"/>
      <c r="J21" s="20"/>
      <c r="K21" s="20"/>
      <c r="L21" s="20"/>
    </row>
    <row r="22" spans="1:12" x14ac:dyDescent="0.3">
      <c r="A22" s="23"/>
      <c r="B22" s="20"/>
      <c r="C22" s="20"/>
      <c r="D22" s="20"/>
      <c r="E22" s="20"/>
      <c r="F22" s="20"/>
      <c r="G22" s="20" t="str">
        <f t="shared" si="0"/>
        <v/>
      </c>
      <c r="H22" s="20"/>
      <c r="I22" s="20"/>
      <c r="J22" s="20"/>
      <c r="K22" s="20"/>
      <c r="L22" s="20"/>
    </row>
    <row r="23" spans="1:12" x14ac:dyDescent="0.3">
      <c r="A23" s="23"/>
      <c r="B23" s="20"/>
      <c r="C23" s="20"/>
      <c r="D23" s="20"/>
      <c r="E23" s="20"/>
      <c r="F23" s="20"/>
      <c r="G23" s="20" t="str">
        <f t="shared" si="0"/>
        <v/>
      </c>
      <c r="H23" s="20"/>
      <c r="I23" s="20"/>
      <c r="J23" s="20"/>
      <c r="K23" s="20"/>
      <c r="L23" s="20"/>
    </row>
    <row r="24" spans="1:12" x14ac:dyDescent="0.3">
      <c r="A24" s="23"/>
      <c r="B24" s="20"/>
      <c r="C24" s="20"/>
      <c r="D24" s="20"/>
      <c r="E24" s="20"/>
      <c r="F24" s="20"/>
      <c r="G24" s="20" t="str">
        <f t="shared" si="0"/>
        <v/>
      </c>
      <c r="H24" s="20"/>
      <c r="I24" s="20"/>
      <c r="J24" s="20"/>
      <c r="K24" s="20"/>
      <c r="L24" s="20"/>
    </row>
  </sheetData>
  <mergeCells count="2">
    <mergeCell ref="A1:L1"/>
    <mergeCell ref="A2:L2"/>
  </mergeCells>
  <dataValidations count="1">
    <dataValidation type="list" sqref="L5:L24" xr:uid="{00000000-0002-0000-0500-000000000000}">
      <formula1>"Good,Monitor,Action Required,Cavitation Suspected,Stop Pump"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4"/>
  <sheetViews>
    <sheetView workbookViewId="0"/>
  </sheetViews>
  <sheetFormatPr defaultRowHeight="14.4" x14ac:dyDescent="0.3"/>
  <cols>
    <col min="1" max="1" width="12" customWidth="1"/>
    <col min="2" max="2" width="15" customWidth="1"/>
    <col min="3" max="3" width="16" customWidth="1"/>
    <col min="4" max="4" width="22" customWidth="1"/>
    <col min="5" max="5" width="11.88671875" customWidth="1"/>
    <col min="6" max="7" width="13" customWidth="1"/>
    <col min="8" max="8" width="14.109375" customWidth="1"/>
    <col min="9" max="9" width="13" customWidth="1"/>
    <col min="10" max="10" width="15.44140625" customWidth="1"/>
    <col min="11" max="11" width="12.6640625" customWidth="1"/>
    <col min="12" max="12" width="14.109375" customWidth="1"/>
    <col min="13" max="13" width="10.21875" customWidth="1"/>
  </cols>
  <sheetData>
    <row r="1" spans="1:14" ht="24" customHeight="1" x14ac:dyDescent="0.3">
      <c r="A1" s="3" t="s">
        <v>262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 ht="25.65" customHeight="1" x14ac:dyDescent="0.3">
      <c r="A2" s="2" t="s">
        <v>263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 ht="20.85" customHeight="1" x14ac:dyDescent="0.3">
      <c r="A4" s="18" t="s">
        <v>232</v>
      </c>
      <c r="B4" s="18" t="s">
        <v>264</v>
      </c>
      <c r="C4" s="18" t="s">
        <v>265</v>
      </c>
      <c r="D4" s="18" t="s">
        <v>266</v>
      </c>
      <c r="E4" s="18" t="s">
        <v>267</v>
      </c>
      <c r="F4" s="18" t="s">
        <v>268</v>
      </c>
      <c r="G4" s="18" t="s">
        <v>269</v>
      </c>
      <c r="H4" s="18" t="s">
        <v>270</v>
      </c>
      <c r="I4" s="18" t="s">
        <v>271</v>
      </c>
      <c r="J4" s="18" t="s">
        <v>272</v>
      </c>
      <c r="K4" s="18" t="s">
        <v>138</v>
      </c>
      <c r="L4" s="18" t="s">
        <v>14</v>
      </c>
      <c r="M4" s="18" t="s">
        <v>273</v>
      </c>
    </row>
    <row r="5" spans="1:14" x14ac:dyDescent="0.3">
      <c r="A5" s="23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</row>
    <row r="6" spans="1:14" x14ac:dyDescent="0.3">
      <c r="A6" s="23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</row>
    <row r="7" spans="1:14" x14ac:dyDescent="0.3">
      <c r="A7" s="23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</row>
    <row r="8" spans="1:14" x14ac:dyDescent="0.3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</row>
    <row r="9" spans="1:14" x14ac:dyDescent="0.3">
      <c r="A9" s="23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spans="1:14" x14ac:dyDescent="0.3">
      <c r="A10" s="23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spans="1:14" x14ac:dyDescent="0.3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spans="1:14" x14ac:dyDescent="0.3">
      <c r="A12" s="23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spans="1:14" x14ac:dyDescent="0.3">
      <c r="A13" s="23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spans="1:14" x14ac:dyDescent="0.3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spans="1:14" x14ac:dyDescent="0.3">
      <c r="A15" s="23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</row>
    <row r="16" spans="1:14" x14ac:dyDescent="0.3">
      <c r="A16" s="23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</row>
    <row r="17" spans="1:13" x14ac:dyDescent="0.3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</row>
    <row r="18" spans="1:13" x14ac:dyDescent="0.3">
      <c r="A18" s="23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</row>
    <row r="19" spans="1:13" x14ac:dyDescent="0.3">
      <c r="A19" s="23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</row>
    <row r="20" spans="1:13" x14ac:dyDescent="0.3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spans="1:13" x14ac:dyDescent="0.3">
      <c r="A21" s="23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spans="1:13" x14ac:dyDescent="0.3">
      <c r="A22" s="23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spans="1:13" x14ac:dyDescent="0.3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spans="1:13" x14ac:dyDescent="0.3">
      <c r="A24" s="23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</sheetData>
  <mergeCells count="2">
    <mergeCell ref="A1:N1"/>
    <mergeCell ref="A2:N2"/>
  </mergeCells>
  <dataValidations count="1">
    <dataValidation type="list" sqref="K5:K24" xr:uid="{00000000-0002-0000-0600-000000000000}">
      <formula1>"Good,Monitor,Action Required,Stop Equipment"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9"/>
  <sheetViews>
    <sheetView workbookViewId="0"/>
  </sheetViews>
  <sheetFormatPr defaultRowHeight="14.4" x14ac:dyDescent="0.3"/>
  <cols>
    <col min="1" max="1" width="21" customWidth="1"/>
    <col min="2" max="2" width="46.88671875" customWidth="1"/>
    <col min="3" max="3" width="45.88671875" customWidth="1"/>
  </cols>
  <sheetData>
    <row r="1" spans="1:6" ht="24" customHeight="1" x14ac:dyDescent="0.3">
      <c r="A1" s="3" t="s">
        <v>274</v>
      </c>
      <c r="B1" s="3"/>
      <c r="C1" s="3"/>
      <c r="D1" s="3"/>
      <c r="E1" s="3"/>
      <c r="F1" s="3"/>
    </row>
    <row r="2" spans="1:6" ht="25.65" customHeight="1" x14ac:dyDescent="0.3">
      <c r="A2" s="2" t="s">
        <v>275</v>
      </c>
      <c r="B2" s="2"/>
      <c r="C2" s="2"/>
      <c r="D2" s="2"/>
      <c r="E2" s="2"/>
      <c r="F2" s="2"/>
    </row>
    <row r="4" spans="1:6" ht="20.85" customHeight="1" x14ac:dyDescent="0.3">
      <c r="A4" s="18" t="s">
        <v>276</v>
      </c>
      <c r="B4" s="18" t="s">
        <v>277</v>
      </c>
      <c r="C4" s="18" t="s">
        <v>278</v>
      </c>
    </row>
    <row r="5" spans="1:6" ht="28.8" x14ac:dyDescent="0.3">
      <c r="A5" s="20" t="s">
        <v>279</v>
      </c>
      <c r="B5" s="20" t="s">
        <v>280</v>
      </c>
      <c r="C5" s="20" t="s">
        <v>281</v>
      </c>
    </row>
    <row r="6" spans="1:6" ht="28.8" x14ac:dyDescent="0.3">
      <c r="A6" s="20" t="s">
        <v>282</v>
      </c>
      <c r="B6" s="20" t="s">
        <v>283</v>
      </c>
      <c r="C6" s="20" t="s">
        <v>284</v>
      </c>
    </row>
    <row r="7" spans="1:6" ht="28.8" x14ac:dyDescent="0.3">
      <c r="A7" s="20" t="s">
        <v>285</v>
      </c>
      <c r="B7" s="20" t="s">
        <v>286</v>
      </c>
      <c r="C7" s="20" t="s">
        <v>287</v>
      </c>
    </row>
    <row r="8" spans="1:6" ht="28.8" x14ac:dyDescent="0.3">
      <c r="A8" s="20" t="s">
        <v>288</v>
      </c>
      <c r="B8" s="20" t="s">
        <v>289</v>
      </c>
      <c r="C8" s="20" t="s">
        <v>290</v>
      </c>
    </row>
    <row r="9" spans="1:6" ht="28.8" x14ac:dyDescent="0.3">
      <c r="A9" s="20" t="s">
        <v>291</v>
      </c>
      <c r="B9" s="20" t="s">
        <v>292</v>
      </c>
      <c r="C9" s="20" t="s">
        <v>293</v>
      </c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8"/>
  <sheetViews>
    <sheetView workbookViewId="0"/>
  </sheetViews>
  <sheetFormatPr defaultRowHeight="14.4" x14ac:dyDescent="0.3"/>
  <cols>
    <col min="1" max="1" width="28" customWidth="1"/>
    <col min="2" max="2" width="18" customWidth="1"/>
    <col min="3" max="3" width="60" customWidth="1"/>
    <col min="4" max="10" width="12" customWidth="1"/>
  </cols>
  <sheetData>
    <row r="1" spans="1:10" ht="24" customHeight="1" x14ac:dyDescent="0.3">
      <c r="A1" s="3" t="s">
        <v>294</v>
      </c>
      <c r="B1" s="3"/>
      <c r="C1" s="3"/>
      <c r="D1" s="3"/>
      <c r="E1" s="3"/>
      <c r="F1" s="3"/>
      <c r="G1" s="3"/>
      <c r="H1" s="3"/>
      <c r="I1" s="3"/>
      <c r="J1" s="3"/>
    </row>
    <row r="2" spans="1:10" ht="25.65" customHeight="1" x14ac:dyDescent="0.3">
      <c r="A2" s="2" t="s">
        <v>295</v>
      </c>
      <c r="B2" s="2"/>
      <c r="C2" s="2"/>
      <c r="D2" s="2"/>
      <c r="E2" s="2"/>
      <c r="F2" s="2"/>
      <c r="G2" s="2"/>
      <c r="H2" s="2"/>
      <c r="I2" s="2"/>
      <c r="J2" s="2"/>
    </row>
    <row r="4" spans="1:10" x14ac:dyDescent="0.3">
      <c r="A4" s="26" t="s">
        <v>296</v>
      </c>
      <c r="B4" s="26" t="s">
        <v>297</v>
      </c>
      <c r="C4" s="26" t="s">
        <v>298</v>
      </c>
    </row>
    <row r="5" spans="1:10" x14ac:dyDescent="0.3">
      <c r="A5" s="27" t="s">
        <v>299</v>
      </c>
      <c r="B5" s="19">
        <f>COUNT('🔧 Pump Inspection'!B:B)</f>
        <v>0</v>
      </c>
      <c r="C5" s="19" t="s">
        <v>300</v>
      </c>
    </row>
    <row r="6" spans="1:10" x14ac:dyDescent="0.3">
      <c r="A6" s="27" t="s">
        <v>301</v>
      </c>
      <c r="B6" s="19">
        <f>COUNTIF('🔧 Pump Inspection'!E:E,"✓")+COUNTIF('🔧 Pump Inspection'!E:E,"Pass")</f>
        <v>0</v>
      </c>
      <c r="C6" s="19" t="s">
        <v>302</v>
      </c>
    </row>
    <row r="7" spans="1:10" x14ac:dyDescent="0.3">
      <c r="A7" s="27" t="s">
        <v>303</v>
      </c>
      <c r="B7" s="19">
        <f>COUNTIF('🔧 Pump Inspection'!E:E,"✗")+COUNTIF('🔧 Pump Inspection'!E:E,"Fail")</f>
        <v>0</v>
      </c>
      <c r="C7" s="19" t="s">
        <v>304</v>
      </c>
    </row>
    <row r="8" spans="1:10" x14ac:dyDescent="0.3">
      <c r="A8" s="27" t="s">
        <v>305</v>
      </c>
      <c r="B8" s="19">
        <f>COUNTIF('🔧 Pump Inspection'!E:E,"N/A")</f>
        <v>0</v>
      </c>
      <c r="C8" s="19" t="s">
        <v>306</v>
      </c>
    </row>
    <row r="9" spans="1:10" x14ac:dyDescent="0.3">
      <c r="A9" s="27" t="s">
        <v>307</v>
      </c>
      <c r="B9" s="28">
        <f>IFERROR(B6/(B5-B8),0)</f>
        <v>0</v>
      </c>
      <c r="C9" s="19" t="s">
        <v>308</v>
      </c>
    </row>
    <row r="10" spans="1:10" x14ac:dyDescent="0.3">
      <c r="A10" s="27" t="s">
        <v>309</v>
      </c>
      <c r="B10" s="19">
        <f>MAX(0,COUNTA('🔧 Pump Inspection'!H:H)-1)</f>
        <v>1</v>
      </c>
      <c r="C10" s="19" t="s">
        <v>310</v>
      </c>
    </row>
    <row r="11" spans="1:10" x14ac:dyDescent="0.3">
      <c r="A11" s="27" t="s">
        <v>311</v>
      </c>
      <c r="B11" s="19">
        <f>COUNTIFS('Action Tracker'!H:H,"&lt;&gt;Complete",'Action Tracker'!H:H,"&lt;&gt;Verified",'Action Tracker'!A:A,"&lt;&gt;")</f>
        <v>3</v>
      </c>
      <c r="C11" s="19" t="s">
        <v>312</v>
      </c>
    </row>
    <row r="12" spans="1:10" x14ac:dyDescent="0.3">
      <c r="A12" s="27" t="s">
        <v>313</v>
      </c>
      <c r="B12" s="19">
        <f ca="1">COUNTIFS('Action Tracker'!G:G,"&lt;"&amp;TODAY(),'Action Tracker'!H:H,"&lt;&gt;Complete",'Action Tracker'!H:H,"&lt;&gt;Verified",'Action Tracker'!A:A,"&lt;&gt;")</f>
        <v>0</v>
      </c>
      <c r="C12" s="19" t="s">
        <v>314</v>
      </c>
    </row>
    <row r="13" spans="1:10" x14ac:dyDescent="0.3">
      <c r="A13" s="27" t="s">
        <v>315</v>
      </c>
      <c r="B13" s="19" t="str">
        <f>IF(B11&gt;0,"OVERDUE ACTIONS",IF(B7&gt;0,"DEFECTS FOUND","ACCEPTABLE"))</f>
        <v>OVERDUE ACTIONS</v>
      </c>
      <c r="C13" s="19" t="s">
        <v>316</v>
      </c>
    </row>
    <row r="15" spans="1:10" x14ac:dyDescent="0.3">
      <c r="A15" s="21" t="s">
        <v>317</v>
      </c>
      <c r="B15" s="21"/>
      <c r="C15" s="21"/>
      <c r="D15" s="21"/>
      <c r="E15" s="21"/>
      <c r="F15" s="21"/>
      <c r="G15" s="21"/>
      <c r="H15" s="21"/>
      <c r="I15" s="21"/>
      <c r="J15" s="21"/>
    </row>
    <row r="16" spans="1:10" x14ac:dyDescent="0.3">
      <c r="A16" s="1" t="s">
        <v>318</v>
      </c>
      <c r="B16" s="1"/>
      <c r="C16" s="1"/>
      <c r="D16" s="1"/>
      <c r="E16" s="1"/>
      <c r="F16" s="1"/>
      <c r="G16" s="1"/>
      <c r="H16" s="1"/>
      <c r="I16" s="1"/>
      <c r="J16" s="1"/>
    </row>
    <row r="17" spans="1:10" x14ac:dyDescent="0.3">
      <c r="A17" s="1" t="s">
        <v>319</v>
      </c>
      <c r="B17" s="1"/>
      <c r="C17" s="1"/>
      <c r="D17" s="1"/>
      <c r="E17" s="1"/>
      <c r="F17" s="1"/>
      <c r="G17" s="1"/>
      <c r="H17" s="1"/>
      <c r="I17" s="1"/>
      <c r="J17" s="1"/>
    </row>
    <row r="18" spans="1:10" x14ac:dyDescent="0.3">
      <c r="A18" s="1" t="s">
        <v>320</v>
      </c>
      <c r="B18" s="1"/>
      <c r="C18" s="1"/>
      <c r="D18" s="1"/>
      <c r="E18" s="1"/>
      <c r="F18" s="1"/>
      <c r="G18" s="1"/>
      <c r="H18" s="1"/>
      <c r="I18" s="1"/>
      <c r="J18" s="1"/>
    </row>
  </sheetData>
  <mergeCells count="5">
    <mergeCell ref="A1:J1"/>
    <mergeCell ref="A2:J2"/>
    <mergeCell ref="A16:J16"/>
    <mergeCell ref="A17:J17"/>
    <mergeCell ref="A18:J18"/>
  </mergeCells>
  <conditionalFormatting sqref="B5:B13">
    <cfRule type="dataBar" priority="1">
      <dataBar>
        <cfvo type="min"/>
        <cfvo type="max"/>
        <color rgb="FF0F766E"/>
      </dataBar>
    </cfRule>
    <cfRule type="dataBar" priority="2">
      <dataBar>
        <cfvo type="min"/>
        <cfvo type="max"/>
        <color rgb="FF0F766E"/>
      </dataBar>
      <extLst>
        <ext xmlns:x14="http://schemas.microsoft.com/office/spreadsheetml/2009/9/main" uri="{B025F937-C7B1-47D3-B67F-A62EFF666E3E}">
          <x14:id>{3A9C94E0-DF88-93AB-A54B-1C8F81E7365A}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A9C94E0-DF88-93AB-A54B-1C8F81E7365A}">
            <x14:dataBar>
              <x14:cfvo type="min"/>
              <x14:cfvo type="max"/>
              <x14:negativeFillColor auto="1"/>
              <x14:axisColor auto="1"/>
            </x14:dataBar>
          </x14:cfRule>
          <xm:sqref>B5:B13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🔧 Pump Inspection</vt:lpstr>
      <vt:lpstr>Premium Guide</vt:lpstr>
      <vt:lpstr>Lists</vt:lpstr>
      <vt:lpstr>Action Tracker</vt:lpstr>
      <vt:lpstr>Defect Photo Log</vt:lpstr>
      <vt:lpstr>Pump Performance</vt:lpstr>
      <vt:lpstr>Condition Trend Log</vt:lpstr>
      <vt:lpstr>Cavitation &amp; Seal Checks</vt:lpstr>
      <vt:lpstr>Premium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2 11</dc:creator>
  <cp:lastModifiedBy>2 11</cp:lastModifiedBy>
  <dcterms:created xsi:type="dcterms:W3CDTF">2026-06-26T00:59:42Z</dcterms:created>
  <dcterms:modified xsi:type="dcterms:W3CDTF">2026-06-26T00:59:46Z</dcterms:modified>
</cp:coreProperties>
</file>