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d7847a0c1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🔧 Pump Inspection" sheetId="1" r:id="R87a1abdd38344a84"/>
    <x:sheet xmlns:r="http://schemas.openxmlformats.org/officeDocument/2006/relationships" name="Premium Guide" sheetId="2" r:id="R23d5efee0ebc4f9e"/>
    <x:sheet xmlns:r="http://schemas.openxmlformats.org/officeDocument/2006/relationships" name="Lists" sheetId="3" r:id="R413591180c834ba1"/>
    <x:sheet xmlns:r="http://schemas.openxmlformats.org/officeDocument/2006/relationships" name="Action Tracker" sheetId="4" r:id="R58814c3c468e462c"/>
    <x:sheet xmlns:r="http://schemas.openxmlformats.org/officeDocument/2006/relationships" name="Defect Photo Log" sheetId="5" r:id="Ra97637fe932a4a92"/>
    <x:sheet xmlns:r="http://schemas.openxmlformats.org/officeDocument/2006/relationships" name="Pump Performance" sheetId="6" r:id="Re9529002c7164cc0"/>
    <x:sheet xmlns:r="http://schemas.openxmlformats.org/officeDocument/2006/relationships" name="Condition Trend Log" sheetId="7" r:id="Rc57ce104798b4558"/>
    <x:sheet xmlns:r="http://schemas.openxmlformats.org/officeDocument/2006/relationships" name="Cavitation &amp; Seal Checks" sheetId="8" r:id="Ra5c53c8066624774"/>
    <x:sheet xmlns:r="http://schemas.openxmlformats.org/officeDocument/2006/relationships" name="Premium Dashboard" sheetId="9" r:id="R17948442c8d04728"/>
  </x:sheets>
</x:workbook>
</file>

<file path=xl/sharedStrings.xml><?xml version="1.0" encoding="utf-8"?>
<x:sst xmlns:x="http://schemas.openxmlformats.org/spreadsheetml/2006/main">
  <x:si>
    <x:t xml:space="preserve">PUMP INSPECTION CHECKLIST</x:t>
  </x:si>
  <x:si>
    <x:t xml:space="preserve">► ✓ = Satisfactory  ✗ = Unsatisfactory — Action required  N/A = Not applicable</x:t>
  </x:si>
  <x:si>
    <x:t xml:space="preserve">Equipment Tag:</x:t>
  </x:si>
  <x:si>
    <x:t xml:space="preserve">Pump Name / Description:</x:t>
  </x:si>
  <x:si>
    <x:t xml:space="preserve">Date of Inspection:</x:t>
  </x:si>
  <x:si>
    <x:t xml:space="preserve">Inspector:</x:t>
  </x:si>
  <x:si>
    <x:t xml:space="preserve">Service (Fluid handled):</x:t>
  </x:si>
  <x:si>
    <x:t xml:space="preserve">Work Order #:</x:t>
  </x:si>
  <x:si>
    <x:t xml:space="preserve">#</x:t>
  </x:si>
  <x:si>
    <x:t xml:space="preserve">Inspection Item</x:t>
  </x:si>
  <x:si>
    <x:t xml:space="preserve">Specification / Limit</x:t>
  </x:si>
  <x:si>
    <x:t xml:space="preserve">✓/✗/N/A</x:t>
  </x:si>
  <x:si>
    <x:t xml:space="preserve">Reading</x:t>
  </x:si>
  <x:si>
    <x:t xml:space="preserve">Acceptable?</x:t>
  </x:si>
  <x:si>
    <x:t xml:space="preserve">Action Required</x:t>
  </x:si>
  <x:si>
    <x:t xml:space="preserve">Tech</x:t>
  </x:si>
  <x:si>
    <x:t xml:space="preserve">  MECHANICAL — GENERAL</x:t>
  </x:si>
  <x:si>
    <x:t xml:space="preserve">1</x:t>
  </x:si>
  <x:si>
    <x:t xml:space="preserve">Check for visible leaks (gland, seal, casing joints)</x:t>
  </x:si>
  <x:si>
    <x:t xml:space="preserve">No visible leakage</x:t>
  </x:si>
  <x:si>
    <x:t xml:space="preserve">2</x:t>
  </x:si>
  <x:si>
    <x:t xml:space="preserve">Inspect paint / coating condition</x:t>
  </x:si>
  <x:si>
    <x:t xml:space="preserve">No corrosion / blistering</x:t>
  </x:si>
  <x:si>
    <x:t xml:space="preserve">3</x:t>
  </x:si>
  <x:si>
    <x:t xml:space="preserve">Check foundation bolts — tight</x:t>
  </x:si>
  <x:si>
    <x:t xml:space="preserve">All bolts torqued</x:t>
  </x:si>
  <x:si>
    <x:t xml:space="preserve">4</x:t>
  </x:si>
  <x:si>
    <x:t xml:space="preserve">Check grout condition</x:t>
  </x:si>
  <x:si>
    <x:t xml:space="preserve">No cracking / settling</x:t>
  </x:si>
  <x:si>
    <x:t xml:space="preserve">5</x:t>
  </x:si>
  <x:si>
    <x:t xml:space="preserve">Inspect mounting feet — level</x:t>
  </x:si>
  <x:si>
    <x:t xml:space="preserve">Shim pack intact</x:t>
  </x:si>
  <x:si>
    <x:t xml:space="preserve">  BEARINGS &amp; LUBRICATION</x:t>
  </x:si>
  <x:si>
    <x:t xml:space="preserve">6</x:t>
  </x:si>
  <x:si>
    <x:t xml:space="preserve">Check bearing housing oil level</x:t>
  </x:si>
  <x:si>
    <x:t xml:space="preserve">Within sight glass marks</x:t>
  </x:si>
  <x:si>
    <x:t xml:space="preserve">7</x:t>
  </x:si>
  <x:si>
    <x:t xml:space="preserve">Check bearing temperature</x:t>
  </x:si>
  <x:si>
    <x:t xml:space="preserve">≤ 80°C (infrared)</x:t>
  </x:si>
  <x:si>
    <x:t xml:space="preserve">8</x:t>
  </x:si>
  <x:si>
    <x:t xml:space="preserve">Measure bearing vibration — DE</x:t>
  </x:si>
  <x:si>
    <x:t xml:space="preserve">≤ 4.5 mm/s RMS (ISO 10816)</x:t>
  </x:si>
  <x:si>
    <x:t xml:space="preserve">9</x:t>
  </x:si>
  <x:si>
    <x:t xml:space="preserve">Measure bearing vibration — NDE</x:t>
  </x:si>
  <x:si>
    <x:t xml:space="preserve">≤ 4.5 mm/s RMS</x:t>
  </x:si>
  <x:si>
    <x:t xml:space="preserve">10</x:t>
  </x:si>
  <x:si>
    <x:t xml:space="preserve">Check grease nipple condition / grease fresh</x:t>
  </x:si>
  <x:si>
    <x:t xml:space="preserve">As per lube schedule</x:t>
  </x:si>
  <x:si>
    <x:t xml:space="preserve">11</x:t>
  </x:si>
  <x:si>
    <x:t xml:space="preserve">Listen for abnormal bearing noise</x:t>
  </x:si>
  <x:si>
    <x:t xml:space="preserve">No grinding/clicking</x:t>
  </x:si>
  <x:si>
    <x:t xml:space="preserve">  MECHANICAL SEAL / GLAND PACKING</x:t>
  </x:si>
  <x:si>
    <x:t xml:space="preserve">12</x:t>
  </x:si>
  <x:si>
    <x:t xml:space="preserve">Inspect seal flush line — flowing</x:t>
  </x:si>
  <x:si>
    <x:t xml:space="preserve">Flow confirmed</x:t>
  </x:si>
  <x:si>
    <x:t xml:space="preserve">13</x:t>
  </x:si>
  <x:si>
    <x:t xml:space="preserve">Check seal face leakage (mech. seal)</x:t>
  </x:si>
  <x:si>
    <x:t xml:space="preserve">&lt; 1 drop / min</x:t>
  </x:si>
  <x:si>
    <x:t xml:space="preserve">14</x:t>
  </x:si>
  <x:si>
    <x:t xml:space="preserve">Check gland packing drip rate (if packed)</x:t>
  </x:si>
  <x:si>
    <x:t xml:space="preserve">3–5 drops / min</x:t>
  </x:si>
  <x:si>
    <x:t xml:space="preserve">15</x:t>
  </x:si>
  <x:si>
    <x:t xml:space="preserve">Inspect seal pot level (double seals)</x:t>
  </x:si>
  <x:si>
    <x:t xml:space="preserve">Above minimum</x:t>
  </x:si>
  <x:si>
    <x:t xml:space="preserve">16</x:t>
  </x:si>
  <x:si>
    <x:t xml:space="preserve">Check buffer fluid pressure (double seals)</x:t>
  </x:si>
  <x:si>
    <x:t xml:space="preserve">Per spec</x:t>
  </x:si>
  <x:si>
    <x:t xml:space="preserve">  IMPELLER &amp; CASING</x:t>
  </x:si>
  <x:si>
    <x:t xml:space="preserve">17</x:t>
  </x:si>
  <x:si>
    <x:t xml:space="preserve">Check discharge pressure</x:t>
  </x:si>
  <x:si>
    <x:t xml:space="preserve">Per process P&amp;ID</x:t>
  </x:si>
  <x:si>
    <x:t xml:space="preserve">18</x:t>
  </x:si>
  <x:si>
    <x:t xml:space="preserve">Check suction pressure</x:t>
  </x:si>
  <x:si>
    <x:t xml:space="preserve">19</x:t>
  </x:si>
  <x:si>
    <x:t xml:space="preserve">Calculate differential pressure</x:t>
  </x:si>
  <x:si>
    <x:t xml:space="preserve">ΔP = discharge – suction</x:t>
  </x:si>
  <x:si>
    <x:t xml:space="preserve">20</x:t>
  </x:si>
  <x:si>
    <x:t xml:space="preserve">Check flow rate vs design</x:t>
  </x:si>
  <x:si>
    <x:t xml:space="preserve">Within ±10% of design</x:t>
  </x:si>
  <x:si>
    <x:t xml:space="preserve">21</x:t>
  </x:si>
  <x:si>
    <x:t xml:space="preserve">Listen for cavitation noise</x:t>
  </x:si>
  <x:si>
    <x:t xml:space="preserve">No rattling / crackling</x:t>
  </x:si>
  <x:si>
    <x:t xml:space="preserve">22</x:t>
  </x:si>
  <x:si>
    <x:t xml:space="preserve">Check casing temperature</x:t>
  </x:si>
  <x:si>
    <x:t xml:space="preserve">No unusual hot spots</x:t>
  </x:si>
  <x:si>
    <x:t xml:space="preserve">  COUPLING &amp; ALIGNMENT</x:t>
  </x:si>
  <x:si>
    <x:t xml:space="preserve">23</x:t>
  </x:si>
  <x:si>
    <x:t xml:space="preserve">Inspect coupling guard — in place &amp; secured</x:t>
  </x:si>
  <x:si>
    <x:t xml:space="preserve">Guarding intact</x:t>
  </x:si>
  <x:si>
    <x:t xml:space="preserve">24</x:t>
  </x:si>
  <x:si>
    <x:t xml:space="preserve">Check coupling for wear / cracking</x:t>
  </x:si>
  <x:si>
    <x:t xml:space="preserve">No visible wear</x:t>
  </x:si>
  <x:si>
    <x:t xml:space="preserve">25</x:t>
  </x:si>
  <x:si>
    <x:t xml:space="preserve">Verify alignment within tolerance</x:t>
  </x:si>
  <x:si>
    <x:t xml:space="preserve">≤ 0.05 mm parallel, ≤ 0.05 mm angular</x:t>
  </x:si>
  <x:si>
    <x:t xml:space="preserve">26</x:t>
  </x:si>
  <x:si>
    <x:t xml:space="preserve">Check coupling bolts / fasteners tight</x:t>
  </x:si>
  <x:si>
    <x:t xml:space="preserve">All torqued</x:t>
  </x:si>
  <x:si>
    <x:t xml:space="preserve">  MOTOR</x:t>
  </x:si>
  <x:si>
    <x:t xml:space="preserve">27</x:t>
  </x:si>
  <x:si>
    <x:t xml:space="preserve">Check motor winding temperature</x:t>
  </x:si>
  <x:si>
    <x:t xml:space="preserve">&lt; Insulation class limit</x:t>
  </x:si>
  <x:si>
    <x:t xml:space="preserve">28</x:t>
  </x:si>
  <x:si>
    <x:t xml:space="preserve">Measure motor current (each phase)</x:t>
  </x:si>
  <x:si>
    <x:t xml:space="preserve">Within nameplate FLA ±5%</x:t>
  </x:si>
  <x:si>
    <x:t xml:space="preserve">29</x:t>
  </x:si>
  <x:si>
    <x:t xml:space="preserve">Check motor fan guard intact</x:t>
  </x:si>
  <x:si>
    <x:t xml:space="preserve">Guarding in place</x:t>
  </x:si>
  <x:si>
    <x:t xml:space="preserve">30</x:t>
  </x:si>
  <x:si>
    <x:t xml:space="preserve">Inspect motor terminal box — sealed</x:t>
  </x:si>
  <x:si>
    <x:t xml:space="preserve">No moisture ingress</x:t>
  </x:si>
  <x:si>
    <x:t xml:space="preserve">  PIPEWORK &amp; VALVES</x:t>
  </x:si>
  <x:si>
    <x:t xml:space="preserve">31</x:t>
  </x:si>
  <x:si>
    <x:t xml:space="preserve">Inspect suction / discharge flanges — no leaks</x:t>
  </x:si>
  <x:si>
    <x:t xml:space="preserve">Tight, no seepage</x:t>
  </x:si>
  <x:si>
    <x:t xml:space="preserve">32</x:t>
  </x:si>
  <x:si>
    <x:t xml:space="preserve">Check suction valve — fully open</x:t>
  </x:si>
  <x:si>
    <x:t xml:space="preserve">Open position confirmed</x:t>
  </x:si>
  <x:si>
    <x:t xml:space="preserve">33</x:t>
  </x:si>
  <x:si>
    <x:t xml:space="preserve">Check discharge valve position</x:t>
  </x:si>
  <x:si>
    <x:t xml:space="preserve">Per operating procedure</x:t>
  </x:si>
  <x:si>
    <x:t xml:space="preserve">34</x:t>
  </x:si>
  <x:si>
    <x:t xml:space="preserve">Inspect pressure gauges — readable</x:t>
  </x:si>
  <x:si>
    <x:t xml:space="preserve">Readable, needle in range</x:t>
  </x:si>
  <x:si>
    <x:t xml:space="preserve">35</x:t>
  </x:si>
  <x:si>
    <x:t xml:space="preserve">Check flexible connections — condition</x:t>
  </x:si>
  <x:si>
    <x:t xml:space="preserve">No cracking / swelling</x:t>
  </x:si>
  <x:si>
    <x:t xml:space="preserve">  INSTRUMENTATION</x:t>
  </x:si>
  <x:si>
    <x:t xml:space="preserve">36</x:t>
  </x:si>
  <x:si>
    <x:t xml:space="preserve">Check pressure transmitter / gauge functioning</x:t>
  </x:si>
  <x:si>
    <x:t xml:space="preserve">Reading stable</x:t>
  </x:si>
  <x:si>
    <x:t xml:space="preserve">37</x:t>
  </x:si>
  <x:si>
    <x:t xml:space="preserve">Check flow meter indicating</x:t>
  </x:si>
  <x:si>
    <x:t xml:space="preserve">Reading within spec</x:t>
  </x:si>
  <x:si>
    <x:t xml:space="preserve">38</x:t>
  </x:si>
  <x:si>
    <x:t xml:space="preserve">Check temperature sensor</x:t>
  </x:si>
  <x:si>
    <x:t xml:space="preserve">Reading plausible</x:t>
  </x:si>
  <x:si>
    <x:t xml:space="preserve">  OVERALL RESULT</x:t>
  </x:si>
  <x:si>
    <x:t xml:space="preserve">Overall Status</x:t>
  </x:si>
  <x:si>
    <x:t xml:space="preserve">SATISFACTORY / UNSATISFACTORY</x:t>
  </x:si>
  <x:si>
    <x:t xml:space="preserve">Next Inspection Due</x:t>
  </x:si>
  <x:si>
    <x:t xml:space="preserve">Inspector Signature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</x:si>
</x:sst>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yyyy-mm-dd"/>
    <x:numFmt numFmtId="201" formatCode="0%"/>
  </x:numFmts>
  <x:fonts count="1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E8A020"/>
      <x:name val="Arial"/>
    </x:font>
    <x:font>
      <x:i/>
      <x:sz val="8"/>
      <x:color rgb="FF717D7E"/>
      <x:name val="Arial"/>
    </x:font>
    <x:font>
      <x:b/>
      <x:sz val="9"/>
      <x:color rgb="FFFFFFFF"/>
      <x:name val="Arial"/>
    </x:font>
    <x:font>
      <x:sz val="9"/>
      <x:color rgb="FF1A1A2E"/>
      <x:name val="Arial"/>
    </x:font>
    <x:font>
      <x:b/>
      <x:sz val="10"/>
      <x:color rgb="FFFFFFFF"/>
      <x:name val="Arial"/>
    </x:font>
    <x:font>
      <x:b/>
      <x:sz val="16"/>
      <x:color rgb="FFFFFFFF"/>
      <x:name val="Calibri"/>
    </x:font>
    <x:font>
      <x:i/>
      <x:sz val="10"/>
      <x:color rgb="FF1F2937"/>
      <x:name val="Calibri"/>
    </x:font>
    <x:font>
      <x:b/>
      <x:sz val="10"/>
      <x:color rgb="FFFFFFFF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A1A2E"/>
      </x:patternFill>
    </x:fill>
    <x:fill>
      <x:patternFill patternType="solid">
        <x:fgColor rgb="FFFFF9E6"/>
      </x:patternFill>
    </x:fill>
    <x:fill>
      <x:patternFill patternType="solid">
        <x:fgColor rgb="FF16213E"/>
      </x:patternFill>
    </x:fill>
    <x:fill>
      <x:patternFill patternType="solid">
        <x:fgColor rgb="FFF2F3F4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</x:fills>
  <x:borders count="6"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top style="thin">
        <x:color rgb="FFCCCCCC"/>
      </x:top>
      <x:bottom style="thin">
        <x:color rgb="FFCCCCCC"/>
      </x:bottom>
    </x:border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top style="thin">
        <x:color rgb="FFCCCCCC"/>
      </x:top>
      <x:bottom style="thin">
        <x:color rgb="FFCCCCCC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83">
    <x:xf numFmtId="164" fontId="0" fillId="0" borderId="0" xfId="0" applyFont="0" applyBorder="0" applyAlignment="0">
      <x:alignment horizontal="general" vertical="bottom" wrapText="0"/>
    </x:xf>
    <x:xf numFmtId="164" fontId="0" fillId="2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center" vertical="center" wrapText="0"/>
    </x:xf>
    <x:xf numFmtId="164" fontId="5" fillId="3" borderId="0" xfId="0" applyFont="1" applyBorder="1" applyAlignment="1">
      <x:alignment horizontal="left" vertical="center" wrapText="0"/>
    </x:xf>
    <x:xf numFmtId="164" fontId="6" fillId="4" borderId="1" xfId="0" applyFont="1" applyBorder="1" applyAlignment="1">
      <x:alignment horizontal="right" vertical="center" wrapText="0"/>
    </x:xf>
    <x:xf numFmtId="164" fontId="0" fillId="3" borderId="1" xfId="0" applyFont="0" applyBorder="1" applyAlignment="0">
      <x:alignment horizontal="general" vertical="bottom" wrapText="0"/>
    </x:xf>
    <x:xf numFmtId="164" fontId="6" fillId="2" borderId="1" xfId="0" applyFont="1" applyBorder="1" applyAlignment="1">
      <x:alignment horizontal="center" vertical="center" wrapText="1"/>
    </x:xf>
    <x:xf numFmtId="164" fontId="6" fillId="4" borderId="2" xfId="0" applyFont="1" applyBorder="1" applyAlignment="1">
      <x:alignment horizontal="left" vertical="center" wrapText="0"/>
    </x:xf>
    <x:xf numFmtId="164" fontId="7" fillId="5" borderId="1" xfId="0" applyFont="1" applyBorder="1" applyAlignment="1">
      <x:alignment horizontal="center" vertical="center" wrapText="0"/>
    </x:xf>
    <x:xf numFmtId="164" fontId="7" fillId="5" borderId="1" xfId="0" applyFont="1" applyBorder="1" applyAlignment="1">
      <x:alignment horizontal="left" vertical="center" wrapText="0"/>
    </x:xf>
    <x:xf numFmtId="164" fontId="7" fillId="3" borderId="1" xfId="0" applyFont="1" applyBorder="1" applyAlignment="1">
      <x:alignment horizontal="center" vertical="center" wrapText="0"/>
    </x:xf>
    <x:xf numFmtId="164" fontId="7" fillId="3" borderId="1" xfId="0" applyFont="1" applyBorder="1" applyAlignment="1">
      <x:alignment horizontal="left" vertical="center" wrapText="0"/>
    </x:xf>
    <x:xf numFmtId="164" fontId="7" fillId="6" borderId="1" xfId="0" applyFont="1" applyBorder="1" applyAlignment="1">
      <x:alignment horizontal="center" vertical="center" wrapText="0"/>
    </x:xf>
    <x:xf numFmtId="164" fontId="7" fillId="6" borderId="1" xfId="0" applyFont="1" applyBorder="1" applyAlignment="1">
      <x:alignment horizontal="left" vertical="center" wrapText="0"/>
    </x:xf>
    <x:xf numFmtId="164" fontId="8" fillId="2" borderId="2" xfId="0" applyFont="1" applyBorder="1" applyAlignment="0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0" fillId="2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center" vertical="center" wrapText="0"/>
    </x:xf>
    <x:xf numFmtId="164" fontId="5" fillId="3" borderId="3" xfId="0" applyNumberFormat="1" applyFont="1" applyFill="1" applyBorder="1" applyAlignment="1">
      <x:alignment horizontal="left" vertical="center" wrapText="0"/>
    </x:xf>
    <x:xf numFmtId="164" fontId="6" fillId="4" borderId="4" xfId="0" applyNumberFormat="1" applyFont="1" applyFill="1" applyBorder="1" applyAlignment="1">
      <x:alignment horizontal="right" vertical="center" wrapText="0"/>
    </x:xf>
    <x:xf numFmtId="164" fontId="0" fillId="3" borderId="4" xfId="0" applyNumberFormat="1" applyFont="1" applyFill="1" applyBorder="1" applyAlignment="1">
      <x:alignment horizontal="general" vertical="bottom" wrapText="0"/>
    </x:xf>
    <x:xf numFmtId="164" fontId="6" fillId="2" borderId="4" xfId="0" applyNumberFormat="1" applyFont="1" applyFill="1" applyBorder="1" applyAlignment="1">
      <x:alignment horizontal="center" vertical="center" wrapText="1"/>
    </x:xf>
    <x:xf numFmtId="164" fontId="6" fillId="4" borderId="5" xfId="0" applyNumberFormat="1" applyFont="1" applyFill="1" applyBorder="1" applyAlignment="1">
      <x:alignment horizontal="left" vertical="center" wrapText="0"/>
    </x:xf>
    <x:xf numFmtId="164" fontId="7" fillId="5" borderId="4" xfId="0" applyNumberFormat="1" applyFont="1" applyFill="1" applyBorder="1" applyAlignment="1">
      <x:alignment horizontal="center" vertical="center" wrapText="0"/>
    </x:xf>
    <x:xf numFmtId="164" fontId="7" fillId="5" borderId="4" xfId="0" applyNumberFormat="1" applyFont="1" applyFill="1" applyBorder="1" applyAlignment="1">
      <x:alignment horizontal="left" vertical="center" wrapText="0"/>
    </x:xf>
    <x:xf numFmtId="164" fontId="7" fillId="3" borderId="4" xfId="0" applyNumberFormat="1" applyFont="1" applyFill="1" applyBorder="1" applyAlignment="1">
      <x:alignment horizontal="center" vertical="center" wrapText="0"/>
    </x:xf>
    <x:xf numFmtId="164" fontId="7" fillId="3" borderId="4" xfId="0" applyNumberFormat="1" applyFont="1" applyFill="1" applyBorder="1" applyAlignment="1">
      <x:alignment horizontal="left" vertical="center" wrapText="0"/>
    </x:xf>
    <x:xf numFmtId="164" fontId="7" fillId="6" borderId="4" xfId="0" applyNumberFormat="1" applyFont="1" applyFill="1" applyBorder="1" applyAlignment="1">
      <x:alignment horizontal="center" vertical="center" wrapText="0"/>
    </x:xf>
    <x:xf numFmtId="164" fontId="7" fillId="6" borderId="4" xfId="0" applyNumberFormat="1" applyFont="1" applyFill="1" applyBorder="1" applyAlignment="1">
      <x:alignment horizontal="left" vertical="center" wrapText="0"/>
    </x:xf>
    <x:xf numFmtId="164" fontId="8" fillId="2" borderId="5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9" fillId="7" borderId="0" xfId="0" applyNumberFormat="1" applyFont="1" applyFill="1" applyBorder="1" applyAlignment="1">
      <x:alignment horizontal="general" vertical="bottom" wrapText="0"/>
    </x:xf>
    <x:xf numFmtId="164" fontId="9" fillId="7" borderId="0" xfId="0" applyNumberFormat="1" applyFont="1" applyFill="1" applyBorder="1" applyAlignment="1">
      <x:alignment horizontal="left" vertical="bottom" wrapText="0"/>
    </x:xf>
    <x:xf numFmtId="164" fontId="9" fillId="7" borderId="0" xfId="0" applyNumberFormat="1" applyFont="1" applyFill="1" applyBorder="1" applyAlignment="1">
      <x:alignment horizontal="left" vertical="center" wrapText="0"/>
    </x:xf>
    <x:xf numFmtId="164" fontId="0" fillId="7" borderId="3" xfId="0" applyNumberFormat="1" applyFont="1" applyFill="1" applyBorder="1" applyAlignment="1">
      <x:alignment horizontal="general" vertical="bottom" wrapText="0"/>
    </x:xf>
    <x:xf numFmtId="164" fontId="9" fillId="7" borderId="3" xfId="0" applyNumberFormat="1" applyFont="1" applyFill="1" applyBorder="1" applyAlignment="1">
      <x:alignment horizontal="general" vertical="bottom" wrapText="0"/>
    </x:xf>
    <x:xf numFmtId="164" fontId="9" fillId="7" borderId="3" xfId="0" applyNumberFormat="1" applyFont="1" applyFill="1" applyBorder="1" applyAlignment="1">
      <x:alignment horizontal="left" vertical="bottom" wrapText="0"/>
    </x:xf>
    <x:xf numFmtId="164" fontId="9" fillId="7" borderId="3" xfId="0" applyNumberFormat="1" applyFont="1" applyFill="1" applyBorder="1" applyAlignment="1">
      <x:alignment horizontal="left" vertical="center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0" fillId="8" borderId="0" xfId="0" applyNumberFormat="1" applyFont="1" applyFill="1" applyBorder="1" applyAlignment="1">
      <x:alignment horizontal="general" vertical="bottom" wrapText="0"/>
    </x:xf>
    <x:xf numFmtId="164" fontId="10" fillId="8" borderId="0" xfId="0" applyNumberFormat="1" applyFont="1" applyFill="1" applyBorder="1" applyAlignment="1">
      <x:alignment horizontal="general" vertical="bottom" wrapText="1"/>
    </x:xf>
    <x:xf numFmtId="164" fontId="0" fillId="8" borderId="3" xfId="0" applyNumberFormat="1" applyFont="1" applyFill="1" applyBorder="1" applyAlignment="1">
      <x:alignment horizontal="general" vertical="bottom" wrapText="0"/>
    </x:xf>
    <x:xf numFmtId="164" fontId="10" fillId="8" borderId="3" xfId="0" applyNumberFormat="1" applyFont="1" applyFill="1" applyBorder="1" applyAlignment="1">
      <x:alignment horizontal="general" vertical="bottom" wrapText="0"/>
    </x:xf>
    <x:xf numFmtId="164" fontId="10" fillId="8" borderId="3" xfId="0" applyNumberFormat="1" applyFont="1" applyFill="1" applyBorder="1" applyAlignment="1">
      <x:alignment horizontal="general" vertical="bottom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1" fillId="9" borderId="0" xfId="0" applyNumberFormat="1" applyFont="1" applyFill="1" applyBorder="1" applyAlignment="1">
      <x:alignment horizontal="general" vertical="bottom" wrapText="0"/>
    </x:xf>
    <x:xf numFmtId="164" fontId="11" fillId="9" borderId="0" xfId="0" applyNumberFormat="1" applyFont="1" applyFill="1" applyBorder="1" applyAlignment="1">
      <x:alignment horizontal="general" vertical="bottom" wrapText="1"/>
    </x:xf>
    <x:xf numFmtId="164" fontId="11" fillId="9" borderId="0" xfId="0" applyNumberFormat="1" applyFont="1" applyFill="1" applyBorder="1" applyAlignment="1">
      <x:alignment horizontal="center" vertical="bottom" wrapText="1"/>
    </x:xf>
    <x:xf numFmtId="164" fontId="11" fillId="9" borderId="0" xfId="0" applyNumberFormat="1" applyFont="1" applyFill="1" applyBorder="1" applyAlignment="1">
      <x:alignment horizontal="center" vertical="center" wrapText="1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1" fillId="9" borderId="3" xfId="0" applyNumberFormat="1" applyFont="1" applyFill="1" applyBorder="1" applyAlignment="1">
      <x:alignment horizontal="general" vertical="bottom" wrapText="0"/>
    </x:xf>
    <x:xf numFmtId="164" fontId="11" fillId="9" borderId="3" xfId="0" applyNumberFormat="1" applyFont="1" applyFill="1" applyBorder="1" applyAlignment="1">
      <x:alignment horizontal="general" vertical="bottom" wrapText="1"/>
    </x:xf>
    <x:xf numFmtId="164" fontId="11" fillId="9" borderId="3" xfId="0" applyNumberFormat="1" applyFont="1" applyFill="1" applyBorder="1" applyAlignment="1">
      <x:alignment horizontal="center" vertical="bottom" wrapText="1"/>
    </x:xf>
    <x:xf numFmtId="164" fontId="11" fillId="9" borderId="3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top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2" fillId="10" borderId="0" xfId="0" applyNumberFormat="1" applyFont="1" applyFill="1" applyBorder="1" applyAlignment="1">
      <x:alignment horizontal="general" vertical="bottom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2" fillId="1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1"/>
    </x:xf>
    <x:xf numFmtId="164" fontId="0" fillId="11" borderId="3" xfId="0" applyNumberFormat="1" applyFont="1" applyFill="1" applyBorder="1" applyAlignment="1">
      <x:alignment horizontal="general" vertical="bottom" wrapText="0"/>
    </x:xf>
    <x:xf numFmtId="164" fontId="0" fillId="11" borderId="3" xfId="0" applyNumberFormat="1" applyFont="1" applyFill="1" applyBorder="1" applyAlignment="1">
      <x:alignment horizontal="general" vertical="bottom" wrapText="1"/>
    </x:xf>
    <x:xf numFmtId="164" fontId="12" fillId="9" borderId="0" xfId="0" applyNumberFormat="1" applyFont="1" applyFill="1" applyBorder="1" applyAlignment="1">
      <x:alignment horizontal="general" vertical="bottom" wrapText="0"/>
    </x:xf>
    <x:xf numFmtId="164" fontId="12" fillId="9" borderId="3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top" wrapText="1"/>
    </x:xf>
    <x:xf numFmtId="200" fontId="0" fillId="0" borderId="3" xfId="0" applyNumberFormat="1" applyFont="1" applyFill="1" applyBorder="1" applyAlignment="1">
      <x:alignment horizontal="general" vertical="top" wrapText="1"/>
    </x:xf>
    <x:xf numFmtId="164" fontId="12" fillId="10" borderId="0" xfId="0" applyNumberFormat="1" applyFont="1" applyFill="1" applyBorder="1" applyAlignment="1">
      <x:alignment horizontal="general" vertical="bottom" wrapText="1"/>
    </x:xf>
    <x:xf numFmtId="164" fontId="12" fillId="10" borderId="3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3" xfId="0" applyNumberFormat="1" applyFont="1" applyFill="1" applyBorder="1" applyAlignment="1">
      <x:alignment horizontal="general" vertical="bottom" wrapText="0"/>
    </x:xf>
    <x:xf numFmtId="164" fontId="13" fillId="8" borderId="0" xfId="0" applyNumberFormat="1" applyFont="1" applyFill="1" applyBorder="1" applyAlignment="1">
      <x:alignment horizontal="general" vertical="bottom" wrapText="0"/>
    </x:xf>
    <x:xf numFmtId="164" fontId="13" fillId="8" borderId="3" xfId="0" applyNumberFormat="1" applyFont="1" applyFill="1" applyBorder="1" applyAlignment="1">
      <x:alignment horizontal="general" vertical="bottom" wrapText="0"/>
    </x:xf>
    <x:xf numFmtId="164" fontId="12" fillId="9" borderId="0" xfId="0" applyNumberFormat="1" applyFont="1" applyFill="1" applyBorder="1" applyAlignment="1">
      <x:alignment horizontal="general" vertical="bottom" wrapText="1"/>
    </x:xf>
    <x:xf numFmtId="164" fontId="13" fillId="8" borderId="0" xfId="0" applyNumberFormat="1" applyFont="1" applyFill="1" applyBorder="1" applyAlignment="1">
      <x:alignment horizontal="general" vertical="bottom" wrapText="1"/>
    </x:xf>
    <x:xf numFmtId="164" fontId="12" fillId="9" borderId="3" xfId="0" applyNumberFormat="1" applyFont="1" applyFill="1" applyBorder="1" applyAlignment="1">
      <x:alignment horizontal="general" vertical="bottom" wrapText="1"/>
    </x:xf>
    <x:xf numFmtId="164" fontId="13" fillId="8" borderId="3" xfId="0" applyNumberFormat="1" applyFont="1" applyFill="1" applyBorder="1" applyAlignment="1">
      <x:alignment horizontal="general" vertical="bottom" wrapText="1"/>
    </x:xf>
    <x:xf numFmtId="201" fontId="0" fillId="0" borderId="0" xfId="0" applyNumberFormat="1" applyFont="1" applyFill="1" applyBorder="1" applyAlignment="1">
      <x:alignment horizontal="general" vertical="bottom" wrapText="1"/>
    </x:xf>
    <x:xf numFmtId="201" fontId="0" fillId="0" borderId="3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0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717D7E"/>
      <x:rgbColor rgb="FF9999FF"/>
      <x:rgbColor rgb="FF993366"/>
      <x:rgbColor rgb="FFFFF9E6"/>
      <x:rgbColor rgb="FFF2F3F4"/>
      <x:rgbColor rgb="FF660066"/>
      <x:rgbColor rgb="FFFF8080"/>
      <x:rgbColor rgb="FF1F618D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E8A020"/>
      <x:rgbColor rgb="FFFF6600"/>
      <x:rgbColor rgb="FF666699"/>
      <x:rgbColor rgb="FF969696"/>
      <x:rgbColor rgb="FF003366"/>
      <x:rgbColor rgb="FF339966"/>
      <x:rgbColor rgb="FF003300"/>
      <x:rgbColor rgb="FF1A1A2E"/>
      <x:rgbColor rgb="FF993300"/>
      <x:rgbColor rgb="FF993366"/>
      <x:rgbColor rgb="FF333399"/>
      <x:rgbColor rgb="FF16213E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94ea201234b3e" /><Relationship Type="http://schemas.openxmlformats.org/officeDocument/2006/relationships/theme" Target="/xl/theme/theme1.xml" Id="R3b0c7e782fe84411" /><Relationship Type="http://schemas.openxmlformats.org/officeDocument/2006/relationships/sharedStrings" Target="/xl/sharedStrings.xml" Id="R661ae9bc29c740f0" /><Relationship Type="http://schemas.openxmlformats.org/officeDocument/2006/relationships/worksheet" Target="/xl/worksheets/sheet1.xml" Id="R87a1abdd38344a84" /><Relationship Type="http://schemas.openxmlformats.org/officeDocument/2006/relationships/worksheet" Target="/xl/worksheets/sheet2.xml" Id="R23d5efee0ebc4f9e" /><Relationship Type="http://schemas.openxmlformats.org/officeDocument/2006/relationships/worksheet" Target="/xl/worksheets/sheet3.xml" Id="R413591180c834ba1" /><Relationship Type="http://schemas.openxmlformats.org/officeDocument/2006/relationships/worksheet" Target="/xl/worksheets/sheet4.xml" Id="R58814c3c468e462c" /><Relationship Type="http://schemas.openxmlformats.org/officeDocument/2006/relationships/worksheet" Target="/xl/worksheets/sheet5.xml" Id="Ra97637fe932a4a92" /><Relationship Type="http://schemas.openxmlformats.org/officeDocument/2006/relationships/worksheet" Target="/xl/worksheets/sheet6.xml" Id="Re9529002c7164cc0" /><Relationship Type="http://schemas.openxmlformats.org/officeDocument/2006/relationships/worksheet" Target="/xl/worksheets/sheet7.xml" Id="Rc57ce104798b4558" /><Relationship Type="http://schemas.openxmlformats.org/officeDocument/2006/relationships/worksheet" Target="/xl/worksheets/sheet8.xml" Id="Ra5c53c8066624774" /><Relationship Type="http://schemas.openxmlformats.org/officeDocument/2006/relationships/worksheet" Target="/xl/worksheets/sheet9.xml" Id="R17948442c8d04728" /></Relationships>
</file>

<file path=xl/tables/table1.xml><?xml version="1.0" encoding="utf-8"?>
<x:table xmlns:x="http://schemas.openxmlformats.org/spreadsheetml/2006/main" id="1" name="PumpActionTracker" displayName="PumpActionTracker" ref="A4:K34" headerRowCount="1">
  <x:tableColumns count="11">
    <x:tableColumn id="1" name="Source/Sheet"/>
    <x:tableColumn id="2" name="Asset / Equipment"/>
    <x:tableColumn id="3" name="Finding / Defect"/>
    <x:tableColumn id="4" name="Risk / Impact"/>
    <x:tableColumn id="5" name="Priority"/>
    <x:tableColumn id="6" name="Responsible Person"/>
    <x:tableColumn id="7" name="Due Date"/>
    <x:tableColumn id="8" name="Status"/>
    <x:tableColumn id="9" name="Close-out Date"/>
    <x:tableColumn id="10" name="Verification / Evidence"/>
    <x:tableColumn id="11" name="Days Overdue"/>
  </x:tableColumns>
  <x:tableStyleInfo name="TableStyleMedium2" showRowStripes="1"/>
</x:table>
</file>

<file path=xl/tables/table2.xml><?xml version="1.0" encoding="utf-8"?>
<x:table xmlns:x="http://schemas.openxmlformats.org/spreadsheetml/2006/main" id="2" name="PumpPhotoLog" displayName="PumpPhotoLog" ref="A4:J19" headerRowCount="1">
  <x:tableColumns count="10">
    <x:tableColumn id="1" name="Photo Ref"/>
    <x:tableColumn id="2" name="Pump Tag"/>
    <x:tableColumn id="3" name="Component / Location"/>
    <x:tableColumn id="4" name="Finding Shown"/>
    <x:tableColumn id="5" name="File/Folder Link"/>
    <x:tableColumn id="6" name="Taken By"/>
    <x:tableColumn id="7" name="Date"/>
    <x:tableColumn id="8" name="Severity"/>
    <x:tableColumn id="9" name="Action Ref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umpPerformance" displayName="PumpPerformance" ref="A4:L24" headerRowCount="1">
  <x:tableColumns count="12">
    <x:tableColumn id="1" name="Date"/>
    <x:tableColumn id="2" name="Pump Tag"/>
    <x:tableColumn id="3" name="Fluid"/>
    <x:tableColumn id="4" name="Speed rpm"/>
    <x:tableColumn id="5" name="Suction Pressure"/>
    <x:tableColumn id="6" name="Discharge Pressure"/>
    <x:tableColumn id="7" name="Differential Pressure"/>
    <x:tableColumn id="8" name="Flow Rate"/>
    <x:tableColumn id="9" name="Motor Current"/>
    <x:tableColumn id="10" name="Design Flow"/>
    <x:tableColumn id="11" name="Design Head"/>
    <x:tableColumn id="12" name="Performance Status"/>
  </x:tableColumns>
  <x:tableStyleInfo name="TableStyleMedium2" showRowStripes="1"/>
</x:table>
</file>

<file path=xl/tables/table4.xml><?xml version="1.0" encoding="utf-8"?>
<x:table xmlns:x="http://schemas.openxmlformats.org/spreadsheetml/2006/main" id="4" name="PumpTrendLog" displayName="PumpTrendLog" ref="A4:M24" headerRowCount="1">
  <x:tableColumns count="13">
    <x:tableColumn id="1" name="Date"/>
    <x:tableColumn id="2" name="Asset Tag"/>
    <x:tableColumn id="3" name="Operating Hours"/>
    <x:tableColumn id="4" name="Operating Condition"/>
    <x:tableColumn id="5" name="DE Temp (°C)"/>
    <x:tableColumn id="6" name="NDE Temp (°C)"/>
    <x:tableColumn id="7" name="DE Vib (mm/s)"/>
    <x:tableColumn id="8" name="NDE Vib (mm/s)"/>
    <x:tableColumn id="9" name="Seal Leak Rate"/>
    <x:tableColumn id="10" name="Motor Current (A)"/>
    <x:tableColumn id="11" name="Overall Status"/>
    <x:tableColumn id="12" name="Action Required"/>
    <x:tableColumn id="13" name="Technician"/>
  </x:tableColumns>
  <x:tableStyleInfo name="TableStyleMedium2" showRowStripes="1"/>
</x:table>
</file>

<file path=xl/tables/table5.xml><?xml version="1.0" encoding="utf-8"?>
<x:table xmlns:x="http://schemas.openxmlformats.org/spreadsheetml/2006/main" id="5" name="PumpCavSealGuide" displayName="PumpCavSealGuide" ref="A4:C9" headerRowCount="1">
  <x:tableColumns count="3">
    <x:tableColumn id="1" name="Indicator"/>
    <x:tableColumn id="2" name="Likely cause"/>
    <x:tableColumn id="3" name="Recommended check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f25b498522f4a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f923531a235d47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0ae71d2a9264c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da57389529645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d9943db1f04a488c" /></Relationships>
</file>

<file path=xl/worksheets/sheet1.xml><?xml version="1.0" encoding="utf-8"?>
<x:worksheet xmlns:x="http://schemas.openxmlformats.org/spreadsheetml/2006/main">
  <x:sheetPr>
    <x:tabColor rgb="FF1F618D"/>
  </x:sheetPr>
  <x:sheetViews>
    <x:sheetView showGridLines="0" workbookViewId="0"/>
  </x:sheetViews>
  <x:sheetFormatPr defaultColWidth="8.6796875" defaultRowHeight="15"/>
  <x:cols>
    <x:col min="1" max="1" width="2" hidden="0" customWidth="1"/>
    <x:col min="2" max="2" width="6" hidden="0" customWidth="1"/>
    <x:col min="3" max="3" width="30" hidden="0" customWidth="1"/>
    <x:col min="4" max="4" width="20" hidden="0" customWidth="1"/>
    <x:col min="5" max="5" width="12" hidden="0" customWidth="1"/>
    <x:col min="6" max="8" width="14" hidden="0" customWidth="1"/>
    <x:col min="9" max="9" width="20" hidden="0" customWidth="1"/>
    <x:col min="10" max="10" width="12" hidden="0" customWidth="1"/>
    <x:col min="11" max="11" width="12" hidden="0" customWidth="1"/>
    <x:col min="12" max="12" width="14" hidden="0" customWidth="1"/>
    <x:col min="13" max="13" width="11" hidden="0" customWidth="1"/>
    <x:col min="14" max="14" width="16" hidden="0" customWidth="1"/>
  </x:cols>
  <x:sheetData>
    <x:row r="1" ht="7.5" hidden="0" customHeight="1"/>
    <x:row r="2" ht="37.5" hidden="0" customHeight="1">
      <x:c r="A2" s="1"/>
      <x:c r="B2" s="2" t="s">
        <x:v>0</x:v>
      </x:c>
      <x:c r="C2" s="2"/>
      <x:c r="D2" s="2"/>
      <x:c r="E2" s="2"/>
      <x:c r="F2" s="2"/>
      <x:c r="G2" s="2"/>
      <x:c r="H2" s="2"/>
      <x:c r="I2" s="2"/>
      <x:c r="J2" s="1"/>
    </x:row>
    <x:row r="3" ht="18" hidden="0" customHeight="1">
      <x:c r="B3" s="3" t="s">
        <x:v>1</x:v>
      </x:c>
      <x:c r="C3" s="3"/>
      <x:c r="D3" s="3"/>
      <x:c r="E3" s="3"/>
      <x:c r="F3" s="3"/>
      <x:c r="G3" s="3"/>
      <x:c r="H3" s="3"/>
    </x:row>
    <x:row r="4" ht="19.5" hidden="0" customHeight="1">
      <x:c r="B4" s="4" t="s">
        <x:v>2</x:v>
      </x:c>
      <x:c r="C4" s="5"/>
      <x:c r="F4" s="4" t="s">
        <x:v>3</x:v>
      </x:c>
      <x:c r="G4" s="5"/>
    </x:row>
    <x:row r="5" ht="19.5" hidden="0" customHeight="1">
      <x:c r="B5" s="4" t="s">
        <x:v>4</x:v>
      </x:c>
      <x:c r="C5" s="5"/>
      <x:c r="F5" s="4" t="s">
        <x:v>5</x:v>
      </x:c>
      <x:c r="G5" s="5"/>
    </x:row>
    <x:row r="6" ht="19.5" hidden="0" customHeight="1">
      <x:c r="B6" s="4" t="s">
        <x:v>6</x:v>
      </x:c>
      <x:c r="C6" s="5"/>
      <x:c r="F6" s="4" t="s">
        <x:v>7</x:v>
      </x:c>
      <x:c r="G6" s="5"/>
    </x:row>
    <x:row r="7" ht="21.75" hidden="0" customHeight="1">
      <x:c r="B7" s="6" t="s">
        <x:v>8</x:v>
      </x:c>
      <x:c r="C7" s="6" t="s">
        <x:v>9</x:v>
      </x:c>
      <x:c r="D7" s="6" t="s">
        <x:v>10</x:v>
      </x:c>
      <x:c r="E7" s="6" t="s">
        <x:v>11</x:v>
      </x:c>
      <x:c r="F7" s="6" t="s">
        <x:v>12</x:v>
      </x:c>
      <x:c r="G7" s="6" t="s">
        <x:v>13</x:v>
      </x:c>
      <x:c r="H7" s="6" t="s">
        <x:v>14</x:v>
      </x:c>
      <x:c r="I7" s="6" t="s">
        <x:v>15</x:v>
      </x:c>
      <x:c r="J7" s="71" t="str">
        <x:v>Priority</x:v>
      </x:c>
      <x:c r="K7" s="71" t="str">
        <x:v>Due Date</x:v>
      </x:c>
      <x:c r="L7" s="71" t="str">
        <x:v>Action Status</x:v>
      </x:c>
      <x:c r="M7" s="71" t="str">
        <x:v>Risk Score</x:v>
      </x:c>
      <x:c r="N7" s="71" t="str">
        <x:v>Evidence Ref</x:v>
      </x:c>
    </x:row>
    <x:row r="8" ht="18" hidden="0" customHeight="1">
      <x:c r="B8" s="7" t="s">
        <x:v>16</x:v>
      </x:c>
      <x:c r="C8" s="7"/>
      <x:c r="D8" s="7"/>
      <x:c r="E8" s="7"/>
      <x:c r="F8" s="7"/>
      <x:c r="G8" s="7"/>
      <x:c r="H8" s="7"/>
      <x:c r="I8" s="7"/>
      <x:c r="K8" s="73"/>
      <x:c r="M8" t="str">
        <x:f>IF($E8="✗",IF(J8="Critical",25,IF(J8="High",15,IF(J8="Medium",8,IF(J8="Low",4,1)))),"")</x:f>
      </x:c>
    </x:row>
    <x:row r="9" ht="18" hidden="0" customHeight="1">
      <x:c r="B9" s="8" t="s">
        <x:v>17</x:v>
      </x:c>
      <x:c r="C9" s="9" t="s">
        <x:v>18</x:v>
      </x:c>
      <x:c r="D9" s="9" t="s">
        <x:v>19</x:v>
      </x:c>
      <x:c r="E9" s="10"/>
      <x:c r="F9" s="10"/>
      <x:c r="G9" s="10"/>
      <x:c r="H9" s="11"/>
      <x:c r="I9" s="10"/>
      <x:c r="K9" s="73"/>
      <x:c r="M9" t="str">
        <x:f>IF($E9="✗",IF(J9="Critical",25,IF(J9="High",15,IF(J9="Medium",8,IF(J9="Low",4,1)))),"")</x:f>
      </x:c>
    </x:row>
    <x:row r="10" ht="18" hidden="0" customHeight="1">
      <x:c r="B10" s="12" t="s">
        <x:v>20</x:v>
      </x:c>
      <x:c r="C10" s="13" t="s">
        <x:v>21</x:v>
      </x:c>
      <x:c r="D10" s="13" t="s">
        <x:v>22</x:v>
      </x:c>
      <x:c r="E10" s="10"/>
      <x:c r="F10" s="10"/>
      <x:c r="G10" s="10"/>
      <x:c r="H10" s="11"/>
      <x:c r="I10" s="10"/>
      <x:c r="K10" s="73"/>
      <x:c r="M10" t="str">
        <x:f>IF($E10="✗",IF(J10="Critical",25,IF(J10="High",15,IF(J10="Medium",8,IF(J10="Low",4,1)))),"")</x:f>
      </x:c>
    </x:row>
    <x:row r="11" ht="18" hidden="0" customHeight="1">
      <x:c r="B11" s="8" t="s">
        <x:v>23</x:v>
      </x:c>
      <x:c r="C11" s="9" t="s">
        <x:v>24</x:v>
      </x:c>
      <x:c r="D11" s="9" t="s">
        <x:v>25</x:v>
      </x:c>
      <x:c r="E11" s="10"/>
      <x:c r="F11" s="10"/>
      <x:c r="G11" s="10"/>
      <x:c r="H11" s="11"/>
      <x:c r="I11" s="10"/>
      <x:c r="K11" s="73"/>
      <x:c r="M11" t="str">
        <x:f>IF($E11="✗",IF(J11="Critical",25,IF(J11="High",15,IF(J11="Medium",8,IF(J11="Low",4,1)))),"")</x:f>
      </x:c>
    </x:row>
    <x:row r="12" ht="18" hidden="0" customHeight="1">
      <x:c r="B12" s="12" t="s">
        <x:v>26</x:v>
      </x:c>
      <x:c r="C12" s="13" t="s">
        <x:v>27</x:v>
      </x:c>
      <x:c r="D12" s="13" t="s">
        <x:v>28</x:v>
      </x:c>
      <x:c r="E12" s="10"/>
      <x:c r="F12" s="10"/>
      <x:c r="G12" s="10"/>
      <x:c r="H12" s="11"/>
      <x:c r="I12" s="10"/>
      <x:c r="K12" s="73"/>
      <x:c r="M12" t="str">
        <x:f>IF($E12="✗",IF(J12="Critical",25,IF(J12="High",15,IF(J12="Medium",8,IF(J12="Low",4,1)))),"")</x:f>
      </x:c>
    </x:row>
    <x:row r="13" ht="18" hidden="0" customHeight="1">
      <x:c r="B13" s="8" t="s">
        <x:v>29</x:v>
      </x:c>
      <x:c r="C13" s="9" t="s">
        <x:v>30</x:v>
      </x:c>
      <x:c r="D13" s="9" t="s">
        <x:v>31</x:v>
      </x:c>
      <x:c r="E13" s="10"/>
      <x:c r="F13" s="10"/>
      <x:c r="G13" s="10"/>
      <x:c r="H13" s="11"/>
      <x:c r="I13" s="10"/>
      <x:c r="K13" s="73"/>
      <x:c r="M13" t="str">
        <x:f>IF($E13="✗",IF(J13="Critical",25,IF(J13="High",15,IF(J13="Medium",8,IF(J13="Low",4,1)))),"")</x:f>
      </x:c>
    </x:row>
    <x:row r="14" ht="18" hidden="0" customHeight="1">
      <x:c r="B14" s="7" t="s">
        <x:v>32</x:v>
      </x:c>
      <x:c r="C14" s="7"/>
      <x:c r="D14" s="7"/>
      <x:c r="E14" s="7"/>
      <x:c r="F14" s="7"/>
      <x:c r="G14" s="7"/>
      <x:c r="H14" s="7"/>
      <x:c r="I14" s="7"/>
      <x:c r="K14" s="73"/>
      <x:c r="M14" t="str">
        <x:f>IF($E14="✗",IF(J14="Critical",25,IF(J14="High",15,IF(J14="Medium",8,IF(J14="Low",4,1)))),"")</x:f>
      </x:c>
    </x:row>
    <x:row r="15" ht="18" hidden="0" customHeight="1">
      <x:c r="B15" s="8" t="s">
        <x:v>33</x:v>
      </x:c>
      <x:c r="C15" s="9" t="s">
        <x:v>34</x:v>
      </x:c>
      <x:c r="D15" s="9" t="s">
        <x:v>35</x:v>
      </x:c>
      <x:c r="E15" s="10"/>
      <x:c r="F15" s="10"/>
      <x:c r="G15" s="10"/>
      <x:c r="H15" s="11"/>
      <x:c r="I15" s="10"/>
      <x:c r="K15" s="73"/>
      <x:c r="M15" t="str">
        <x:f>IF($E15="✗",IF(J15="Critical",25,IF(J15="High",15,IF(J15="Medium",8,IF(J15="Low",4,1)))),"")</x:f>
      </x:c>
    </x:row>
    <x:row r="16" ht="18" hidden="0" customHeight="1">
      <x:c r="B16" s="12" t="s">
        <x:v>36</x:v>
      </x:c>
      <x:c r="C16" s="13" t="s">
        <x:v>37</x:v>
      </x:c>
      <x:c r="D16" s="13" t="s">
        <x:v>38</x:v>
      </x:c>
      <x:c r="E16" s="10"/>
      <x:c r="F16" s="10"/>
      <x:c r="G16" s="10"/>
      <x:c r="H16" s="11"/>
      <x:c r="I16" s="10"/>
      <x:c r="K16" s="73"/>
      <x:c r="M16" t="str">
        <x:f>IF($E16="✗",IF(J16="Critical",25,IF(J16="High",15,IF(J16="Medium",8,IF(J16="Low",4,1)))),"")</x:f>
      </x:c>
    </x:row>
    <x:row r="17" ht="18" hidden="0" customHeight="1">
      <x:c r="B17" s="8" t="s">
        <x:v>39</x:v>
      </x:c>
      <x:c r="C17" s="9" t="s">
        <x:v>40</x:v>
      </x:c>
      <x:c r="D17" s="9" t="s">
        <x:v>41</x:v>
      </x:c>
      <x:c r="E17" s="10"/>
      <x:c r="F17" s="10"/>
      <x:c r="G17" s="10"/>
      <x:c r="H17" s="11"/>
      <x:c r="I17" s="10"/>
      <x:c r="K17" s="73"/>
      <x:c r="M17" t="str">
        <x:f>IF($E17="✗",IF(J17="Critical",25,IF(J17="High",15,IF(J17="Medium",8,IF(J17="Low",4,1)))),"")</x:f>
      </x:c>
    </x:row>
    <x:row r="18" ht="18" hidden="0" customHeight="1">
      <x:c r="B18" s="12" t="s">
        <x:v>42</x:v>
      </x:c>
      <x:c r="C18" s="13" t="s">
        <x:v>43</x:v>
      </x:c>
      <x:c r="D18" s="13" t="s">
        <x:v>44</x:v>
      </x:c>
      <x:c r="E18" s="10"/>
      <x:c r="F18" s="10"/>
      <x:c r="G18" s="10"/>
      <x:c r="H18" s="11"/>
      <x:c r="I18" s="10"/>
      <x:c r="K18" s="73"/>
      <x:c r="M18" t="str">
        <x:f>IF($E18="✗",IF(J18="Critical",25,IF(J18="High",15,IF(J18="Medium",8,IF(J18="Low",4,1)))),"")</x:f>
      </x:c>
    </x:row>
    <x:row r="19" ht="18" hidden="0" customHeight="1">
      <x:c r="B19" s="8" t="s">
        <x:v>45</x:v>
      </x:c>
      <x:c r="C19" s="9" t="s">
        <x:v>46</x:v>
      </x:c>
      <x:c r="D19" s="9" t="s">
        <x:v>47</x:v>
      </x:c>
      <x:c r="E19" s="10"/>
      <x:c r="F19" s="10"/>
      <x:c r="G19" s="10"/>
      <x:c r="H19" s="11"/>
      <x:c r="I19" s="10"/>
      <x:c r="K19" s="73"/>
      <x:c r="M19" t="str">
        <x:f>IF($E19="✗",IF(J19="Critical",25,IF(J19="High",15,IF(J19="Medium",8,IF(J19="Low",4,1)))),"")</x:f>
      </x:c>
    </x:row>
    <x:row r="20" ht="18" hidden="0" customHeight="1">
      <x:c r="B20" s="12" t="s">
        <x:v>48</x:v>
      </x:c>
      <x:c r="C20" s="13" t="s">
        <x:v>49</x:v>
      </x:c>
      <x:c r="D20" s="13" t="s">
        <x:v>50</x:v>
      </x:c>
      <x:c r="E20" s="10"/>
      <x:c r="F20" s="10"/>
      <x:c r="G20" s="10"/>
      <x:c r="H20" s="11"/>
      <x:c r="I20" s="10"/>
      <x:c r="K20" s="73"/>
      <x:c r="M20" t="str">
        <x:f>IF($E20="✗",IF(J20="Critical",25,IF(J20="High",15,IF(J20="Medium",8,IF(J20="Low",4,1)))),"")</x:f>
      </x:c>
    </x:row>
    <x:row r="21" ht="18" hidden="0" customHeight="1">
      <x:c r="B21" s="7" t="s">
        <x:v>51</x:v>
      </x:c>
      <x:c r="C21" s="7"/>
      <x:c r="D21" s="7"/>
      <x:c r="E21" s="7"/>
      <x:c r="F21" s="7"/>
      <x:c r="G21" s="7"/>
      <x:c r="H21" s="7"/>
      <x:c r="I21" s="7"/>
      <x:c r="K21" s="73"/>
      <x:c r="M21" t="str">
        <x:f>IF($E21="✗",IF(J21="Critical",25,IF(J21="High",15,IF(J21="Medium",8,IF(J21="Low",4,1)))),"")</x:f>
      </x:c>
    </x:row>
    <x:row r="22" ht="18" hidden="0" customHeight="1">
      <x:c r="B22" s="8" t="s">
        <x:v>52</x:v>
      </x:c>
      <x:c r="C22" s="9" t="s">
        <x:v>53</x:v>
      </x:c>
      <x:c r="D22" s="9" t="s">
        <x:v>54</x:v>
      </x:c>
      <x:c r="E22" s="10"/>
      <x:c r="F22" s="10"/>
      <x:c r="G22" s="10"/>
      <x:c r="H22" s="11"/>
      <x:c r="I22" s="10"/>
      <x:c r="K22" s="73"/>
      <x:c r="M22" t="str">
        <x:f>IF($E22="✗",IF(J22="Critical",25,IF(J22="High",15,IF(J22="Medium",8,IF(J22="Low",4,1)))),"")</x:f>
      </x:c>
    </x:row>
    <x:row r="23" ht="18" hidden="0" customHeight="1">
      <x:c r="B23" s="12" t="s">
        <x:v>55</x:v>
      </x:c>
      <x:c r="C23" s="13" t="s">
        <x:v>56</x:v>
      </x:c>
      <x:c r="D23" s="13" t="s">
        <x:v>57</x:v>
      </x:c>
      <x:c r="E23" s="10"/>
      <x:c r="F23" s="10"/>
      <x:c r="G23" s="10"/>
      <x:c r="H23" s="11"/>
      <x:c r="I23" s="10"/>
      <x:c r="K23" s="73"/>
      <x:c r="M23" t="str">
        <x:f>IF($E23="✗",IF(J23="Critical",25,IF(J23="High",15,IF(J23="Medium",8,IF(J23="Low",4,1)))),"")</x:f>
      </x:c>
    </x:row>
    <x:row r="24" ht="18" hidden="0" customHeight="1">
      <x:c r="B24" s="8" t="s">
        <x:v>58</x:v>
      </x:c>
      <x:c r="C24" s="9" t="s">
        <x:v>59</x:v>
      </x:c>
      <x:c r="D24" s="9" t="s">
        <x:v>60</x:v>
      </x:c>
      <x:c r="E24" s="10"/>
      <x:c r="F24" s="10"/>
      <x:c r="G24" s="10"/>
      <x:c r="H24" s="11"/>
      <x:c r="I24" s="10"/>
      <x:c r="K24" s="73"/>
      <x:c r="M24" t="str">
        <x:f>IF($E24="✗",IF(J24="Critical",25,IF(J24="High",15,IF(J24="Medium",8,IF(J24="Low",4,1)))),"")</x:f>
      </x:c>
    </x:row>
    <x:row r="25" ht="18" hidden="0" customHeight="1">
      <x:c r="B25" s="12" t="s">
        <x:v>61</x:v>
      </x:c>
      <x:c r="C25" s="13" t="s">
        <x:v>62</x:v>
      </x:c>
      <x:c r="D25" s="13" t="s">
        <x:v>63</x:v>
      </x:c>
      <x:c r="E25" s="10"/>
      <x:c r="F25" s="10"/>
      <x:c r="G25" s="10"/>
      <x:c r="H25" s="11"/>
      <x:c r="I25" s="10"/>
      <x:c r="K25" s="73"/>
      <x:c r="M25" t="str">
        <x:f>IF($E25="✗",IF(J25="Critical",25,IF(J25="High",15,IF(J25="Medium",8,IF(J25="Low",4,1)))),"")</x:f>
      </x:c>
    </x:row>
    <x:row r="26" ht="18" hidden="0" customHeight="1">
      <x:c r="B26" s="8" t="s">
        <x:v>64</x:v>
      </x:c>
      <x:c r="C26" s="9" t="s">
        <x:v>65</x:v>
      </x:c>
      <x:c r="D26" s="9" t="s">
        <x:v>66</x:v>
      </x:c>
      <x:c r="E26" s="10"/>
      <x:c r="F26" s="10"/>
      <x:c r="G26" s="10"/>
      <x:c r="H26" s="11"/>
      <x:c r="I26" s="10"/>
      <x:c r="K26" s="73"/>
      <x:c r="M26" t="str">
        <x:f>IF($E26="✗",IF(J26="Critical",25,IF(J26="High",15,IF(J26="Medium",8,IF(J26="Low",4,1)))),"")</x:f>
      </x:c>
    </x:row>
    <x:row r="27" ht="18" hidden="0" customHeight="1">
      <x:c r="B27" s="7" t="s">
        <x:v>67</x:v>
      </x:c>
      <x:c r="C27" s="7"/>
      <x:c r="D27" s="7"/>
      <x:c r="E27" s="7"/>
      <x:c r="F27" s="7"/>
      <x:c r="G27" s="7"/>
      <x:c r="H27" s="7"/>
      <x:c r="I27" s="7"/>
      <x:c r="K27" s="73"/>
      <x:c r="M27" t="str">
        <x:f>IF($E27="✗",IF(J27="Critical",25,IF(J27="High",15,IF(J27="Medium",8,IF(J27="Low",4,1)))),"")</x:f>
      </x:c>
    </x:row>
    <x:row r="28" ht="18" hidden="0" customHeight="1">
      <x:c r="B28" s="8" t="s">
        <x:v>68</x:v>
      </x:c>
      <x:c r="C28" s="9" t="s">
        <x:v>69</x:v>
      </x:c>
      <x:c r="D28" s="9" t="s">
        <x:v>70</x:v>
      </x:c>
      <x:c r="E28" s="10"/>
      <x:c r="F28" s="10"/>
      <x:c r="G28" s="10"/>
      <x:c r="H28" s="11"/>
      <x:c r="I28" s="10"/>
      <x:c r="K28" s="73"/>
      <x:c r="M28" t="str">
        <x:f>IF($E28="✗",IF(J28="Critical",25,IF(J28="High",15,IF(J28="Medium",8,IF(J28="Low",4,1)))),"")</x:f>
      </x:c>
    </x:row>
    <x:row r="29" ht="18" hidden="0" customHeight="1">
      <x:c r="B29" s="12" t="s">
        <x:v>71</x:v>
      </x:c>
      <x:c r="C29" s="13" t="s">
        <x:v>72</x:v>
      </x:c>
      <x:c r="D29" s="13" t="s">
        <x:v>70</x:v>
      </x:c>
      <x:c r="E29" s="10"/>
      <x:c r="F29" s="10"/>
      <x:c r="G29" s="10"/>
      <x:c r="H29" s="11"/>
      <x:c r="I29" s="10"/>
      <x:c r="K29" s="73"/>
      <x:c r="M29" t="str">
        <x:f>IF($E29="✗",IF(J29="Critical",25,IF(J29="High",15,IF(J29="Medium",8,IF(J29="Low",4,1)))),"")</x:f>
      </x:c>
    </x:row>
    <x:row r="30" ht="18" hidden="0" customHeight="1">
      <x:c r="B30" s="8" t="s">
        <x:v>73</x:v>
      </x:c>
      <x:c r="C30" s="9" t="s">
        <x:v>74</x:v>
      </x:c>
      <x:c r="D30" s="9" t="s">
        <x:v>75</x:v>
      </x:c>
      <x:c r="E30" s="10"/>
      <x:c r="F30" s="10"/>
      <x:c r="G30" s="10"/>
      <x:c r="H30" s="11"/>
      <x:c r="I30" s="10"/>
      <x:c r="K30" s="73"/>
      <x:c r="M30" t="str">
        <x:f>IF($E30="✗",IF(J30="Critical",25,IF(J30="High",15,IF(J30="Medium",8,IF(J30="Low",4,1)))),"")</x:f>
      </x:c>
    </x:row>
    <x:row r="31" ht="18" hidden="0" customHeight="1">
      <x:c r="B31" s="12" t="s">
        <x:v>76</x:v>
      </x:c>
      <x:c r="C31" s="13" t="s">
        <x:v>77</x:v>
      </x:c>
      <x:c r="D31" s="13" t="s">
        <x:v>78</x:v>
      </x:c>
      <x:c r="E31" s="10"/>
      <x:c r="F31" s="10"/>
      <x:c r="G31" s="10"/>
      <x:c r="H31" s="11"/>
      <x:c r="I31" s="10"/>
      <x:c r="K31" s="73"/>
      <x:c r="M31" t="str">
        <x:f>IF($E31="✗",IF(J31="Critical",25,IF(J31="High",15,IF(J31="Medium",8,IF(J31="Low",4,1)))),"")</x:f>
      </x:c>
    </x:row>
    <x:row r="32" ht="18" hidden="0" customHeight="1">
      <x:c r="B32" s="8" t="s">
        <x:v>79</x:v>
      </x:c>
      <x:c r="C32" s="9" t="s">
        <x:v>80</x:v>
      </x:c>
      <x:c r="D32" s="9" t="s">
        <x:v>81</x:v>
      </x:c>
      <x:c r="E32" s="10"/>
      <x:c r="F32" s="10"/>
      <x:c r="G32" s="10"/>
      <x:c r="H32" s="11"/>
      <x:c r="I32" s="10"/>
      <x:c r="K32" s="73"/>
      <x:c r="M32" t="str">
        <x:f>IF($E32="✗",IF(J32="Critical",25,IF(J32="High",15,IF(J32="Medium",8,IF(J32="Low",4,1)))),"")</x:f>
      </x:c>
    </x:row>
    <x:row r="33" ht="18" hidden="0" customHeight="1">
      <x:c r="B33" s="12" t="s">
        <x:v>82</x:v>
      </x:c>
      <x:c r="C33" s="13" t="s">
        <x:v>83</x:v>
      </x:c>
      <x:c r="D33" s="13" t="s">
        <x:v>84</x:v>
      </x:c>
      <x:c r="E33" s="10"/>
      <x:c r="F33" s="10"/>
      <x:c r="G33" s="10"/>
      <x:c r="H33" s="11"/>
      <x:c r="I33" s="10"/>
      <x:c r="K33" s="73"/>
      <x:c r="M33" t="str">
        <x:f>IF($E33="✗",IF(J33="Critical",25,IF(J33="High",15,IF(J33="Medium",8,IF(J33="Low",4,1)))),"")</x:f>
      </x:c>
    </x:row>
    <x:row r="34" ht="18" hidden="0" customHeight="1">
      <x:c r="B34" s="7" t="s">
        <x:v>85</x:v>
      </x:c>
      <x:c r="C34" s="7"/>
      <x:c r="D34" s="7"/>
      <x:c r="E34" s="7"/>
      <x:c r="F34" s="7"/>
      <x:c r="G34" s="7"/>
      <x:c r="H34" s="7"/>
      <x:c r="I34" s="7"/>
      <x:c r="K34" s="73"/>
      <x:c r="M34" t="str">
        <x:f>IF($E34="✗",IF(J34="Critical",25,IF(J34="High",15,IF(J34="Medium",8,IF(J34="Low",4,1)))),"")</x:f>
      </x:c>
    </x:row>
    <x:row r="35" ht="18" hidden="0" customHeight="1">
      <x:c r="B35" s="8" t="s">
        <x:v>86</x:v>
      </x:c>
      <x:c r="C35" s="9" t="s">
        <x:v>87</x:v>
      </x:c>
      <x:c r="D35" s="9" t="s">
        <x:v>88</x:v>
      </x:c>
      <x:c r="E35" s="10"/>
      <x:c r="F35" s="10"/>
      <x:c r="G35" s="10"/>
      <x:c r="H35" s="11"/>
      <x:c r="I35" s="10"/>
      <x:c r="K35" s="73"/>
      <x:c r="M35" t="str">
        <x:f>IF($E35="✗",IF(J35="Critical",25,IF(J35="High",15,IF(J35="Medium",8,IF(J35="Low",4,1)))),"")</x:f>
      </x:c>
    </x:row>
    <x:row r="36" ht="18" hidden="0" customHeight="1">
      <x:c r="B36" s="12" t="s">
        <x:v>89</x:v>
      </x:c>
      <x:c r="C36" s="13" t="s">
        <x:v>90</x:v>
      </x:c>
      <x:c r="D36" s="13" t="s">
        <x:v>91</x:v>
      </x:c>
      <x:c r="E36" s="10"/>
      <x:c r="F36" s="10"/>
      <x:c r="G36" s="10"/>
      <x:c r="H36" s="11"/>
      <x:c r="I36" s="10"/>
      <x:c r="K36" s="73"/>
      <x:c r="M36" t="str">
        <x:f>IF($E36="✗",IF(J36="Critical",25,IF(J36="High",15,IF(J36="Medium",8,IF(J36="Low",4,1)))),"")</x:f>
      </x:c>
    </x:row>
    <x:row r="37" ht="18" hidden="0" customHeight="1">
      <x:c r="B37" s="8" t="s">
        <x:v>92</x:v>
      </x:c>
      <x:c r="C37" s="9" t="s">
        <x:v>93</x:v>
      </x:c>
      <x:c r="D37" s="9" t="s">
        <x:v>94</x:v>
      </x:c>
      <x:c r="E37" s="10"/>
      <x:c r="F37" s="10"/>
      <x:c r="G37" s="10"/>
      <x:c r="H37" s="11"/>
      <x:c r="I37" s="10"/>
      <x:c r="K37" s="73"/>
      <x:c r="M37" t="str">
        <x:f>IF($E37="✗",IF(J37="Critical",25,IF(J37="High",15,IF(J37="Medium",8,IF(J37="Low",4,1)))),"")</x:f>
      </x:c>
    </x:row>
    <x:row r="38" ht="18" hidden="0" customHeight="1">
      <x:c r="B38" s="12" t="s">
        <x:v>95</x:v>
      </x:c>
      <x:c r="C38" s="13" t="s">
        <x:v>96</x:v>
      </x:c>
      <x:c r="D38" s="13" t="s">
        <x:v>97</x:v>
      </x:c>
      <x:c r="E38" s="10"/>
      <x:c r="F38" s="10"/>
      <x:c r="G38" s="10"/>
      <x:c r="H38" s="11"/>
      <x:c r="I38" s="10"/>
      <x:c r="K38" s="73"/>
      <x:c r="M38" t="str">
        <x:f>IF($E38="✗",IF(J38="Critical",25,IF(J38="High",15,IF(J38="Medium",8,IF(J38="Low",4,1)))),"")</x:f>
      </x:c>
    </x:row>
    <x:row r="39" ht="18" hidden="0" customHeight="1">
      <x:c r="B39" s="7" t="s">
        <x:v>98</x:v>
      </x:c>
      <x:c r="C39" s="7"/>
      <x:c r="D39" s="7"/>
      <x:c r="E39" s="7"/>
      <x:c r="F39" s="7"/>
      <x:c r="G39" s="7"/>
      <x:c r="H39" s="7"/>
      <x:c r="I39" s="7"/>
      <x:c r="K39" s="73"/>
      <x:c r="M39" t="str">
        <x:f>IF($E39="✗",IF(J39="Critical",25,IF(J39="High",15,IF(J39="Medium",8,IF(J39="Low",4,1)))),"")</x:f>
      </x:c>
    </x:row>
    <x:row r="40" ht="18" hidden="0" customHeight="1">
      <x:c r="B40" s="8" t="s">
        <x:v>99</x:v>
      </x:c>
      <x:c r="C40" s="9" t="s">
        <x:v>100</x:v>
      </x:c>
      <x:c r="D40" s="9" t="s">
        <x:v>101</x:v>
      </x:c>
      <x:c r="E40" s="10"/>
      <x:c r="F40" s="10"/>
      <x:c r="G40" s="10"/>
      <x:c r="H40" s="11"/>
      <x:c r="I40" s="10"/>
      <x:c r="K40" s="73"/>
      <x:c r="M40" t="str">
        <x:f>IF($E40="✗",IF(J40="Critical",25,IF(J40="High",15,IF(J40="Medium",8,IF(J40="Low",4,1)))),"")</x:f>
      </x:c>
    </x:row>
    <x:row r="41" ht="18" hidden="0" customHeight="1">
      <x:c r="B41" s="12" t="s">
        <x:v>102</x:v>
      </x:c>
      <x:c r="C41" s="13" t="s">
        <x:v>103</x:v>
      </x:c>
      <x:c r="D41" s="13" t="s">
        <x:v>104</x:v>
      </x:c>
      <x:c r="E41" s="10"/>
      <x:c r="F41" s="10"/>
      <x:c r="G41" s="10"/>
      <x:c r="H41" s="11"/>
      <x:c r="I41" s="10"/>
      <x:c r="K41" s="73"/>
      <x:c r="M41" t="str">
        <x:f>IF($E41="✗",IF(J41="Critical",25,IF(J41="High",15,IF(J41="Medium",8,IF(J41="Low",4,1)))),"")</x:f>
      </x:c>
    </x:row>
    <x:row r="42" ht="18" hidden="0" customHeight="1">
      <x:c r="B42" s="8" t="s">
        <x:v>105</x:v>
      </x:c>
      <x:c r="C42" s="9" t="s">
        <x:v>106</x:v>
      </x:c>
      <x:c r="D42" s="9" t="s">
        <x:v>107</x:v>
      </x:c>
      <x:c r="E42" s="10"/>
      <x:c r="F42" s="10"/>
      <x:c r="G42" s="10"/>
      <x:c r="H42" s="11"/>
      <x:c r="I42" s="10"/>
      <x:c r="K42" s="73"/>
      <x:c r="M42" t="str">
        <x:f>IF($E42="✗",IF(J42="Critical",25,IF(J42="High",15,IF(J42="Medium",8,IF(J42="Low",4,1)))),"")</x:f>
      </x:c>
    </x:row>
    <x:row r="43" ht="18" hidden="0" customHeight="1">
      <x:c r="B43" s="12" t="s">
        <x:v>108</x:v>
      </x:c>
      <x:c r="C43" s="13" t="s">
        <x:v>109</x:v>
      </x:c>
      <x:c r="D43" s="13" t="s">
        <x:v>110</x:v>
      </x:c>
      <x:c r="E43" s="10"/>
      <x:c r="F43" s="10"/>
      <x:c r="G43" s="10"/>
      <x:c r="H43" s="11"/>
      <x:c r="I43" s="10"/>
      <x:c r="K43" s="73"/>
      <x:c r="M43" t="str">
        <x:f>IF($E43="✗",IF(J43="Critical",25,IF(J43="High",15,IF(J43="Medium",8,IF(J43="Low",4,1)))),"")</x:f>
      </x:c>
    </x:row>
    <x:row r="44" ht="18" hidden="0" customHeight="1">
      <x:c r="B44" s="7" t="s">
        <x:v>111</x:v>
      </x:c>
      <x:c r="C44" s="7"/>
      <x:c r="D44" s="7"/>
      <x:c r="E44" s="7"/>
      <x:c r="F44" s="7"/>
      <x:c r="G44" s="7"/>
      <x:c r="H44" s="7"/>
      <x:c r="I44" s="7"/>
      <x:c r="K44" s="73"/>
      <x:c r="M44" t="str">
        <x:f>IF($E44="✗",IF(J44="Critical",25,IF(J44="High",15,IF(J44="Medium",8,IF(J44="Low",4,1)))),"")</x:f>
      </x:c>
    </x:row>
    <x:row r="45" ht="18" hidden="0" customHeight="1">
      <x:c r="B45" s="8" t="s">
        <x:v>112</x:v>
      </x:c>
      <x:c r="C45" s="9" t="s">
        <x:v>113</x:v>
      </x:c>
      <x:c r="D45" s="9" t="s">
        <x:v>114</x:v>
      </x:c>
      <x:c r="E45" s="10"/>
      <x:c r="F45" s="10"/>
      <x:c r="G45" s="10"/>
      <x:c r="H45" s="11"/>
      <x:c r="I45" s="10"/>
      <x:c r="K45" s="73"/>
      <x:c r="M45" t="str">
        <x:f>IF($E45="✗",IF(J45="Critical",25,IF(J45="High",15,IF(J45="Medium",8,IF(J45="Low",4,1)))),"")</x:f>
      </x:c>
    </x:row>
    <x:row r="46" ht="18" hidden="0" customHeight="1">
      <x:c r="B46" s="12" t="s">
        <x:v>115</x:v>
      </x:c>
      <x:c r="C46" s="13" t="s">
        <x:v>116</x:v>
      </x:c>
      <x:c r="D46" s="13" t="s">
        <x:v>117</x:v>
      </x:c>
      <x:c r="E46" s="10"/>
      <x:c r="F46" s="10"/>
      <x:c r="G46" s="10"/>
      <x:c r="H46" s="11"/>
      <x:c r="I46" s="10"/>
      <x:c r="K46" s="73"/>
      <x:c r="M46" t="str">
        <x:f>IF($E46="✗",IF(J46="Critical",25,IF(J46="High",15,IF(J46="Medium",8,IF(J46="Low",4,1)))),"")</x:f>
      </x:c>
    </x:row>
    <x:row r="47" ht="18" hidden="0" customHeight="1">
      <x:c r="B47" s="8" t="s">
        <x:v>118</x:v>
      </x:c>
      <x:c r="C47" s="9" t="s">
        <x:v>119</x:v>
      </x:c>
      <x:c r="D47" s="9" t="s">
        <x:v>120</x:v>
      </x:c>
      <x:c r="E47" s="10"/>
      <x:c r="F47" s="10"/>
      <x:c r="G47" s="10"/>
      <x:c r="H47" s="11"/>
      <x:c r="I47" s="10"/>
      <x:c r="K47" s="73"/>
      <x:c r="M47" t="str">
        <x:f>IF($E47="✗",IF(J47="Critical",25,IF(J47="High",15,IF(J47="Medium",8,IF(J47="Low",4,1)))),"")</x:f>
      </x:c>
    </x:row>
    <x:row r="48" ht="18" hidden="0" customHeight="1">
      <x:c r="B48" s="12" t="s">
        <x:v>121</x:v>
      </x:c>
      <x:c r="C48" s="13" t="s">
        <x:v>122</x:v>
      </x:c>
      <x:c r="D48" s="13" t="s">
        <x:v>123</x:v>
      </x:c>
      <x:c r="E48" s="10"/>
      <x:c r="F48" s="10"/>
      <x:c r="G48" s="10"/>
      <x:c r="H48" s="11"/>
      <x:c r="I48" s="10"/>
      <x:c r="K48" s="73"/>
      <x:c r="M48" t="str">
        <x:f>IF($E48="✗",IF(J48="Critical",25,IF(J48="High",15,IF(J48="Medium",8,IF(J48="Low",4,1)))),"")</x:f>
      </x:c>
    </x:row>
    <x:row r="49" ht="18" hidden="0" customHeight="1">
      <x:c r="B49" s="8" t="s">
        <x:v>124</x:v>
      </x:c>
      <x:c r="C49" s="9" t="s">
        <x:v>125</x:v>
      </x:c>
      <x:c r="D49" s="9" t="s">
        <x:v>126</x:v>
      </x:c>
      <x:c r="E49" s="10"/>
      <x:c r="F49" s="10"/>
      <x:c r="G49" s="10"/>
      <x:c r="H49" s="11"/>
      <x:c r="I49" s="10"/>
      <x:c r="K49" s="73"/>
      <x:c r="M49" t="str">
        <x:f>IF($E49="✗",IF(J49="Critical",25,IF(J49="High",15,IF(J49="Medium",8,IF(J49="Low",4,1)))),"")</x:f>
      </x:c>
    </x:row>
    <x:row r="50" ht="18" hidden="0" customHeight="1">
      <x:c r="B50" s="7" t="s">
        <x:v>127</x:v>
      </x:c>
      <x:c r="C50" s="7"/>
      <x:c r="D50" s="7"/>
      <x:c r="E50" s="7"/>
      <x:c r="F50" s="7"/>
      <x:c r="G50" s="7"/>
      <x:c r="H50" s="7"/>
      <x:c r="I50" s="7"/>
      <x:c r="K50" s="73"/>
      <x:c r="M50" t="str">
        <x:f>IF($E50="✗",IF(J50="Critical",25,IF(J50="High",15,IF(J50="Medium",8,IF(J50="Low",4,1)))),"")</x:f>
      </x:c>
    </x:row>
    <x:row r="51" ht="18" hidden="0" customHeight="1">
      <x:c r="B51" s="8" t="s">
        <x:v>128</x:v>
      </x:c>
      <x:c r="C51" s="9" t="s">
        <x:v>129</x:v>
      </x:c>
      <x:c r="D51" s="9" t="s">
        <x:v>130</x:v>
      </x:c>
      <x:c r="E51" s="10"/>
      <x:c r="F51" s="10"/>
      <x:c r="G51" s="10"/>
      <x:c r="H51" s="11"/>
      <x:c r="I51" s="10"/>
      <x:c r="K51" s="73"/>
      <x:c r="M51" t="str">
        <x:f>IF($E51="✗",IF(J51="Critical",25,IF(J51="High",15,IF(J51="Medium",8,IF(J51="Low",4,1)))),"")</x:f>
      </x:c>
    </x:row>
    <x:row r="52" ht="18" hidden="0" customHeight="1">
      <x:c r="B52" s="12" t="s">
        <x:v>131</x:v>
      </x:c>
      <x:c r="C52" s="13" t="s">
        <x:v>132</x:v>
      </x:c>
      <x:c r="D52" s="13" t="s">
        <x:v>133</x:v>
      </x:c>
      <x:c r="E52" s="10"/>
      <x:c r="F52" s="10"/>
      <x:c r="G52" s="10"/>
      <x:c r="H52" s="11"/>
      <x:c r="I52" s="10"/>
      <x:c r="K52" s="73"/>
      <x:c r="M52" t="str">
        <x:f>IF($E52="✗",IF(J52="Critical",25,IF(J52="High",15,IF(J52="Medium",8,IF(J52="Low",4,1)))),"")</x:f>
      </x:c>
    </x:row>
    <x:row r="53" ht="18" hidden="0" customHeight="1">
      <x:c r="B53" s="8" t="s">
        <x:v>134</x:v>
      </x:c>
      <x:c r="C53" s="9" t="s">
        <x:v>135</x:v>
      </x:c>
      <x:c r="D53" s="9" t="s">
        <x:v>136</x:v>
      </x:c>
      <x:c r="E53" s="10"/>
      <x:c r="F53" s="10"/>
      <x:c r="G53" s="10"/>
      <x:c r="H53" s="11"/>
      <x:c r="I53" s="10"/>
      <x:c r="K53" s="73"/>
      <x:c r="M53" t="str">
        <x:f>IF($E53="✗",IF(J53="Critical",25,IF(J53="High",15,IF(J53="Medium",8,IF(J53="Low",4,1)))),"")</x:f>
      </x:c>
    </x:row>
    <x:row r="54" ht="9.75" hidden="0" customHeight="1">
      <x:c r="K54" s="73"/>
      <x:c r="M54" t="str">
        <x:f>IF($E54="✗",IF(J54="Critical",25,IF(J54="High",15,IF(J54="Medium",8,IF(J54="Low",4,1)))),"")</x:f>
      </x:c>
    </x:row>
    <x:row r="55" ht="21.75" hidden="0" customHeight="1">
      <x:c r="B55" s="14" t="s">
        <x:v>137</x:v>
      </x:c>
      <x:c r="C55" s="14"/>
      <x:c r="D55" s="14"/>
      <x:c r="E55" s="14"/>
      <x:c r="F55" s="14"/>
      <x:c r="G55" s="14"/>
      <x:c r="H55" s="14"/>
      <x:c r="I55" s="14"/>
      <x:c r="K55" s="73"/>
      <x:c r="M55" t="str">
        <x:f>IF($E55="✗",IF(J55="Critical",25,IF(J55="High",15,IF(J55="Medium",8,IF(J55="Low",4,1)))),"")</x:f>
      </x:c>
    </x:row>
    <x:row r="56" ht="21.75" hidden="0" customHeight="1">
      <x:c r="B56" s="6" t="s">
        <x:v>138</x:v>
      </x:c>
      <x:c r="D56" s="6" t="s">
        <x:v>139</x:v>
      </x:c>
      <x:c r="F56" s="6" t="s">
        <x:v>140</x:v>
      </x:c>
      <x:c r="H56" s="6" t="s">
        <x:v>141</x:v>
      </x:c>
      <x:c r="K56" s="73"/>
      <x:c r="M56" t="str">
        <x:f>IF($E56="✗",IF(J56="Critical",25,IF(J56="High",15,IF(J56="Medium",8,IF(J56="Low",4,1)))),"")</x:f>
      </x:c>
    </x:row>
    <x:row r="57" ht="27.75" hidden="0" customHeight="1">
      <x:c r="B57" s="5"/>
      <x:c r="C57" s="5"/>
      <x:c r="D57" s="5"/>
      <x:c r="E57" s="5"/>
      <x:c r="F57" s="5"/>
      <x:c r="G57" s="5"/>
      <x:c r="H57" s="5"/>
      <x:c r="I57" s="5"/>
      <x:c r="K57" s="73"/>
      <x:c r="M57" t="str">
        <x:f>IF($E57="✗",IF(J57="Critical",25,IF(J57="High",15,IF(J57="Medium",8,IF(J57="Low",4,1)))),"")</x:f>
      </x:c>
    </x:row>
    <x:row r="58">
      <x:c r="K58" s="73"/>
      <x:c r="M58" t="str">
        <x:f>IF($E58="✗",IF(J58="Critical",25,IF(J58="High",15,IF(J58="Medium",8,IF(J58="Low",4,1)))),"")</x:f>
      </x:c>
    </x:row>
    <x:row r="59">
      <x:c r="K59" s="73"/>
      <x:c r="M59" t="str">
        <x:f>IF($E59="✗",IF(J59="Critical",25,IF(J59="High",15,IF(J59="Medium",8,IF(J59="Low",4,1)))),"")</x:f>
      </x:c>
    </x:row>
    <x:row r="60">
      <x:c r="K60" s="73"/>
      <x:c r="M60" t="str">
        <x:f>IF($E60="✗",IF(J60="Critical",25,IF(J60="High",15,IF(J60="Medium",8,IF(J60="Low",4,1)))),"")</x:f>
      </x:c>
    </x:row>
    <x:row r="61">
      <x:c r="K61" s="73"/>
      <x:c r="M61" t="str">
        <x:f>IF($E61="✗",IF(J61="Critical",25,IF(J61="High",15,IF(J61="Medium",8,IF(J61="Low",4,1)))),"")</x:f>
      </x:c>
    </x:row>
    <x:row r="62">
      <x:c r="K62" s="73"/>
      <x:c r="M62" t="str">
        <x:f>IF($E62="✗",IF(J62="Critical",25,IF(J62="High",15,IF(J62="Medium",8,IF(J62="Low",4,1)))),"")</x:f>
      </x:c>
    </x:row>
    <x:row r="63">
      <x:c r="K63" s="73"/>
      <x:c r="M63" t="str">
        <x:f>IF($E63="✗",IF(J63="Critical",25,IF(J63="High",15,IF(J63="Medium",8,IF(J63="Low",4,1)))),"")</x:f>
      </x:c>
    </x:row>
    <x:row r="64">
      <x:c r="K64" s="73"/>
      <x:c r="M64" t="str">
        <x:f>IF($E64="✗",IF(J64="Critical",25,IF(J64="High",15,IF(J64="Medium",8,IF(J64="Low",4,1)))),"")</x:f>
      </x:c>
    </x:row>
    <x:row r="65">
      <x:c r="K65" s="73"/>
      <x:c r="M65" t="str">
        <x:f>IF($E65="✗",IF(J65="Critical",25,IF(J65="High",15,IF(J65="Medium",8,IF(J65="Low",4,1)))),"")</x:f>
      </x:c>
    </x:row>
  </x:sheetData>
  <x:mergeCells>
    <x:mergeCell ref="B2:I2"/>
    <x:mergeCell ref="B3:H3"/>
    <x:mergeCell ref="B8:I8"/>
    <x:mergeCell ref="B14:I14"/>
    <x:mergeCell ref="B21:I21"/>
    <x:mergeCell ref="B27:I27"/>
    <x:mergeCell ref="B34:I34"/>
    <x:mergeCell ref="B39:I39"/>
    <x:mergeCell ref="B44:I44"/>
    <x:mergeCell ref="B50:I50"/>
    <x:mergeCell ref="B55:I55"/>
  </x:mergeCells>
  <x:conditionalFormatting sqref="L8:L65">
    <x:cfRule type="cellIs" dxfId="5" priority="1">
      <x:formula>"Complete"</x:formula>
    </x:cfRule>
    <x:cfRule type="cellIs" dxfId="6" priority="2">
      <x:formula>"Verified"</x:formula>
    </x:cfRule>
    <x:cfRule type="cellIs" dxfId="7" priority="3">
      <x:formula>"Overdue"</x:formula>
    </x:cfRule>
    <x:cfRule type="cellIs" dxfId="8" priority="4">
      <x:formula>"Open"</x:formula>
    </x:cfRule>
  </x:conditionalFormatting>
  <x:conditionalFormatting sqref="M8:M65">
    <x:cfRule type="cellIs" dxfId="9" priority="5" operator="greaterThanOrEqual">
      <x:formula>15</x:formula>
    </x:cfRule>
  </x:conditionalFormatting>
  <x:dataValidations count="4">
    <x:dataValidation type="list" errorStyle="stop" operator="between" allowBlank="1" showDropDown="0" showInputMessage="0" showErrorMessage="0" sqref="E8:E80">
      <x:formula1>"✓,✗,N/A"</x:formula1>
      <x:formula2>0</x:formula2>
    </x:dataValidation>
    <x:dataValidation type="list" errorStyle="stop" operator="between" allowBlank="1" showDropDown="0" showInputMessage="0" showErrorMessage="0" sqref="G8:G80">
      <x:formula1>"Yes,No,N/A"</x:formula1>
      <x:formula2>0</x:formula2>
    </x:dataValidation>
    <x:dataValidation type="list" sqref="J8:J65">
      <x:formula1>"Critical,High,Medium,Low,Monitor"</x:formula1>
    </x:dataValidation>
    <x:dataValidation type="list" sqref="L8:L65">
      <x:formula1>"Open,In Progress,Complete,Overdue,Deferred,Verified"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80" hidden="0" customWidth="1"/>
  </x:cols>
  <x:sheetData>
    <x:row r="1" ht="30" customHeight="1">
      <x:c r="A1" s="33" t="str">
        <x:v>Pump Inspection Checklist — PREMIUM UPGRADE GUIDE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2" customHeight="1">
      <x:c r="A2" s="40" t="str">
        <x:v>Original template preserved. Added premium sheets turn the file into a semi-automated maintenance management tool.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4" ht="26" customHeight="1">
      <x:c r="A4" s="48" t="str">
        <x:v>Step</x:v>
      </x:c>
      <x:c r="B4" s="48" t="str">
        <x:v>What to do</x:v>
      </x:c>
      <x:c r="C4" s="48" t="str">
        <x:v>Outcome</x:v>
      </x:c>
    </x:row>
    <x:row r="5">
      <x:c r="A5" s="56" t="str">
        <x:v>1</x:v>
      </x:c>
      <x:c r="B5" s="56" t="str">
        <x:v>Enter field data</x:v>
      </x:c>
      <x:c r="C5" s="56" t="str">
        <x:v>Complete the original inspection/report sheet. Yellow cells and result columns are input fields.</x:v>
      </x:c>
    </x:row>
    <x:row r="6">
      <x:c r="A6" s="56" t="str">
        <x:v>2</x:v>
      </x:c>
      <x:c r="B6" s="56" t="str">
        <x:v>Use dropdowns</x:v>
      </x:c>
      <x:c r="C6" s="56" t="str">
        <x:v>Use standardised results, priority, status, criticality and RCA decision fields to keep data clean.</x:v>
      </x:c>
    </x:row>
    <x:row r="7">
      <x:c r="A7" s="56" t="str">
        <x:v>3</x:v>
      </x:c>
      <x:c r="B7" s="56" t="str">
        <x:v>Review dashboard</x:v>
      </x:c>
      <x:c r="C7" s="56" t="str">
        <x:v>Open the dashboard/summary sheet to view compliance, open actions, overdue actions and management risk indicators.</x:v>
      </x:c>
    </x:row>
    <x:row r="8">
      <x:c r="A8" s="56" t="str">
        <x:v>4</x:v>
      </x:c>
      <x:c r="B8" s="56" t="str">
        <x:v>Close actions</x:v>
      </x:c>
      <x:c r="C8" s="56" t="str">
        <x:v>Transfer defects/recommendations to the Action Tracker with owner, due date, status and verification evidence.</x:v>
      </x:c>
    </x:row>
    <x:row r="9">
      <x:c r="A9" s="56" t="str">
        <x:v>5</x:v>
      </x:c>
      <x:c r="B9" s="56" t="str">
        <x:v>Issue report</x:v>
      </x:c>
      <x:c r="C9" s="56" t="str">
        <x:v>Use the original form for site records and the added registers for meetings, audits and maintenance planning.</x:v>
      </x:c>
    </x:row>
    <x:row r="12">
      <x:c r="A12" s="60" t="str">
        <x:v>Upgrades Implemented</x:v>
      </x:c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</x:row>
    <x:row r="13">
      <x:c r="A13" s="64" t="str">
        <x:v>• Pump condition score and risk priority columns added to the inspection sheet.</x:v>
      </x:c>
      <x:c r="B13" s="64" t="str"/>
      <x:c r="C13" s="64" t="str"/>
      <x:c r="D13" s="64" t="str"/>
      <x:c r="E13" s="64" t="str"/>
      <x:c r="F13" s="64" t="str"/>
      <x:c r="G13" s="64" t="str"/>
      <x:c r="H13" s="64" t="str"/>
      <x:c r="I13" s="64" t="str"/>
      <x:c r="J13" s="64" t="str"/>
      <x:c r="K13" s="64" t="str"/>
    </x:row>
    <x:row r="14">
      <x:c r="A14" s="64" t="str">
        <x:v>• Pump performance sheet added for suction/discharge pressure, flow, current, head and operating point review.</x:v>
      </x:c>
      <x:c r="B14" s="64" t="str"/>
      <x:c r="C14" s="64" t="str"/>
      <x:c r="D14" s="64" t="str"/>
      <x:c r="E14" s="64" t="str"/>
      <x:c r="F14" s="64" t="str"/>
      <x:c r="G14" s="64" t="str"/>
      <x:c r="H14" s="64" t="str"/>
      <x:c r="I14" s="64" t="str"/>
      <x:c r="J14" s="64" t="str"/>
      <x:c r="K14" s="64" t="str"/>
    </x:row>
    <x:row r="15">
      <x:c r="A15" s="64" t="str">
        <x:v>• Trend log added for bearing temperature, vibration and seal leakage.</x:v>
      </x:c>
      <x:c r="B15" s="64" t="str"/>
      <x:c r="C15" s="64" t="str"/>
      <x:c r="D15" s="64" t="str"/>
      <x:c r="E15" s="64" t="str"/>
      <x:c r="F15" s="64" t="str"/>
      <x:c r="G15" s="64" t="str"/>
      <x:c r="H15" s="64" t="str"/>
      <x:c r="I15" s="64" t="str"/>
      <x:c r="J15" s="64" t="str"/>
      <x:c r="K15" s="64" t="str"/>
    </x:row>
    <x:row r="16">
      <x:c r="A16" s="64" t="str">
        <x:v>• Photo evidence log added for leaks, seals, coupling, base, corrosion and pipework defects.</x:v>
      </x:c>
      <x:c r="B16" s="64" t="str"/>
      <x:c r="C16" s="64" t="str"/>
      <x:c r="D16" s="64" t="str"/>
      <x:c r="E16" s="64" t="str"/>
      <x:c r="F16" s="64" t="str"/>
      <x:c r="G16" s="64" t="str"/>
      <x:c r="H16" s="64" t="str"/>
      <x:c r="I16" s="64" t="str"/>
      <x:c r="J16" s="64" t="str"/>
      <x:c r="K16" s="64" t="str"/>
    </x:row>
    <x:row r="17">
      <x:c r="A17" s="64" t="str">
        <x:v>• Dashboard added for compliance, defects, open actions and overdue actions.</x:v>
      </x:c>
      <x:c r="B17" s="64" t="str"/>
      <x:c r="C17" s="64" t="str"/>
      <x:c r="D17" s="64" t="str"/>
      <x:c r="E17" s="64" t="str"/>
      <x:c r="F17" s="64" t="str"/>
      <x:c r="G17" s="64" t="str"/>
      <x:c r="H17" s="64" t="str"/>
      <x:c r="I17" s="64" t="str"/>
      <x:c r="J17" s="64" t="str"/>
      <x:c r="K17" s="64" t="str"/>
    </x:row>
  </x:sheetData>
  <x:mergeCells>
    <x:mergeCell ref="A1:K1"/>
    <x:mergeCell ref="A2:K2"/>
    <x:mergeCell ref="A13:K13"/>
    <x:mergeCell ref="A14:K14"/>
    <x:mergeCell ref="A15:K15"/>
    <x:mergeCell ref="A16:K16"/>
    <x:mergeCell ref="A17:K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9.5" hidden="0" customWidth="1"/>
    <x:col min="2" max="2" width="6.880000114440918" hidden="0" customWidth="1"/>
    <x:col min="3" max="3" width="6.630000114440918" hidden="0" customWidth="1"/>
    <x:col min="4" max="4" width="6.75" hidden="0" customWidth="1"/>
    <x:col min="5" max="5" width="12.630000114440918" hidden="0" customWidth="1"/>
    <x:col min="6" max="6" width="10.5" hidden="0" customWidth="1"/>
    <x:col min="7" max="7" width="4.630000114440918" hidden="0" customWidth="1"/>
    <x:col min="8" max="8" width="11" hidden="0" customWidth="1"/>
  </x:cols>
  <x:sheetData>
    <x:row r="1" ht="30" customHeight="1">
      <x:c r="A1" s="33" t="str">
        <x:v>CONTROL LISTS / DROPDOWNS</x:v>
      </x:c>
      <x:c r="B1" s="33"/>
      <x:c r="C1" s="33"/>
      <x:c r="D1" s="33"/>
      <x:c r="E1" s="33"/>
      <x:c r="F1" s="33"/>
      <x:c r="G1" s="33"/>
      <x:c r="H1" s="33"/>
    </x:row>
    <x:row r="2" ht="32" customHeight="1">
      <x:c r="A2" s="40" t="str">
        <x:v>Edit these lists if your site uses different status, priority, failure mode or criticality labels.</x:v>
      </x:c>
      <x:c r="B2" s="40"/>
      <x:c r="C2" s="40"/>
      <x:c r="D2" s="40"/>
      <x:c r="E2" s="40"/>
      <x:c r="F2" s="40"/>
      <x:c r="G2" s="40"/>
      <x:c r="H2" s="40"/>
    </x:row>
    <x:row r="4">
      <x:c r="A4" s="67" t="str">
        <x:v>Status</x:v>
      </x:c>
      <x:c r="B4" s="67" t="str">
        <x:v>Priority</x:v>
      </x:c>
      <x:c r="C4" s="67" t="str">
        <x:v>Result</x:v>
      </x:c>
      <x:c r="D4" s="67" t="str">
        <x:v>Severity</x:v>
      </x:c>
      <x:c r="E4" s="67" t="str">
        <x:v>Failure Mode</x:v>
      </x:c>
      <x:c r="F4" s="67" t="str">
        <x:v>Criticality</x:v>
      </x:c>
      <x:c r="G4" s="67" t="str">
        <x:v>Shift</x:v>
      </x:c>
      <x:c r="H4" s="67" t="str">
        <x:v>RCA Required</x:v>
      </x:c>
    </x:row>
    <x:row r="5">
      <x:c r="A5" t="str">
        <x:v>Open</x:v>
      </x:c>
      <x:c r="B5" t="str">
        <x:v>Critical</x:v>
      </x:c>
      <x:c r="C5" t="str">
        <x:v>✓</x:v>
      </x:c>
      <x:c r="D5" t="n">
        <x:v>1</x:v>
      </x:c>
      <x:c r="E5" t="str">
        <x:v>Mechanical</x:v>
      </x:c>
      <x:c r="F5" t="str">
        <x:v>A - Critical</x:v>
      </x:c>
      <x:c r="G5" t="str">
        <x:v>Day</x:v>
      </x:c>
      <x:c r="H5" t="str">
        <x:v>Yes</x:v>
      </x:c>
    </x:row>
    <x:row r="6">
      <x:c r="A6" t="str">
        <x:v>In Progress</x:v>
      </x:c>
      <x:c r="B6" t="str">
        <x:v>High</x:v>
      </x:c>
      <x:c r="C6" t="str">
        <x:v>✗</x:v>
      </x:c>
      <x:c r="D6" t="n">
        <x:v>2</x:v>
      </x:c>
      <x:c r="E6" t="str">
        <x:v>Electrical</x:v>
      </x:c>
      <x:c r="F6" t="str">
        <x:v>B - Important</x:v>
      </x:c>
      <x:c r="G6" t="str">
        <x:v>Night</x:v>
      </x:c>
      <x:c r="H6" t="str">
        <x:v>No</x:v>
      </x:c>
    </x:row>
    <x:row r="7">
      <x:c r="A7" t="str">
        <x:v>Complete</x:v>
      </x:c>
      <x:c r="B7" t="str">
        <x:v>Medium</x:v>
      </x:c>
      <x:c r="C7" t="str">
        <x:v>N/A</x:v>
      </x:c>
      <x:c r="D7" t="n">
        <x:v>3</x:v>
      </x:c>
      <x:c r="E7" t="str">
        <x:v>Lubrication</x:v>
      </x:c>
      <x:c r="F7" t="str">
        <x:v>C - General</x:v>
      </x:c>
      <x:c r="G7" t="str">
        <x:v>A</x:v>
      </x:c>
      <x:c r="H7" t="str">
        <x:v>TBC</x:v>
      </x:c>
    </x:row>
    <x:row r="8">
      <x:c r="A8" t="str">
        <x:v>Overdue</x:v>
      </x:c>
      <x:c r="B8" t="str">
        <x:v>Low</x:v>
      </x:c>
      <x:c r="C8" t="str">
        <x:v>Monitor</x:v>
      </x:c>
      <x:c r="D8" t="n">
        <x:v>4</x:v>
      </x:c>
      <x:c r="E8" t="str">
        <x:v>Hydraulic</x:v>
      </x:c>
      <x:c r="G8" t="str">
        <x:v>B</x:v>
      </x:c>
    </x:row>
    <x:row r="9">
      <x:c r="A9" t="str">
        <x:v>Deferred</x:v>
      </x:c>
      <x:c r="B9" t="str">
        <x:v>Monitor</x:v>
      </x:c>
      <x:c r="D9" t="n">
        <x:v>5</x:v>
      </x:c>
      <x:c r="E9" t="str">
        <x:v>Pneumatic</x:v>
      </x:c>
      <x:c r="G9" t="str">
        <x:v>C</x:v>
      </x:c>
    </x:row>
    <x:row r="10">
      <x:c r="A10" t="str">
        <x:v>Cancelled</x:v>
      </x:c>
      <x:c r="E10" t="str">
        <x:v>Instrumentation</x:v>
      </x:c>
      <x:c r="G10" t="str">
        <x:v>D</x:v>
      </x:c>
    </x:row>
    <x:row r="11">
      <x:c r="A11" t="str">
        <x:v>Verified</x:v>
      </x:c>
      <x:c r="E11" t="str">
        <x:v>Process</x:v>
      </x:c>
    </x:row>
    <x:row r="12">
      <x:c r="E12" t="str">
        <x:v>Operator</x:v>
      </x:c>
    </x:row>
    <x:row r="13">
      <x:c r="E13" t="str">
        <x:v>Design</x:v>
      </x:c>
    </x:row>
    <x:row r="14">
      <x:c r="E14" t="str">
        <x:v>Unknown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26" hidden="0" customWidth="1"/>
    <x:col min="5" max="5" width="13" hidden="0" customWidth="1"/>
    <x:col min="6" max="6" width="18" hidden="0" customWidth="1"/>
    <x:col min="7" max="7" width="13" hidden="0" customWidth="1"/>
    <x:col min="8" max="8" width="14" hidden="0" customWidth="1"/>
    <x:col min="9" max="9" width="13" hidden="0" customWidth="1"/>
    <x:col min="10" max="10" width="32" hidden="0" customWidth="1"/>
    <x:col min="11" max="11" width="12" hidden="0" customWidth="1"/>
  </x:cols>
  <x:sheetData>
    <x:row r="1" ht="30" customHeight="1">
      <x:c r="A1" s="33" t="str">
        <x:v>ACTION TRACKER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2" customHeight="1">
      <x:c r="A2" s="40" t="str">
        <x:v>Central register for defects, recommendations, close-out dates, and verification.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4" ht="26" customHeight="1">
      <x:c r="A4" s="48" t="str">
        <x:v>Source/Sheet</x:v>
      </x:c>
      <x:c r="B4" s="48" t="str">
        <x:v>Asset / Equipment</x:v>
      </x:c>
      <x:c r="C4" s="48" t="str">
        <x:v>Finding / Defect</x:v>
      </x:c>
      <x:c r="D4" s="48" t="str">
        <x:v>Risk / Impact</x:v>
      </x:c>
      <x:c r="E4" s="48" t="str">
        <x:v>Priority</x:v>
      </x:c>
      <x:c r="F4" s="48" t="str">
        <x:v>Responsible Person</x:v>
      </x:c>
      <x:c r="G4" s="48" t="str">
        <x:v>Due Date</x:v>
      </x:c>
      <x:c r="H4" s="48" t="str">
        <x:v>Status</x:v>
      </x:c>
      <x:c r="I4" s="48" t="str">
        <x:v>Close-out Date</x:v>
      </x:c>
      <x:c r="J4" s="48" t="str">
        <x:v>Verification / Evidence</x:v>
      </x:c>
      <x:c r="K4" s="48" t="str">
        <x:v>Days Overdue</x:v>
      </x:c>
    </x:row>
    <x:row r="5">
      <x:c r="A5" s="56" t="str"/>
      <x:c r="B5" s="56" t="str"/>
      <x:c r="C5" s="56" t="str"/>
      <x:c r="D5" s="56" t="str"/>
      <x:c r="E5" s="56" t="str"/>
      <x:c r="F5" s="56" t="str"/>
      <x:c r="G5" s="69" t="str"/>
      <x:c r="H5" s="56" t="str">
        <x:v>Open</x:v>
      </x:c>
      <x:c r="I5" s="69" t="str"/>
      <x:c r="J5" s="56" t="str"/>
      <x:c r="K5" s="56" t="n">
        <x:f>IF(AND(G5&lt;&gt;"",H5&lt;&gt;"Complete",H5&lt;&gt;"Verified"),MAX(0,TODAY()-G5),0)</x:f>
        <x:v>0</x:v>
      </x:c>
    </x:row>
    <x:row r="6">
      <x:c r="A6" s="56" t="str"/>
      <x:c r="B6" s="56" t="str"/>
      <x:c r="C6" s="56" t="str"/>
      <x:c r="D6" s="56" t="str"/>
      <x:c r="E6" s="56" t="str"/>
      <x:c r="F6" s="56" t="str"/>
      <x:c r="G6" s="69" t="str"/>
      <x:c r="H6" s="56" t="str">
        <x:v>Open</x:v>
      </x:c>
      <x:c r="I6" s="69" t="str"/>
      <x:c r="J6" s="56" t="str"/>
      <x:c r="K6" s="56" t="n">
        <x:f>IF(AND(G6&lt;&gt;"",H6&lt;&gt;"Complete",H6&lt;&gt;"Verified"),MAX(0,TODAY()-G6),0)</x:f>
        <x:v>0</x:v>
      </x:c>
    </x:row>
    <x:row r="7">
      <x:c r="A7" s="56" t="str"/>
      <x:c r="B7" s="56" t="str"/>
      <x:c r="C7" s="56" t="str"/>
      <x:c r="D7" s="56" t="str"/>
      <x:c r="E7" s="56" t="str"/>
      <x:c r="F7" s="56" t="str"/>
      <x:c r="G7" s="69" t="str"/>
      <x:c r="H7" s="56" t="str">
        <x:v>Open</x:v>
      </x:c>
      <x:c r="I7" s="69" t="str"/>
      <x:c r="J7" s="56" t="str"/>
      <x:c r="K7" s="56" t="n">
        <x:f>IF(AND(G7&lt;&gt;"",H7&lt;&gt;"Complete",H7&lt;&gt;"Verified"),MAX(0,TODAY()-G7),0)</x:f>
        <x:v>0</x:v>
      </x:c>
    </x:row>
    <x:row r="8">
      <x:c r="A8" s="56" t="str"/>
      <x:c r="B8" s="56" t="str"/>
      <x:c r="C8" s="56" t="str"/>
      <x:c r="D8" s="56" t="str"/>
      <x:c r="E8" s="56" t="str"/>
      <x:c r="F8" s="56" t="str"/>
      <x:c r="G8" s="69" t="str"/>
      <x:c r="H8" s="56" t="str">
        <x:v>Open</x:v>
      </x:c>
      <x:c r="I8" s="69" t="str"/>
      <x:c r="J8" s="56" t="str"/>
      <x:c r="K8" s="56" t="n">
        <x:f>IF(AND(G8&lt;&gt;"",H8&lt;&gt;"Complete",H8&lt;&gt;"Verified"),MAX(0,TODAY()-G8),0)</x:f>
        <x:v>0</x:v>
      </x:c>
    </x:row>
    <x:row r="9">
      <x:c r="A9" s="56" t="str"/>
      <x:c r="B9" s="56" t="str"/>
      <x:c r="C9" s="56" t="str"/>
      <x:c r="D9" s="56" t="str"/>
      <x:c r="E9" s="56" t="str"/>
      <x:c r="F9" s="56" t="str"/>
      <x:c r="G9" s="69" t="str"/>
      <x:c r="H9" s="56" t="str">
        <x:v>Open</x:v>
      </x:c>
      <x:c r="I9" s="69" t="str"/>
      <x:c r="J9" s="56" t="str"/>
      <x:c r="K9" s="56" t="n">
        <x:f>IF(AND(G9&lt;&gt;"",H9&lt;&gt;"Complete",H9&lt;&gt;"Verified"),MAX(0,TODAY()-G9),0)</x:f>
        <x:v>0</x:v>
      </x:c>
    </x:row>
    <x:row r="10">
      <x:c r="A10" s="56" t="str"/>
      <x:c r="B10" s="56" t="str"/>
      <x:c r="C10" s="56" t="str"/>
      <x:c r="D10" s="56" t="str"/>
      <x:c r="E10" s="56" t="str"/>
      <x:c r="F10" s="56" t="str"/>
      <x:c r="G10" s="69" t="str"/>
      <x:c r="H10" s="56" t="str">
        <x:v>Open</x:v>
      </x:c>
      <x:c r="I10" s="69" t="str"/>
      <x:c r="J10" s="56" t="str"/>
      <x:c r="K10" s="56" t="n">
        <x:f>IF(AND(G10&lt;&gt;"",H10&lt;&gt;"Complete",H10&lt;&gt;"Verified"),MAX(0,TODAY()-G10),0)</x:f>
        <x:v>0</x:v>
      </x:c>
    </x:row>
    <x:row r="11">
      <x:c r="A11" s="56" t="str"/>
      <x:c r="B11" s="56" t="str"/>
      <x:c r="C11" s="56" t="str"/>
      <x:c r="D11" s="56" t="str"/>
      <x:c r="E11" s="56" t="str"/>
      <x:c r="F11" s="56" t="str"/>
      <x:c r="G11" s="69" t="str"/>
      <x:c r="H11" s="56" t="str">
        <x:v>Open</x:v>
      </x:c>
      <x:c r="I11" s="69" t="str"/>
      <x:c r="J11" s="56" t="str"/>
      <x:c r="K11" s="56" t="n">
        <x:f>IF(AND(G11&lt;&gt;"",H11&lt;&gt;"Complete",H11&lt;&gt;"Verified"),MAX(0,TODAY()-G11),0)</x:f>
        <x:v>0</x:v>
      </x:c>
    </x:row>
    <x:row r="12">
      <x:c r="A12" s="56" t="str"/>
      <x:c r="B12" s="56" t="str"/>
      <x:c r="C12" s="56" t="str"/>
      <x:c r="D12" s="56" t="str"/>
      <x:c r="E12" s="56" t="str"/>
      <x:c r="F12" s="56" t="str"/>
      <x:c r="G12" s="69" t="str"/>
      <x:c r="H12" s="56" t="str">
        <x:v>Open</x:v>
      </x:c>
      <x:c r="I12" s="69" t="str"/>
      <x:c r="J12" s="56" t="str"/>
      <x:c r="K12" s="56" t="n">
        <x:f>IF(AND(G12&lt;&gt;"",H12&lt;&gt;"Complete",H12&lt;&gt;"Verified"),MAX(0,TODAY()-G12),0)</x:f>
        <x:v>0</x:v>
      </x:c>
    </x:row>
    <x:row r="13">
      <x:c r="A13" s="56" t="str"/>
      <x:c r="B13" s="56" t="str"/>
      <x:c r="C13" s="56" t="str"/>
      <x:c r="D13" s="56" t="str"/>
      <x:c r="E13" s="56" t="str"/>
      <x:c r="F13" s="56" t="str"/>
      <x:c r="G13" s="69" t="str"/>
      <x:c r="H13" s="56" t="str">
        <x:v>Open</x:v>
      </x:c>
      <x:c r="I13" s="69" t="str"/>
      <x:c r="J13" s="56" t="str"/>
      <x:c r="K13" s="56" t="n">
        <x:f>IF(AND(G13&lt;&gt;"",H13&lt;&gt;"Complete",H13&lt;&gt;"Verified"),MAX(0,TODAY()-G13),0)</x:f>
        <x:v>0</x:v>
      </x:c>
    </x:row>
    <x:row r="14">
      <x:c r="A14" s="56" t="str"/>
      <x:c r="B14" s="56" t="str"/>
      <x:c r="C14" s="56" t="str"/>
      <x:c r="D14" s="56" t="str"/>
      <x:c r="E14" s="56" t="str"/>
      <x:c r="F14" s="56" t="str"/>
      <x:c r="G14" s="69" t="str"/>
      <x:c r="H14" s="56" t="str">
        <x:v>Open</x:v>
      </x:c>
      <x:c r="I14" s="69" t="str"/>
      <x:c r="J14" s="56" t="str"/>
      <x:c r="K14" s="56" t="n">
        <x:f>IF(AND(G14&lt;&gt;"",H14&lt;&gt;"Complete",H14&lt;&gt;"Verified"),MAX(0,TODAY()-G14),0)</x:f>
        <x:v>0</x:v>
      </x:c>
    </x:row>
    <x:row r="15">
      <x:c r="A15" s="56" t="str"/>
      <x:c r="B15" s="56" t="str"/>
      <x:c r="C15" s="56" t="str"/>
      <x:c r="D15" s="56" t="str"/>
      <x:c r="E15" s="56" t="str"/>
      <x:c r="F15" s="56" t="str"/>
      <x:c r="G15" s="69" t="str"/>
      <x:c r="H15" s="56" t="str">
        <x:v>Open</x:v>
      </x:c>
      <x:c r="I15" s="69" t="str"/>
      <x:c r="J15" s="56" t="str"/>
      <x:c r="K15" s="56" t="n">
        <x:f>IF(AND(G15&lt;&gt;"",H15&lt;&gt;"Complete",H15&lt;&gt;"Verified"),MAX(0,TODAY()-G15),0)</x:f>
        <x:v>0</x:v>
      </x:c>
    </x:row>
    <x:row r="16">
      <x:c r="A16" s="56" t="str"/>
      <x:c r="B16" s="56" t="str"/>
      <x:c r="C16" s="56" t="str"/>
      <x:c r="D16" s="56" t="str"/>
      <x:c r="E16" s="56" t="str"/>
      <x:c r="F16" s="56" t="str"/>
      <x:c r="G16" s="69" t="str"/>
      <x:c r="H16" s="56" t="str">
        <x:v>Open</x:v>
      </x:c>
      <x:c r="I16" s="69" t="str"/>
      <x:c r="J16" s="56" t="str"/>
      <x:c r="K16" s="56" t="n">
        <x:f>IF(AND(G16&lt;&gt;"",H16&lt;&gt;"Complete",H16&lt;&gt;"Verified"),MAX(0,TODAY()-G16),0)</x:f>
        <x:v>0</x:v>
      </x:c>
    </x:row>
    <x:row r="17">
      <x:c r="A17" s="56" t="str"/>
      <x:c r="B17" s="56" t="str"/>
      <x:c r="C17" s="56" t="str"/>
      <x:c r="D17" s="56" t="str"/>
      <x:c r="E17" s="56" t="str"/>
      <x:c r="F17" s="56" t="str"/>
      <x:c r="G17" s="69" t="str"/>
      <x:c r="H17" s="56" t="str">
        <x:v>Open</x:v>
      </x:c>
      <x:c r="I17" s="69" t="str"/>
      <x:c r="J17" s="56" t="str"/>
      <x:c r="K17" s="56" t="n">
        <x:f>IF(AND(G17&lt;&gt;"",H17&lt;&gt;"Complete",H17&lt;&gt;"Verified"),MAX(0,TODAY()-G17),0)</x:f>
        <x:v>0</x:v>
      </x:c>
    </x:row>
    <x:row r="18">
      <x:c r="A18" s="56" t="str"/>
      <x:c r="B18" s="56" t="str"/>
      <x:c r="C18" s="56" t="str"/>
      <x:c r="D18" s="56" t="str"/>
      <x:c r="E18" s="56" t="str"/>
      <x:c r="F18" s="56" t="str"/>
      <x:c r="G18" s="69" t="str"/>
      <x:c r="H18" s="56" t="str">
        <x:v>Open</x:v>
      </x:c>
      <x:c r="I18" s="69" t="str"/>
      <x:c r="J18" s="56" t="str"/>
      <x:c r="K18" s="56" t="n">
        <x:f>IF(AND(G18&lt;&gt;"",H18&lt;&gt;"Complete",H18&lt;&gt;"Verified"),MAX(0,TODAY()-G18),0)</x:f>
        <x:v>0</x:v>
      </x:c>
    </x:row>
    <x:row r="19">
      <x:c r="A19" s="56" t="str"/>
      <x:c r="B19" s="56" t="str"/>
      <x:c r="C19" s="56" t="str"/>
      <x:c r="D19" s="56" t="str"/>
      <x:c r="E19" s="56" t="str"/>
      <x:c r="F19" s="56" t="str"/>
      <x:c r="G19" s="69" t="str"/>
      <x:c r="H19" s="56" t="str">
        <x:v>Open</x:v>
      </x:c>
      <x:c r="I19" s="69" t="str"/>
      <x:c r="J19" s="56" t="str"/>
      <x:c r="K19" s="56" t="n">
        <x:f>IF(AND(G19&lt;&gt;"",H19&lt;&gt;"Complete",H19&lt;&gt;"Verified"),MAX(0,TODAY()-G19),0)</x:f>
        <x:v>0</x:v>
      </x:c>
    </x:row>
    <x:row r="20">
      <x:c r="A20" s="56" t="str"/>
      <x:c r="B20" s="56" t="str"/>
      <x:c r="C20" s="56" t="str"/>
      <x:c r="D20" s="56" t="str"/>
      <x:c r="E20" s="56" t="str"/>
      <x:c r="F20" s="56" t="str"/>
      <x:c r="G20" s="69" t="str"/>
      <x:c r="H20" s="56" t="str">
        <x:v>Open</x:v>
      </x:c>
      <x:c r="I20" s="69" t="str"/>
      <x:c r="J20" s="56" t="str"/>
      <x:c r="K20" s="56" t="n">
        <x:f>IF(AND(G20&lt;&gt;"",H20&lt;&gt;"Complete",H20&lt;&gt;"Verified"),MAX(0,TODAY()-G20),0)</x:f>
        <x:v>0</x:v>
      </x:c>
    </x:row>
    <x:row r="21">
      <x:c r="A21" s="56" t="str"/>
      <x:c r="B21" s="56" t="str"/>
      <x:c r="C21" s="56" t="str"/>
      <x:c r="D21" s="56" t="str"/>
      <x:c r="E21" s="56" t="str"/>
      <x:c r="F21" s="56" t="str"/>
      <x:c r="G21" s="69" t="str"/>
      <x:c r="H21" s="56" t="str">
        <x:v>Open</x:v>
      </x:c>
      <x:c r="I21" s="69" t="str"/>
      <x:c r="J21" s="56" t="str"/>
      <x:c r="K21" s="56" t="n">
        <x:f>IF(AND(G21&lt;&gt;"",H21&lt;&gt;"Complete",H21&lt;&gt;"Verified"),MAX(0,TODAY()-G21),0)</x:f>
        <x:v>0</x:v>
      </x:c>
    </x:row>
    <x:row r="22">
      <x:c r="A22" s="56" t="str"/>
      <x:c r="B22" s="56" t="str"/>
      <x:c r="C22" s="56" t="str"/>
      <x:c r="D22" s="56" t="str"/>
      <x:c r="E22" s="56" t="str"/>
      <x:c r="F22" s="56" t="str"/>
      <x:c r="G22" s="69" t="str"/>
      <x:c r="H22" s="56" t="str">
        <x:v>Open</x:v>
      </x:c>
      <x:c r="I22" s="69" t="str"/>
      <x:c r="J22" s="56" t="str"/>
      <x:c r="K22" s="56" t="n">
        <x:f>IF(AND(G22&lt;&gt;"",H22&lt;&gt;"Complete",H22&lt;&gt;"Verified"),MAX(0,TODAY()-G22),0)</x:f>
        <x:v>0</x:v>
      </x:c>
    </x:row>
    <x:row r="23">
      <x:c r="A23" s="56" t="str"/>
      <x:c r="B23" s="56" t="str"/>
      <x:c r="C23" s="56" t="str"/>
      <x:c r="D23" s="56" t="str"/>
      <x:c r="E23" s="56" t="str"/>
      <x:c r="F23" s="56" t="str"/>
      <x:c r="G23" s="69" t="str"/>
      <x:c r="H23" s="56" t="str">
        <x:v>Open</x:v>
      </x:c>
      <x:c r="I23" s="69" t="str"/>
      <x:c r="J23" s="56" t="str"/>
      <x:c r="K23" s="56" t="n">
        <x:f>IF(AND(G23&lt;&gt;"",H23&lt;&gt;"Complete",H23&lt;&gt;"Verified"),MAX(0,TODAY()-G23),0)</x:f>
        <x:v>0</x:v>
      </x:c>
    </x:row>
    <x:row r="24">
      <x:c r="A24" s="56" t="str"/>
      <x:c r="B24" s="56" t="str"/>
      <x:c r="C24" s="56" t="str"/>
      <x:c r="D24" s="56" t="str"/>
      <x:c r="E24" s="56" t="str"/>
      <x:c r="F24" s="56" t="str"/>
      <x:c r="G24" s="69" t="str"/>
      <x:c r="H24" s="56" t="str">
        <x:v>Open</x:v>
      </x:c>
      <x:c r="I24" s="69" t="str"/>
      <x:c r="J24" s="56" t="str"/>
      <x:c r="K24" s="56" t="n">
        <x:f>IF(AND(G24&lt;&gt;"",H24&lt;&gt;"Complete",H24&lt;&gt;"Verified"),MAX(0,TODAY()-G24),0)</x:f>
        <x:v>0</x:v>
      </x:c>
    </x:row>
    <x:row r="25">
      <x:c r="A25" s="56" t="str"/>
      <x:c r="B25" s="56" t="str"/>
      <x:c r="C25" s="56" t="str"/>
      <x:c r="D25" s="56" t="str"/>
      <x:c r="E25" s="56" t="str"/>
      <x:c r="F25" s="56" t="str"/>
      <x:c r="G25" s="69" t="str"/>
      <x:c r="H25" s="56" t="str">
        <x:v>Open</x:v>
      </x:c>
      <x:c r="I25" s="69" t="str"/>
      <x:c r="J25" s="56" t="str"/>
      <x:c r="K25" s="56" t="n">
        <x:f>IF(AND(G25&lt;&gt;"",H25&lt;&gt;"Complete",H25&lt;&gt;"Verified"),MAX(0,TODAY()-G25),0)</x:f>
        <x:v>0</x:v>
      </x:c>
    </x:row>
    <x:row r="26">
      <x:c r="A26" s="56" t="str"/>
      <x:c r="B26" s="56" t="str"/>
      <x:c r="C26" s="56" t="str"/>
      <x:c r="D26" s="56" t="str"/>
      <x:c r="E26" s="56" t="str"/>
      <x:c r="F26" s="56" t="str"/>
      <x:c r="G26" s="69" t="str"/>
      <x:c r="H26" s="56" t="str">
        <x:v>Open</x:v>
      </x:c>
      <x:c r="I26" s="69" t="str"/>
      <x:c r="J26" s="56" t="str"/>
      <x:c r="K26" s="56" t="n">
        <x:f>IF(AND(G26&lt;&gt;"",H26&lt;&gt;"Complete",H26&lt;&gt;"Verified"),MAX(0,TODAY()-G26),0)</x:f>
        <x:v>0</x:v>
      </x:c>
    </x:row>
    <x:row r="27">
      <x:c r="A27" s="56" t="str"/>
      <x:c r="B27" s="56" t="str"/>
      <x:c r="C27" s="56" t="str"/>
      <x:c r="D27" s="56" t="str"/>
      <x:c r="E27" s="56" t="str"/>
      <x:c r="F27" s="56" t="str"/>
      <x:c r="G27" s="69" t="str"/>
      <x:c r="H27" s="56" t="str">
        <x:v>Open</x:v>
      </x:c>
      <x:c r="I27" s="69" t="str"/>
      <x:c r="J27" s="56" t="str"/>
      <x:c r="K27" s="56" t="n">
        <x:f>IF(AND(G27&lt;&gt;"",H27&lt;&gt;"Complete",H27&lt;&gt;"Verified"),MAX(0,TODAY()-G27),0)</x:f>
        <x:v>0</x:v>
      </x:c>
    </x:row>
    <x:row r="28">
      <x:c r="A28" s="56" t="str"/>
      <x:c r="B28" s="56" t="str"/>
      <x:c r="C28" s="56" t="str"/>
      <x:c r="D28" s="56" t="str"/>
      <x:c r="E28" s="56" t="str"/>
      <x:c r="F28" s="56" t="str"/>
      <x:c r="G28" s="69" t="str"/>
      <x:c r="H28" s="56" t="str">
        <x:v>Open</x:v>
      </x:c>
      <x:c r="I28" s="69" t="str"/>
      <x:c r="J28" s="56" t="str"/>
      <x:c r="K28" s="56" t="n">
        <x:f>IF(AND(G28&lt;&gt;"",H28&lt;&gt;"Complete",H28&lt;&gt;"Verified"),MAX(0,TODAY()-G28),0)</x:f>
        <x:v>0</x:v>
      </x:c>
    </x:row>
    <x:row r="29">
      <x:c r="A29" s="56" t="str"/>
      <x:c r="B29" s="56" t="str"/>
      <x:c r="C29" s="56" t="str"/>
      <x:c r="D29" s="56" t="str"/>
      <x:c r="E29" s="56" t="str"/>
      <x:c r="F29" s="56" t="str"/>
      <x:c r="G29" s="69" t="str"/>
      <x:c r="H29" s="56" t="str">
        <x:v>Open</x:v>
      </x:c>
      <x:c r="I29" s="69" t="str"/>
      <x:c r="J29" s="56" t="str"/>
      <x:c r="K29" s="56" t="n">
        <x:f>IF(AND(G29&lt;&gt;"",H29&lt;&gt;"Complete",H29&lt;&gt;"Verified"),MAX(0,TODAY()-G29),0)</x:f>
        <x:v>0</x:v>
      </x:c>
    </x:row>
    <x:row r="30">
      <x:c r="A30" s="56" t="str"/>
      <x:c r="B30" s="56" t="str"/>
      <x:c r="C30" s="56" t="str"/>
      <x:c r="D30" s="56" t="str"/>
      <x:c r="E30" s="56" t="str"/>
      <x:c r="F30" s="56" t="str"/>
      <x:c r="G30" s="69" t="str"/>
      <x:c r="H30" s="56" t="str">
        <x:v>Open</x:v>
      </x:c>
      <x:c r="I30" s="69" t="str"/>
      <x:c r="J30" s="56" t="str"/>
      <x:c r="K30" s="56" t="n">
        <x:f>IF(AND(G30&lt;&gt;"",H30&lt;&gt;"Complete",H30&lt;&gt;"Verified"),MAX(0,TODAY()-G30),0)</x:f>
        <x:v>0</x:v>
      </x:c>
    </x:row>
    <x:row r="31">
      <x:c r="A31" s="56" t="str"/>
      <x:c r="B31" s="56" t="str"/>
      <x:c r="C31" s="56" t="str"/>
      <x:c r="D31" s="56" t="str"/>
      <x:c r="E31" s="56" t="str"/>
      <x:c r="F31" s="56" t="str"/>
      <x:c r="G31" s="69" t="str"/>
      <x:c r="H31" s="56" t="str">
        <x:v>Open</x:v>
      </x:c>
      <x:c r="I31" s="69" t="str"/>
      <x:c r="J31" s="56" t="str"/>
      <x:c r="K31" s="56" t="n">
        <x:f>IF(AND(G31&lt;&gt;"",H31&lt;&gt;"Complete",H31&lt;&gt;"Verified"),MAX(0,TODAY()-G31),0)</x:f>
        <x:v>0</x:v>
      </x:c>
    </x:row>
    <x:row r="32">
      <x:c r="A32" s="56" t="str"/>
      <x:c r="B32" s="56" t="str"/>
      <x:c r="C32" s="56" t="str"/>
      <x:c r="D32" s="56" t="str"/>
      <x:c r="E32" s="56" t="str"/>
      <x:c r="F32" s="56" t="str"/>
      <x:c r="G32" s="69" t="str"/>
      <x:c r="H32" s="56" t="str">
        <x:v>Open</x:v>
      </x:c>
      <x:c r="I32" s="69" t="str"/>
      <x:c r="J32" s="56" t="str"/>
      <x:c r="K32" s="56" t="n">
        <x:f>IF(AND(G32&lt;&gt;"",H32&lt;&gt;"Complete",H32&lt;&gt;"Verified"),MAX(0,TODAY()-G32),0)</x:f>
        <x:v>0</x:v>
      </x:c>
    </x:row>
    <x:row r="33">
      <x:c r="A33" s="56" t="str"/>
      <x:c r="B33" s="56" t="str"/>
      <x:c r="C33" s="56" t="str"/>
      <x:c r="D33" s="56" t="str"/>
      <x:c r="E33" s="56" t="str"/>
      <x:c r="F33" s="56" t="str"/>
      <x:c r="G33" s="69" t="str"/>
      <x:c r="H33" s="56" t="str">
        <x:v>Open</x:v>
      </x:c>
      <x:c r="I33" s="69" t="str"/>
      <x:c r="J33" s="56" t="str"/>
      <x:c r="K33" s="56" t="n">
        <x:f>IF(AND(G33&lt;&gt;"",H33&lt;&gt;"Complete",H33&lt;&gt;"Verified"),MAX(0,TODAY()-G33),0)</x:f>
        <x:v>0</x:v>
      </x:c>
    </x:row>
    <x:row r="34">
      <x:c r="A34" s="56" t="str"/>
      <x:c r="B34" s="56" t="str"/>
      <x:c r="C34" s="56" t="str"/>
      <x:c r="D34" s="56" t="str"/>
      <x:c r="E34" s="56" t="str"/>
      <x:c r="F34" s="56" t="str"/>
      <x:c r="G34" s="69" t="str"/>
      <x:c r="H34" s="56" t="str">
        <x:v>Open</x:v>
      </x:c>
      <x:c r="I34" s="69" t="str"/>
      <x:c r="J34" s="56" t="str"/>
      <x:c r="K34" s="56" t="n">
        <x:f>IF(AND(G34&lt;&gt;"",H34&lt;&gt;"Complete",H34&lt;&gt;"Verified"),MAX(0,TODAY()-G34),0)</x:f>
        <x:v>0</x:v>
      </x:c>
    </x:row>
  </x:sheetData>
  <x:mergeCells>
    <x:mergeCell ref="A1:K1"/>
    <x:mergeCell ref="A2:K2"/>
  </x:mergeCells>
  <x:conditionalFormatting sqref="H5:H34">
    <x:cfRule type="cellIs" dxfId="0" priority="1">
      <x:formula>"Complete"</x:formula>
    </x:cfRule>
    <x:cfRule type="cellIs" dxfId="1" priority="2">
      <x:formula>"Verified"</x:formula>
    </x:cfRule>
    <x:cfRule type="cellIs" dxfId="2" priority="3">
      <x:formula>"Overdue"</x:formula>
    </x:cfRule>
    <x:cfRule type="cellIs" dxfId="3" priority="4">
      <x:formula>"Open"</x:formula>
    </x:cfRule>
  </x:conditionalFormatting>
  <x:conditionalFormatting sqref="K5:K34">
    <x:cfRule type="cellIs" dxfId="4" priority="5" operator="greaterThan">
      <x:formula>0</x:formula>
    </x:cfRule>
  </x:conditionalFormatting>
  <x:dataValidations count="2">
    <x:dataValidation type="list" sqref="E5:E34">
      <x:formula1>"Critical,High,Medium,Low,Monitor"</x:formula1>
    </x:dataValidation>
    <x:dataValidation type="list" sqref="H5:H34">
      <x:formula1>"Open,In Progress,Complete,Overdue,Deferred,Cancelled,Verified"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25b498522f4a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36" hidden="0" customWidth="1"/>
    <x:col min="5" max="5" width="3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30" hidden="0" customWidth="1"/>
  </x:cols>
  <x:sheetData>
    <x:row r="1" ht="30" customHeight="1">
      <x:c r="A1" s="33" t="str">
        <x:v>DEFECT PHOTO LOG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32" customHeight="1">
      <x:c r="A2" s="40" t="str">
        <x:v>Record photo evidence references; paste links to shared folders/CMMS records rather than inserting large images into the workbook.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4" ht="26" customHeight="1">
      <x:c r="A4" s="48" t="str">
        <x:v>Photo Ref</x:v>
      </x:c>
      <x:c r="B4" s="48" t="str">
        <x:v>Pump Tag</x:v>
      </x:c>
      <x:c r="C4" s="48" t="str">
        <x:v>Component / Location</x:v>
      </x:c>
      <x:c r="D4" s="48" t="str">
        <x:v>Finding Shown</x:v>
      </x:c>
      <x:c r="E4" s="48" t="str">
        <x:v>File/Folder Link</x:v>
      </x:c>
      <x:c r="F4" s="48" t="str">
        <x:v>Taken By</x:v>
      </x:c>
      <x:c r="G4" s="48" t="str">
        <x:v>Date</x:v>
      </x:c>
      <x:c r="H4" s="48" t="str">
        <x:v>Severity</x:v>
      </x:c>
      <x:c r="I4" s="48" t="str">
        <x:v>Action Ref</x:v>
      </x:c>
      <x:c r="J4" s="48" t="str">
        <x:v>Notes</x:v>
      </x:c>
    </x:row>
    <x:row r="5">
      <x:c r="A5" s="56" t="str">
        <x:v>PH-001</x:v>
      </x:c>
      <x:c r="B5" s="56" t="str"/>
      <x:c r="C5" s="56" t="str"/>
      <x:c r="D5" s="56" t="str"/>
      <x:c r="E5" s="56" t="str"/>
      <x:c r="F5" s="56" t="str"/>
      <x:c r="G5" s="69" t="str"/>
      <x:c r="H5" s="56" t="str"/>
      <x:c r="I5" s="56" t="str"/>
      <x:c r="J5" s="56" t="str"/>
    </x:row>
    <x:row r="6">
      <x:c r="A6" s="56" t="str">
        <x:v>PH-002</x:v>
      </x:c>
      <x:c r="B6" s="56" t="str"/>
      <x:c r="C6" s="56" t="str"/>
      <x:c r="D6" s="56" t="str"/>
      <x:c r="E6" s="56" t="str"/>
      <x:c r="F6" s="56" t="str"/>
      <x:c r="G6" s="69" t="str"/>
      <x:c r="H6" s="56" t="str"/>
      <x:c r="I6" s="56" t="str"/>
      <x:c r="J6" s="56" t="str"/>
    </x:row>
    <x:row r="7">
      <x:c r="A7" s="56" t="str">
        <x:v>PH-003</x:v>
      </x:c>
      <x:c r="B7" s="56" t="str"/>
      <x:c r="C7" s="56" t="str"/>
      <x:c r="D7" s="56" t="str"/>
      <x:c r="E7" s="56" t="str"/>
      <x:c r="F7" s="56" t="str"/>
      <x:c r="G7" s="69" t="str"/>
      <x:c r="H7" s="56" t="str"/>
      <x:c r="I7" s="56" t="str"/>
      <x:c r="J7" s="56" t="str"/>
    </x:row>
    <x:row r="8">
      <x:c r="A8" s="56" t="str">
        <x:v>PH-004</x:v>
      </x:c>
      <x:c r="B8" s="56" t="str"/>
      <x:c r="C8" s="56" t="str"/>
      <x:c r="D8" s="56" t="str"/>
      <x:c r="E8" s="56" t="str"/>
      <x:c r="F8" s="56" t="str"/>
      <x:c r="G8" s="69" t="str"/>
      <x:c r="H8" s="56" t="str"/>
      <x:c r="I8" s="56" t="str"/>
      <x:c r="J8" s="56" t="str"/>
    </x:row>
    <x:row r="9">
      <x:c r="A9" s="56" t="str">
        <x:v>PH-005</x:v>
      </x:c>
      <x:c r="B9" s="56" t="str"/>
      <x:c r="C9" s="56" t="str"/>
      <x:c r="D9" s="56" t="str"/>
      <x:c r="E9" s="56" t="str"/>
      <x:c r="F9" s="56" t="str"/>
      <x:c r="G9" s="69" t="str"/>
      <x:c r="H9" s="56" t="str"/>
      <x:c r="I9" s="56" t="str"/>
      <x:c r="J9" s="56" t="str"/>
    </x:row>
    <x:row r="10">
      <x:c r="A10" s="56" t="str">
        <x:v>PH-006</x:v>
      </x:c>
      <x:c r="B10" s="56" t="str"/>
      <x:c r="C10" s="56" t="str"/>
      <x:c r="D10" s="56" t="str"/>
      <x:c r="E10" s="56" t="str"/>
      <x:c r="F10" s="56" t="str"/>
      <x:c r="G10" s="69" t="str"/>
      <x:c r="H10" s="56" t="str"/>
      <x:c r="I10" s="56" t="str"/>
      <x:c r="J10" s="56" t="str"/>
    </x:row>
    <x:row r="11">
      <x:c r="A11" s="56" t="str">
        <x:v>PH-007</x:v>
      </x:c>
      <x:c r="B11" s="56" t="str"/>
      <x:c r="C11" s="56" t="str"/>
      <x:c r="D11" s="56" t="str"/>
      <x:c r="E11" s="56" t="str"/>
      <x:c r="F11" s="56" t="str"/>
      <x:c r="G11" s="69" t="str"/>
      <x:c r="H11" s="56" t="str"/>
      <x:c r="I11" s="56" t="str"/>
      <x:c r="J11" s="56" t="str"/>
    </x:row>
    <x:row r="12">
      <x:c r="A12" s="56" t="str">
        <x:v>PH-008</x:v>
      </x:c>
      <x:c r="B12" s="56" t="str"/>
      <x:c r="C12" s="56" t="str"/>
      <x:c r="D12" s="56" t="str"/>
      <x:c r="E12" s="56" t="str"/>
      <x:c r="F12" s="56" t="str"/>
      <x:c r="G12" s="69" t="str"/>
      <x:c r="H12" s="56" t="str"/>
      <x:c r="I12" s="56" t="str"/>
      <x:c r="J12" s="56" t="str"/>
    </x:row>
    <x:row r="13">
      <x:c r="A13" s="56" t="str">
        <x:v>PH-009</x:v>
      </x:c>
      <x:c r="B13" s="56" t="str"/>
      <x:c r="C13" s="56" t="str"/>
      <x:c r="D13" s="56" t="str"/>
      <x:c r="E13" s="56" t="str"/>
      <x:c r="F13" s="56" t="str"/>
      <x:c r="G13" s="69" t="str"/>
      <x:c r="H13" s="56" t="str"/>
      <x:c r="I13" s="56" t="str"/>
      <x:c r="J13" s="56" t="str"/>
    </x:row>
    <x:row r="14">
      <x:c r="A14" s="56" t="str">
        <x:v>PH-010</x:v>
      </x:c>
      <x:c r="B14" s="56" t="str"/>
      <x:c r="C14" s="56" t="str"/>
      <x:c r="D14" s="56" t="str"/>
      <x:c r="E14" s="56" t="str"/>
      <x:c r="F14" s="56" t="str"/>
      <x:c r="G14" s="69" t="str"/>
      <x:c r="H14" s="56" t="str"/>
      <x:c r="I14" s="56" t="str"/>
      <x:c r="J14" s="56" t="str"/>
    </x:row>
    <x:row r="15">
      <x:c r="A15" s="56" t="str">
        <x:v>PH-011</x:v>
      </x:c>
      <x:c r="B15" s="56" t="str"/>
      <x:c r="C15" s="56" t="str"/>
      <x:c r="D15" s="56" t="str"/>
      <x:c r="E15" s="56" t="str"/>
      <x:c r="F15" s="56" t="str"/>
      <x:c r="G15" s="69" t="str"/>
      <x:c r="H15" s="56" t="str"/>
      <x:c r="I15" s="56" t="str"/>
      <x:c r="J15" s="56" t="str"/>
    </x:row>
    <x:row r="16">
      <x:c r="A16" s="56" t="str">
        <x:v>PH-012</x:v>
      </x:c>
      <x:c r="B16" s="56" t="str"/>
      <x:c r="C16" s="56" t="str"/>
      <x:c r="D16" s="56" t="str"/>
      <x:c r="E16" s="56" t="str"/>
      <x:c r="F16" s="56" t="str"/>
      <x:c r="G16" s="69" t="str"/>
      <x:c r="H16" s="56" t="str"/>
      <x:c r="I16" s="56" t="str"/>
      <x:c r="J16" s="56" t="str"/>
    </x:row>
    <x:row r="17">
      <x:c r="A17" s="56" t="str">
        <x:v>PH-013</x:v>
      </x:c>
      <x:c r="B17" s="56" t="str"/>
      <x:c r="C17" s="56" t="str"/>
      <x:c r="D17" s="56" t="str"/>
      <x:c r="E17" s="56" t="str"/>
      <x:c r="F17" s="56" t="str"/>
      <x:c r="G17" s="69" t="str"/>
      <x:c r="H17" s="56" t="str"/>
      <x:c r="I17" s="56" t="str"/>
      <x:c r="J17" s="56" t="str"/>
    </x:row>
    <x:row r="18">
      <x:c r="A18" s="56" t="str">
        <x:v>PH-014</x:v>
      </x:c>
      <x:c r="B18" s="56" t="str"/>
      <x:c r="C18" s="56" t="str"/>
      <x:c r="D18" s="56" t="str"/>
      <x:c r="E18" s="56" t="str"/>
      <x:c r="F18" s="56" t="str"/>
      <x:c r="G18" s="69" t="str"/>
      <x:c r="H18" s="56" t="str"/>
      <x:c r="I18" s="56" t="str"/>
      <x:c r="J18" s="56" t="str"/>
    </x:row>
    <x:row r="19">
      <x:c r="A19" s="56" t="str">
        <x:v>PH-015</x:v>
      </x:c>
      <x:c r="B19" s="56" t="str"/>
      <x:c r="C19" s="56" t="str"/>
      <x:c r="D19" s="56" t="str"/>
      <x:c r="E19" s="56" t="str"/>
      <x:c r="F19" s="56" t="str"/>
      <x:c r="G19" s="69" t="str"/>
      <x:c r="H19" s="56" t="str"/>
      <x:c r="I19" s="56" t="str"/>
      <x:c r="J19" s="56" t="str"/>
    </x:row>
  </x:sheetData>
  <x:mergeCells>
    <x:mergeCell ref="A1:J1"/>
    <x:mergeCell ref="A2:J2"/>
  </x:mergeCells>
  <x:dataValidations count="1">
    <x:dataValidation type="list" sqref="H5:H19">
      <x:formula1>"Critical,High,Medium,Low,1,2,3,4,5"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23531a235d47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9.75" hidden="0" customWidth="1"/>
    <x:col min="3" max="3" width="6.380000114440918" hidden="0" customWidth="1"/>
    <x:col min="4" max="4" width="10.5" hidden="0" customWidth="1"/>
    <x:col min="5" max="5" width="14.5" hidden="0" customWidth="1"/>
    <x:col min="6" max="6" width="16.1299991607666" hidden="0" customWidth="1"/>
    <x:col min="7" max="7" width="17.1299991607666" hidden="0" customWidth="1"/>
    <x:col min="8" max="8" width="9.880000114440918" hidden="0" customWidth="1"/>
    <x:col min="9" max="9" width="13.130000114440918" hidden="0" customWidth="1"/>
    <x:col min="10" max="10" width="11.380000114440918" hidden="0" customWidth="1"/>
    <x:col min="11" max="11" width="11.75" hidden="0" customWidth="1"/>
    <x:col min="12" max="12" width="16.6299991607666" hidden="0" customWidth="1"/>
  </x:cols>
  <x:sheetData>
    <x:row r="1" ht="30" customHeight="1">
      <x:c r="A1" s="33" t="str">
        <x:v>PUMP PERFORMANCE CHECK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</x:row>
    <x:row r="2" ht="32" customHeight="1">
      <x:c r="A2" s="40" t="str">
        <x:v>Compare actual operating readings with design values to identify cavitation, blockage, wear or off-design operation.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4" ht="26" customHeight="1">
      <x:c r="A4" s="48" t="str">
        <x:v>Date</x:v>
      </x:c>
      <x:c r="B4" s="48" t="str">
        <x:v>Pump Tag</x:v>
      </x:c>
      <x:c r="C4" s="48" t="str">
        <x:v>Fluid</x:v>
      </x:c>
      <x:c r="D4" s="48" t="str">
        <x:v>Speed rpm</x:v>
      </x:c>
      <x:c r="E4" s="48" t="str">
        <x:v>Suction Pressure</x:v>
      </x:c>
      <x:c r="F4" s="48" t="str">
        <x:v>Discharge Pressure</x:v>
      </x:c>
      <x:c r="G4" s="48" t="str">
        <x:v>Differential Pressure</x:v>
      </x:c>
      <x:c r="H4" s="48" t="str">
        <x:v>Flow Rate</x:v>
      </x:c>
      <x:c r="I4" s="48" t="str">
        <x:v>Motor Current</x:v>
      </x:c>
      <x:c r="J4" s="48" t="str">
        <x:v>Design Flow</x:v>
      </x:c>
      <x:c r="K4" s="48" t="str">
        <x:v>Design Head</x:v>
      </x:c>
      <x:c r="L4" s="48" t="str">
        <x:v>Performance Status</x:v>
      </x:c>
    </x:row>
    <x:row r="5">
      <x:c r="A5" s="69" t="str"/>
      <x:c r="B5" s="56" t="str"/>
      <x:c r="C5" s="56" t="str"/>
      <x:c r="D5" s="56" t="str"/>
      <x:c r="E5" s="56" t="str"/>
      <x:c r="F5" s="56" t="str"/>
      <x:c r="G5" s="56" t="str">
        <x:f>IF(OR(F5="",E5=""),"",F5-E5)</x:f>
      </x:c>
      <x:c r="H5" s="56" t="str"/>
      <x:c r="I5" s="56" t="str"/>
      <x:c r="J5" s="56" t="str"/>
      <x:c r="K5" s="56" t="str"/>
      <x:c r="L5" s="56" t="str"/>
    </x:row>
    <x:row r="6">
      <x:c r="A6" s="69" t="str"/>
      <x:c r="B6" s="56" t="str"/>
      <x:c r="C6" s="56" t="str"/>
      <x:c r="D6" s="56" t="str"/>
      <x:c r="E6" s="56" t="str"/>
      <x:c r="F6" s="56" t="str"/>
      <x:c r="G6" s="56" t="str">
        <x:f>IF(OR(F6="",E6=""),"",F6-E6)</x:f>
      </x:c>
      <x:c r="H6" s="56" t="str"/>
      <x:c r="I6" s="56" t="str"/>
      <x:c r="J6" s="56" t="str"/>
      <x:c r="K6" s="56" t="str"/>
      <x:c r="L6" s="56" t="str"/>
    </x:row>
    <x:row r="7">
      <x:c r="A7" s="69" t="str"/>
      <x:c r="B7" s="56" t="str"/>
      <x:c r="C7" s="56" t="str"/>
      <x:c r="D7" s="56" t="str"/>
      <x:c r="E7" s="56" t="str"/>
      <x:c r="F7" s="56" t="str"/>
      <x:c r="G7" s="56" t="str">
        <x:f>IF(OR(F7="",E7=""),"",F7-E7)</x:f>
      </x:c>
      <x:c r="H7" s="56" t="str"/>
      <x:c r="I7" s="56" t="str"/>
      <x:c r="J7" s="56" t="str"/>
      <x:c r="K7" s="56" t="str"/>
      <x:c r="L7" s="56" t="str"/>
    </x:row>
    <x:row r="8">
      <x:c r="A8" s="69" t="str"/>
      <x:c r="B8" s="56" t="str"/>
      <x:c r="C8" s="56" t="str"/>
      <x:c r="D8" s="56" t="str"/>
      <x:c r="E8" s="56" t="str"/>
      <x:c r="F8" s="56" t="str"/>
      <x:c r="G8" s="56" t="str">
        <x:f>IF(OR(F8="",E8=""),"",F8-E8)</x:f>
      </x:c>
      <x:c r="H8" s="56" t="str"/>
      <x:c r="I8" s="56" t="str"/>
      <x:c r="J8" s="56" t="str"/>
      <x:c r="K8" s="56" t="str"/>
      <x:c r="L8" s="56" t="str"/>
    </x:row>
    <x:row r="9">
      <x:c r="A9" s="69" t="str"/>
      <x:c r="B9" s="56" t="str"/>
      <x:c r="C9" s="56" t="str"/>
      <x:c r="D9" s="56" t="str"/>
      <x:c r="E9" s="56" t="str"/>
      <x:c r="F9" s="56" t="str"/>
      <x:c r="G9" s="56" t="str">
        <x:f>IF(OR(F9="",E9=""),"",F9-E9)</x:f>
      </x:c>
      <x:c r="H9" s="56" t="str"/>
      <x:c r="I9" s="56" t="str"/>
      <x:c r="J9" s="56" t="str"/>
      <x:c r="K9" s="56" t="str"/>
      <x:c r="L9" s="56" t="str"/>
    </x:row>
    <x:row r="10">
      <x:c r="A10" s="69" t="str"/>
      <x:c r="B10" s="56" t="str"/>
      <x:c r="C10" s="56" t="str"/>
      <x:c r="D10" s="56" t="str"/>
      <x:c r="E10" s="56" t="str"/>
      <x:c r="F10" s="56" t="str"/>
      <x:c r="G10" s="56" t="str">
        <x:f>IF(OR(F10="",E10=""),"",F10-E10)</x:f>
      </x:c>
      <x:c r="H10" s="56" t="str"/>
      <x:c r="I10" s="56" t="str"/>
      <x:c r="J10" s="56" t="str"/>
      <x:c r="K10" s="56" t="str"/>
      <x:c r="L10" s="56" t="str"/>
    </x:row>
    <x:row r="11">
      <x:c r="A11" s="69" t="str"/>
      <x:c r="B11" s="56" t="str"/>
      <x:c r="C11" s="56" t="str"/>
      <x:c r="D11" s="56" t="str"/>
      <x:c r="E11" s="56" t="str"/>
      <x:c r="F11" s="56" t="str"/>
      <x:c r="G11" s="56" t="str">
        <x:f>IF(OR(F11="",E11=""),"",F11-E11)</x:f>
      </x:c>
      <x:c r="H11" s="56" t="str"/>
      <x:c r="I11" s="56" t="str"/>
      <x:c r="J11" s="56" t="str"/>
      <x:c r="K11" s="56" t="str"/>
      <x:c r="L11" s="56" t="str"/>
    </x:row>
    <x:row r="12">
      <x:c r="A12" s="69" t="str"/>
      <x:c r="B12" s="56" t="str"/>
      <x:c r="C12" s="56" t="str"/>
      <x:c r="D12" s="56" t="str"/>
      <x:c r="E12" s="56" t="str"/>
      <x:c r="F12" s="56" t="str"/>
      <x:c r="G12" s="56" t="str">
        <x:f>IF(OR(F12="",E12=""),"",F12-E12)</x:f>
      </x:c>
      <x:c r="H12" s="56" t="str"/>
      <x:c r="I12" s="56" t="str"/>
      <x:c r="J12" s="56" t="str"/>
      <x:c r="K12" s="56" t="str"/>
      <x:c r="L12" s="56" t="str"/>
    </x:row>
    <x:row r="13">
      <x:c r="A13" s="69" t="str"/>
      <x:c r="B13" s="56" t="str"/>
      <x:c r="C13" s="56" t="str"/>
      <x:c r="D13" s="56" t="str"/>
      <x:c r="E13" s="56" t="str"/>
      <x:c r="F13" s="56" t="str"/>
      <x:c r="G13" s="56" t="str">
        <x:f>IF(OR(F13="",E13=""),"",F13-E13)</x:f>
      </x:c>
      <x:c r="H13" s="56" t="str"/>
      <x:c r="I13" s="56" t="str"/>
      <x:c r="J13" s="56" t="str"/>
      <x:c r="K13" s="56" t="str"/>
      <x:c r="L13" s="56" t="str"/>
    </x:row>
    <x:row r="14">
      <x:c r="A14" s="69" t="str"/>
      <x:c r="B14" s="56" t="str"/>
      <x:c r="C14" s="56" t="str"/>
      <x:c r="D14" s="56" t="str"/>
      <x:c r="E14" s="56" t="str"/>
      <x:c r="F14" s="56" t="str"/>
      <x:c r="G14" s="56" t="str">
        <x:f>IF(OR(F14="",E14=""),"",F14-E14)</x:f>
      </x:c>
      <x:c r="H14" s="56" t="str"/>
      <x:c r="I14" s="56" t="str"/>
      <x:c r="J14" s="56" t="str"/>
      <x:c r="K14" s="56" t="str"/>
      <x:c r="L14" s="56" t="str"/>
    </x:row>
    <x:row r="15">
      <x:c r="A15" s="69" t="str"/>
      <x:c r="B15" s="56" t="str"/>
      <x:c r="C15" s="56" t="str"/>
      <x:c r="D15" s="56" t="str"/>
      <x:c r="E15" s="56" t="str"/>
      <x:c r="F15" s="56" t="str"/>
      <x:c r="G15" s="56" t="str">
        <x:f>IF(OR(F15="",E15=""),"",F15-E15)</x:f>
      </x:c>
      <x:c r="H15" s="56" t="str"/>
      <x:c r="I15" s="56" t="str"/>
      <x:c r="J15" s="56" t="str"/>
      <x:c r="K15" s="56" t="str"/>
      <x:c r="L15" s="56" t="str"/>
    </x:row>
    <x:row r="16">
      <x:c r="A16" s="69" t="str"/>
      <x:c r="B16" s="56" t="str"/>
      <x:c r="C16" s="56" t="str"/>
      <x:c r="D16" s="56" t="str"/>
      <x:c r="E16" s="56" t="str"/>
      <x:c r="F16" s="56" t="str"/>
      <x:c r="G16" s="56" t="str">
        <x:f>IF(OR(F16="",E16=""),"",F16-E16)</x:f>
      </x:c>
      <x:c r="H16" s="56" t="str"/>
      <x:c r="I16" s="56" t="str"/>
      <x:c r="J16" s="56" t="str"/>
      <x:c r="K16" s="56" t="str"/>
      <x:c r="L16" s="56" t="str"/>
    </x:row>
    <x:row r="17">
      <x:c r="A17" s="69" t="str"/>
      <x:c r="B17" s="56" t="str"/>
      <x:c r="C17" s="56" t="str"/>
      <x:c r="D17" s="56" t="str"/>
      <x:c r="E17" s="56" t="str"/>
      <x:c r="F17" s="56" t="str"/>
      <x:c r="G17" s="56" t="str">
        <x:f>IF(OR(F17="",E17=""),"",F17-E17)</x:f>
      </x:c>
      <x:c r="H17" s="56" t="str"/>
      <x:c r="I17" s="56" t="str"/>
      <x:c r="J17" s="56" t="str"/>
      <x:c r="K17" s="56" t="str"/>
      <x:c r="L17" s="56" t="str"/>
    </x:row>
    <x:row r="18">
      <x:c r="A18" s="69" t="str"/>
      <x:c r="B18" s="56" t="str"/>
      <x:c r="C18" s="56" t="str"/>
      <x:c r="D18" s="56" t="str"/>
      <x:c r="E18" s="56" t="str"/>
      <x:c r="F18" s="56" t="str"/>
      <x:c r="G18" s="56" t="str">
        <x:f>IF(OR(F18="",E18=""),"",F18-E18)</x:f>
      </x:c>
      <x:c r="H18" s="56" t="str"/>
      <x:c r="I18" s="56" t="str"/>
      <x:c r="J18" s="56" t="str"/>
      <x:c r="K18" s="56" t="str"/>
      <x:c r="L18" s="56" t="str"/>
    </x:row>
    <x:row r="19">
      <x:c r="A19" s="69" t="str"/>
      <x:c r="B19" s="56" t="str"/>
      <x:c r="C19" s="56" t="str"/>
      <x:c r="D19" s="56" t="str"/>
      <x:c r="E19" s="56" t="str"/>
      <x:c r="F19" s="56" t="str"/>
      <x:c r="G19" s="56" t="str">
        <x:f>IF(OR(F19="",E19=""),"",F19-E19)</x:f>
      </x:c>
      <x:c r="H19" s="56" t="str"/>
      <x:c r="I19" s="56" t="str"/>
      <x:c r="J19" s="56" t="str"/>
      <x:c r="K19" s="56" t="str"/>
      <x:c r="L19" s="56" t="str"/>
    </x:row>
    <x:row r="20">
      <x:c r="A20" s="69" t="str"/>
      <x:c r="B20" s="56" t="str"/>
      <x:c r="C20" s="56" t="str"/>
      <x:c r="D20" s="56" t="str"/>
      <x:c r="E20" s="56" t="str"/>
      <x:c r="F20" s="56" t="str"/>
      <x:c r="G20" s="56" t="str">
        <x:f>IF(OR(F20="",E20=""),"",F20-E20)</x:f>
      </x:c>
      <x:c r="H20" s="56" t="str"/>
      <x:c r="I20" s="56" t="str"/>
      <x:c r="J20" s="56" t="str"/>
      <x:c r="K20" s="56" t="str"/>
      <x:c r="L20" s="56" t="str"/>
    </x:row>
    <x:row r="21">
      <x:c r="A21" s="69" t="str"/>
      <x:c r="B21" s="56" t="str"/>
      <x:c r="C21" s="56" t="str"/>
      <x:c r="D21" s="56" t="str"/>
      <x:c r="E21" s="56" t="str"/>
      <x:c r="F21" s="56" t="str"/>
      <x:c r="G21" s="56" t="str">
        <x:f>IF(OR(F21="",E21=""),"",F21-E21)</x:f>
      </x:c>
      <x:c r="H21" s="56" t="str"/>
      <x:c r="I21" s="56" t="str"/>
      <x:c r="J21" s="56" t="str"/>
      <x:c r="K21" s="56" t="str"/>
      <x:c r="L21" s="56" t="str"/>
    </x:row>
    <x:row r="22">
      <x:c r="A22" s="69" t="str"/>
      <x:c r="B22" s="56" t="str"/>
      <x:c r="C22" s="56" t="str"/>
      <x:c r="D22" s="56" t="str"/>
      <x:c r="E22" s="56" t="str"/>
      <x:c r="F22" s="56" t="str"/>
      <x:c r="G22" s="56" t="str">
        <x:f>IF(OR(F22="",E22=""),"",F22-E22)</x:f>
      </x:c>
      <x:c r="H22" s="56" t="str"/>
      <x:c r="I22" s="56" t="str"/>
      <x:c r="J22" s="56" t="str"/>
      <x:c r="K22" s="56" t="str"/>
      <x:c r="L22" s="56" t="str"/>
    </x:row>
    <x:row r="23">
      <x:c r="A23" s="69" t="str"/>
      <x:c r="B23" s="56" t="str"/>
      <x:c r="C23" s="56" t="str"/>
      <x:c r="D23" s="56" t="str"/>
      <x:c r="E23" s="56" t="str"/>
      <x:c r="F23" s="56" t="str"/>
      <x:c r="G23" s="56" t="str">
        <x:f>IF(OR(F23="",E23=""),"",F23-E23)</x:f>
      </x:c>
      <x:c r="H23" s="56" t="str"/>
      <x:c r="I23" s="56" t="str"/>
      <x:c r="J23" s="56" t="str"/>
      <x:c r="K23" s="56" t="str"/>
      <x:c r="L23" s="56" t="str"/>
    </x:row>
    <x:row r="24">
      <x:c r="A24" s="69" t="str"/>
      <x:c r="B24" s="56" t="str"/>
      <x:c r="C24" s="56" t="str"/>
      <x:c r="D24" s="56" t="str"/>
      <x:c r="E24" s="56" t="str"/>
      <x:c r="F24" s="56" t="str"/>
      <x:c r="G24" s="56" t="str">
        <x:f>IF(OR(F24="",E24=""),"",F24-E24)</x:f>
      </x:c>
      <x:c r="H24" s="56" t="str"/>
      <x:c r="I24" s="56" t="str"/>
      <x:c r="J24" s="56" t="str"/>
      <x:c r="K24" s="56" t="str"/>
      <x:c r="L24" s="56" t="str"/>
    </x:row>
  </x:sheetData>
  <x:mergeCells>
    <x:mergeCell ref="A1:L1"/>
    <x:mergeCell ref="A2:L2"/>
  </x:mergeCells>
  <x:dataValidations count="1">
    <x:dataValidation type="list" sqref="L5:L24">
      <x:formula1>"Good,Monitor,Action Required,Cavitation Suspected,Stop Pump"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ae71d2a9264c8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22" hidden="0" customWidth="1"/>
    <x:col min="5" max="5" width="11.880000114440918" hidden="0" customWidth="1"/>
    <x:col min="6" max="6" width="13" hidden="0" customWidth="1"/>
    <x:col min="7" max="7" width="13" hidden="0" customWidth="1"/>
    <x:col min="8" max="8" width="14.130000114440918" hidden="0" customWidth="1"/>
    <x:col min="9" max="9" width="13" hidden="0" customWidth="1"/>
    <x:col min="10" max="10" width="15.5" hidden="0" customWidth="1"/>
    <x:col min="11" max="11" width="12.630000114440918" hidden="0" customWidth="1"/>
    <x:col min="12" max="12" width="14.130000114440918" hidden="0" customWidth="1"/>
    <x:col min="13" max="13" width="10.25" hidden="0" customWidth="1"/>
  </x:cols>
  <x:sheetData>
    <x:row r="1" ht="30" customHeight="1">
      <x:c r="A1" s="33" t="str">
        <x:v>CONDITION TREND LOG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</x:row>
    <x:row r="2" ht="32" customHeight="1">
      <x:c r="A2" s="40" t="str">
        <x:v>Record readings over time to support trend-based maintenance and condition monitoring.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4" ht="26" customHeight="1">
      <x:c r="A4" s="48" t="str">
        <x:v>Date</x:v>
      </x:c>
      <x:c r="B4" s="48" t="str">
        <x:v>Asset Tag</x:v>
      </x:c>
      <x:c r="C4" s="48" t="str">
        <x:v>Operating Hours</x:v>
      </x:c>
      <x:c r="D4" s="48" t="str">
        <x:v>Operating Condition</x:v>
      </x:c>
      <x:c r="E4" s="48" t="str">
        <x:v>DE Temp (°C)</x:v>
      </x:c>
      <x:c r="F4" s="48" t="str">
        <x:v>NDE Temp (°C)</x:v>
      </x:c>
      <x:c r="G4" s="48" t="str">
        <x:v>DE Vib (mm/s)</x:v>
      </x:c>
      <x:c r="H4" s="48" t="str">
        <x:v>NDE Vib (mm/s)</x:v>
      </x:c>
      <x:c r="I4" s="48" t="str">
        <x:v>Seal Leak Rate</x:v>
      </x:c>
      <x:c r="J4" s="48" t="str">
        <x:v>Motor Current (A)</x:v>
      </x:c>
      <x:c r="K4" s="48" t="str">
        <x:v>Overall Status</x:v>
      </x:c>
      <x:c r="L4" s="48" t="str">
        <x:v>Action Required</x:v>
      </x:c>
      <x:c r="M4" s="48" t="str">
        <x:v>Technician</x:v>
      </x:c>
    </x:row>
    <x:row r="5">
      <x:c r="A5" s="69" t="str"/>
      <x:c r="B5" s="56" t="str"/>
      <x:c r="C5" s="56" t="str"/>
      <x:c r="D5" s="56" t="str"/>
      <x:c r="E5" s="56" t="str"/>
      <x:c r="F5" s="56" t="str"/>
      <x:c r="G5" s="56" t="str"/>
      <x:c r="H5" s="56" t="str"/>
      <x:c r="I5" s="56" t="str"/>
      <x:c r="J5" s="56" t="str"/>
      <x:c r="K5" s="56" t="str"/>
      <x:c r="L5" s="56" t="str"/>
      <x:c r="M5" s="56" t="str"/>
    </x:row>
    <x:row r="6">
      <x:c r="A6" s="69" t="str"/>
      <x:c r="B6" s="56" t="str"/>
      <x:c r="C6" s="56" t="str"/>
      <x:c r="D6" s="56" t="str"/>
      <x:c r="E6" s="56" t="str"/>
      <x:c r="F6" s="56" t="str"/>
      <x:c r="G6" s="56" t="str"/>
      <x:c r="H6" s="56" t="str"/>
      <x:c r="I6" s="56" t="str"/>
      <x:c r="J6" s="56" t="str"/>
      <x:c r="K6" s="56" t="str"/>
      <x:c r="L6" s="56" t="str"/>
      <x:c r="M6" s="56" t="str"/>
    </x:row>
    <x:row r="7">
      <x:c r="A7" s="69" t="str"/>
      <x:c r="B7" s="56" t="str"/>
      <x:c r="C7" s="56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/>
      <x:c r="L7" s="56" t="str"/>
      <x:c r="M7" s="56" t="str"/>
    </x:row>
    <x:row r="8">
      <x:c r="A8" s="69" t="str"/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/>
      <x:c r="L8" s="56" t="str"/>
      <x:c r="M8" s="56" t="str"/>
    </x:row>
    <x:row r="9">
      <x:c r="A9" s="69" t="str"/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/>
      <x:c r="L9" s="56" t="str"/>
      <x:c r="M9" s="56" t="str"/>
    </x:row>
    <x:row r="10">
      <x:c r="A10" s="69" t="str"/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/>
      <x:c r="L10" s="56" t="str"/>
      <x:c r="M10" s="56" t="str"/>
    </x:row>
    <x:row r="11">
      <x:c r="A11" s="69" t="str"/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/>
      <x:c r="L11" s="56" t="str"/>
      <x:c r="M11" s="56" t="str"/>
    </x:row>
    <x:row r="12">
      <x:c r="A12" s="69" t="str"/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/>
      <x:c r="L12" s="56" t="str"/>
      <x:c r="M12" s="56" t="str"/>
    </x:row>
    <x:row r="13">
      <x:c r="A13" s="69" t="str"/>
      <x:c r="B13" s="56" t="str"/>
      <x:c r="C13" s="56" t="str"/>
      <x:c r="D13" s="56" t="str"/>
      <x:c r="E13" s="56" t="str"/>
      <x:c r="F13" s="56" t="str"/>
      <x:c r="G13" s="56" t="str"/>
      <x:c r="H13" s="56" t="str"/>
      <x:c r="I13" s="56" t="str"/>
      <x:c r="J13" s="56" t="str"/>
      <x:c r="K13" s="56" t="str"/>
      <x:c r="L13" s="56" t="str"/>
      <x:c r="M13" s="56" t="str"/>
    </x:row>
    <x:row r="14">
      <x:c r="A14" s="69" t="str"/>
      <x:c r="B14" s="56" t="str"/>
      <x:c r="C14" s="56" t="str"/>
      <x:c r="D14" s="56" t="str"/>
      <x:c r="E14" s="56" t="str"/>
      <x:c r="F14" s="56" t="str"/>
      <x:c r="G14" s="56" t="str"/>
      <x:c r="H14" s="56" t="str"/>
      <x:c r="I14" s="56" t="str"/>
      <x:c r="J14" s="56" t="str"/>
      <x:c r="K14" s="56" t="str"/>
      <x:c r="L14" s="56" t="str"/>
      <x:c r="M14" s="56" t="str"/>
    </x:row>
    <x:row r="15">
      <x:c r="A15" s="69" t="str"/>
      <x:c r="B15" s="56" t="str"/>
      <x:c r="C15" s="56" t="str"/>
      <x:c r="D15" s="56" t="str"/>
      <x:c r="E15" s="56" t="str"/>
      <x:c r="F15" s="56" t="str"/>
      <x:c r="G15" s="56" t="str"/>
      <x:c r="H15" s="56" t="str"/>
      <x:c r="I15" s="56" t="str"/>
      <x:c r="J15" s="56" t="str"/>
      <x:c r="K15" s="56" t="str"/>
      <x:c r="L15" s="56" t="str"/>
      <x:c r="M15" s="56" t="str"/>
    </x:row>
    <x:row r="16">
      <x:c r="A16" s="69" t="str"/>
      <x:c r="B16" s="56" t="str"/>
      <x:c r="C16" s="56" t="str"/>
      <x:c r="D16" s="56" t="str"/>
      <x:c r="E16" s="56" t="str"/>
      <x:c r="F16" s="56" t="str"/>
      <x:c r="G16" s="56" t="str"/>
      <x:c r="H16" s="56" t="str"/>
      <x:c r="I16" s="56" t="str"/>
      <x:c r="J16" s="56" t="str"/>
      <x:c r="K16" s="56" t="str"/>
      <x:c r="L16" s="56" t="str"/>
      <x:c r="M16" s="56" t="str"/>
    </x:row>
    <x:row r="17">
      <x:c r="A17" s="69" t="str"/>
      <x:c r="B17" s="56" t="str"/>
      <x:c r="C17" s="56" t="str"/>
      <x:c r="D17" s="56" t="str"/>
      <x:c r="E17" s="56" t="str"/>
      <x:c r="F17" s="56" t="str"/>
      <x:c r="G17" s="56" t="str"/>
      <x:c r="H17" s="56" t="str"/>
      <x:c r="I17" s="56" t="str"/>
      <x:c r="J17" s="56" t="str"/>
      <x:c r="K17" s="56" t="str"/>
      <x:c r="L17" s="56" t="str"/>
      <x:c r="M17" s="56" t="str"/>
    </x:row>
    <x:row r="18">
      <x:c r="A18" s="69" t="str"/>
      <x:c r="B18" s="56" t="str"/>
      <x:c r="C18" s="56" t="str"/>
      <x:c r="D18" s="56" t="str"/>
      <x:c r="E18" s="56" t="str"/>
      <x:c r="F18" s="56" t="str"/>
      <x:c r="G18" s="56" t="str"/>
      <x:c r="H18" s="56" t="str"/>
      <x:c r="I18" s="56" t="str"/>
      <x:c r="J18" s="56" t="str"/>
      <x:c r="K18" s="56" t="str"/>
      <x:c r="L18" s="56" t="str"/>
      <x:c r="M18" s="56" t="str"/>
    </x:row>
    <x:row r="19">
      <x:c r="A19" s="69" t="str"/>
      <x:c r="B19" s="56" t="str"/>
      <x:c r="C19" s="56" t="str"/>
      <x:c r="D19" s="56" t="str"/>
      <x:c r="E19" s="56" t="str"/>
      <x:c r="F19" s="56" t="str"/>
      <x:c r="G19" s="56" t="str"/>
      <x:c r="H19" s="56" t="str"/>
      <x:c r="I19" s="56" t="str"/>
      <x:c r="J19" s="56" t="str"/>
      <x:c r="K19" s="56" t="str"/>
      <x:c r="L19" s="56" t="str"/>
      <x:c r="M19" s="56" t="str"/>
    </x:row>
    <x:row r="20">
      <x:c r="A20" s="69" t="str"/>
      <x:c r="B20" s="56" t="str"/>
      <x:c r="C20" s="56" t="str"/>
      <x:c r="D20" s="56" t="str"/>
      <x:c r="E20" s="56" t="str"/>
      <x:c r="F20" s="56" t="str"/>
      <x:c r="G20" s="56" t="str"/>
      <x:c r="H20" s="56" t="str"/>
      <x:c r="I20" s="56" t="str"/>
      <x:c r="J20" s="56" t="str"/>
      <x:c r="K20" s="56" t="str"/>
      <x:c r="L20" s="56" t="str"/>
      <x:c r="M20" s="56" t="str"/>
    </x:row>
    <x:row r="21">
      <x:c r="A21" s="69" t="str"/>
      <x:c r="B21" s="56" t="str"/>
      <x:c r="C21" s="56" t="str"/>
      <x:c r="D21" s="56" t="str"/>
      <x:c r="E21" s="56" t="str"/>
      <x:c r="F21" s="56" t="str"/>
      <x:c r="G21" s="56" t="str"/>
      <x:c r="H21" s="56" t="str"/>
      <x:c r="I21" s="56" t="str"/>
      <x:c r="J21" s="56" t="str"/>
      <x:c r="K21" s="56" t="str"/>
      <x:c r="L21" s="56" t="str"/>
      <x:c r="M21" s="56" t="str"/>
    </x:row>
    <x:row r="22">
      <x:c r="A22" s="69" t="str"/>
      <x:c r="B22" s="56" t="str"/>
      <x:c r="C22" s="56" t="str"/>
      <x:c r="D22" s="56" t="str"/>
      <x:c r="E22" s="56" t="str"/>
      <x:c r="F22" s="56" t="str"/>
      <x:c r="G22" s="56" t="str"/>
      <x:c r="H22" s="56" t="str"/>
      <x:c r="I22" s="56" t="str"/>
      <x:c r="J22" s="56" t="str"/>
      <x:c r="K22" s="56" t="str"/>
      <x:c r="L22" s="56" t="str"/>
      <x:c r="M22" s="56" t="str"/>
    </x:row>
    <x:row r="23">
      <x:c r="A23" s="69" t="str"/>
      <x:c r="B23" s="56" t="str"/>
      <x:c r="C23" s="56" t="str"/>
      <x:c r="D23" s="56" t="str"/>
      <x:c r="E23" s="56" t="str"/>
      <x:c r="F23" s="56" t="str"/>
      <x:c r="G23" s="56" t="str"/>
      <x:c r="H23" s="56" t="str"/>
      <x:c r="I23" s="56" t="str"/>
      <x:c r="J23" s="56" t="str"/>
      <x:c r="K23" s="56" t="str"/>
      <x:c r="L23" s="56" t="str"/>
      <x:c r="M23" s="56" t="str"/>
    </x:row>
    <x:row r="24">
      <x:c r="A24" s="69" t="str"/>
      <x:c r="B24" s="56" t="str"/>
      <x:c r="C24" s="56" t="str"/>
      <x:c r="D24" s="56" t="str"/>
      <x:c r="E24" s="56" t="str"/>
      <x:c r="F24" s="56" t="str"/>
      <x:c r="G24" s="56" t="str"/>
      <x:c r="H24" s="56" t="str"/>
      <x:c r="I24" s="56" t="str"/>
      <x:c r="J24" s="56" t="str"/>
      <x:c r="K24" s="56" t="str"/>
      <x:c r="L24" s="56" t="str"/>
      <x:c r="M24" s="56" t="str"/>
    </x:row>
  </x:sheetData>
  <x:mergeCells>
    <x:mergeCell ref="A1:N1"/>
    <x:mergeCell ref="A2:N2"/>
  </x:mergeCells>
  <x:dataValidations count="1">
    <x:dataValidation type="list" sqref="K5:K24">
      <x:formula1>"Good,Monitor,Action Required,Stop Equipment"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a573895296451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46.880001068115234" hidden="0" customWidth="1"/>
    <x:col min="3" max="3" width="45.880001068115234" hidden="0" customWidth="1"/>
  </x:cols>
  <x:sheetData>
    <x:row r="1" ht="30" customHeight="1">
      <x:c r="A1" s="33" t="str">
        <x:v>PUMP CAVITATION AND SEAL HEALTH CHECKS</x:v>
      </x:c>
      <x:c r="B1" s="33"/>
      <x:c r="C1" s="33"/>
      <x:c r="D1" s="33"/>
      <x:c r="E1" s="33"/>
      <x:c r="F1" s="33"/>
    </x:row>
    <x:row r="2" ht="32" customHeight="1">
      <x:c r="A2" s="40" t="str">
        <x:v>Use these indicators to prioritise deeper pump investigation.</x:v>
      </x:c>
      <x:c r="B2" s="40"/>
      <x:c r="C2" s="40"/>
      <x:c r="D2" s="40"/>
      <x:c r="E2" s="40"/>
      <x:c r="F2" s="40"/>
    </x:row>
    <x:row r="4" ht="26" customHeight="1">
      <x:c r="A4" s="48" t="str">
        <x:v>Indicator</x:v>
      </x:c>
      <x:c r="B4" s="48" t="str">
        <x:v>Likely cause</x:v>
      </x:c>
      <x:c r="C4" s="48" t="str">
        <x:v>Recommended check</x:v>
      </x:c>
    </x:row>
    <x:row r="5">
      <x:c r="A5" s="56" t="str">
        <x:v>Low suction pressure</x:v>
      </x:c>
      <x:c r="B5" s="56" t="str">
        <x:v>Possible suction restriction / insufficient NPSH</x:v>
      </x:c>
      <x:c r="C5" s="56" t="str">
        <x:v>Check suction valve, strainer, tank level and suction line</x:v>
      </x:c>
    </x:row>
    <x:row r="6">
      <x:c r="A6" s="56" t="str">
        <x:v>Crackling/gravel noise</x:v>
      </x:c>
      <x:c r="B6" s="56" t="str">
        <x:v>Cavitation likely</x:v>
      </x:c>
      <x:c r="C6" s="56" t="str">
        <x:v>Reduce flow restriction, check NPSH margin and pump speed</x:v>
      </x:c>
    </x:row>
    <x:row r="7">
      <x:c r="A7" s="56" t="str">
        <x:v>Vibration increase</x:v>
      </x:c>
      <x:c r="B7" s="56" t="str">
        <x:v>Cavitation, misalignment, bearing wear or hydraulic imbalance</x:v>
      </x:c>
      <x:c r="C7" s="56" t="str">
        <x:v>Trend vibration and inspect coupling/alignment</x:v>
      </x:c>
    </x:row>
    <x:row r="8">
      <x:c r="A8" s="56" t="str">
        <x:v>Seal leakage increase</x:v>
      </x:c>
      <x:c r="B8" s="56" t="str">
        <x:v>Seal face wear, flush issue or pressure imbalance</x:v>
      </x:c>
      <x:c r="C8" s="56" t="str">
        <x:v>Check seal flush, seal pot/barrier pressure and leakage rate</x:v>
      </x:c>
    </x:row>
    <x:row r="9">
      <x:c r="A9" s="56" t="str">
        <x:v>Flow drop with same speed</x:v>
      </x:c>
      <x:c r="B9" s="56" t="str">
        <x:v>Impeller wear, blockage or suction problem</x:v>
      </x:c>
      <x:c r="C9" s="56" t="str">
        <x:v>Check pump curve and inspect impeller/casing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9943db1f04a488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6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33" t="str">
        <x:v>PUMP INSPECTION DASHBOARD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32" customHeight="1">
      <x:c r="A2" s="40" t="str">
        <x:v>Formula-driven summary from the inspection sheet and Action Tracker.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4">
      <x:c r="A4" s="77" t="str">
        <x:v>Metric</x:v>
      </x:c>
      <x:c r="B4" s="77" t="str">
        <x:v>Value</x:v>
      </x:c>
      <x:c r="C4" s="77" t="str">
        <x:v>Interpretation</x:v>
      </x:c>
    </x:row>
    <x:row r="5">
      <x:c r="A5" s="78" t="str">
        <x:v>Total checklist items</x:v>
      </x:c>
      <x:c r="B5" s="55" t="n">
        <x:f>COUNT('🔧 Pump Inspection'!B:B)</x:f>
        <x:v>38</x:v>
      </x:c>
      <x:c r="C5" s="55" t="str">
        <x:v>Numbered inspection items</x:v>
      </x:c>
    </x:row>
    <x:row r="6">
      <x:c r="A6" s="78" t="str">
        <x:v>Pass / OK count</x:v>
      </x:c>
      <x:c r="B6" s="55" t="n">
        <x:f>COUNTIF('🔧 Pump Inspection'!E:E,"✓")+COUNTIF('🔧 Pump Inspection'!E:E,"Pass")</x:f>
        <x:v>0</x:v>
      </x:c>
      <x:c r="C6" s="55" t="str">
        <x:v>All items marked satisfactory</x:v>
      </x:c>
    </x:row>
    <x:row r="7">
      <x:c r="A7" s="78" t="str">
        <x:v>Fail / defect count</x:v>
      </x:c>
      <x:c r="B7" s="55" t="n">
        <x:f>COUNTIF('🔧 Pump Inspection'!E:E,"✗")+COUNTIF('🔧 Pump Inspection'!E:E,"Fail")</x:f>
        <x:v>0</x:v>
      </x:c>
      <x:c r="C7" s="55" t="str">
        <x:v>Items requiring action</x:v>
      </x:c>
    </x:row>
    <x:row r="8">
      <x:c r="A8" s="78" t="str">
        <x:v>N/A count</x:v>
      </x:c>
      <x:c r="B8" s="55" t="n">
        <x:f>COUNTIF('🔧 Pump Inspection'!E:E,"N/A")</x:f>
        <x:v>0</x:v>
      </x:c>
      <x:c r="C8" s="55" t="str">
        <x:v>Not applicable items</x:v>
      </x:c>
    </x:row>
    <x:row r="9">
      <x:c r="A9" s="78" t="str">
        <x:v>Compliance %</x:v>
      </x:c>
      <x:c r="B9" s="81" t="n">
        <x:f>IFERROR(B6/(B5-B8),0)</x:f>
        <x:v>0</x:v>
      </x:c>
      <x:c r="C9" s="55" t="str">
        <x:v>Passes ÷ applicable checks</x:v>
      </x:c>
    </x:row>
    <x:row r="10">
      <x:c r="A10" s="78" t="str">
        <x:v>Actions raised</x:v>
      </x:c>
      <x:c r="B10" s="55" t="n">
        <x:f>MAX(0,COUNTA('🔧 Pump Inspection'!H:H)-1)</x:f>
        <x:v>1</x:v>
      </x:c>
      <x:c r="C10" s="55" t="str">
        <x:v>Non-empty action fields</x:v>
      </x:c>
    </x:row>
    <x:row r="11">
      <x:c r="A11" s="78" t="str">
        <x:v>Open actions</x:v>
      </x:c>
      <x:c r="B11" s="55" t="n">
        <x:f>COUNTIFS('Action Tracker'!H:H,"&lt;&gt;Complete",'Action Tracker'!H:H,"&lt;&gt;Verified",'Action Tracker'!A:A,"&lt;&gt;")</x:f>
        <x:v>33</x:v>
      </x:c>
      <x:c r="C11" s="55" t="str">
        <x:v>Not complete or verified</x:v>
      </x:c>
    </x:row>
    <x:row r="12">
      <x:c r="A12" s="78" t="str">
        <x:v>Overdue actions</x:v>
      </x:c>
      <x:c r="B12" s="55" t="n">
        <x:f>COUNTIFS('Action Tracker'!G:G,"&lt;"&amp;TODAY(),'Action Tracker'!H:H,"&lt;&gt;Complete",'Action Tracker'!H:H,"&lt;&gt;Verified",'Action Tracker'!A:A,"&lt;&gt;")</x:f>
        <x:v>32</x:v>
      </x:c>
      <x:c r="C12" s="55" t="str">
        <x:v>Past due and not complete</x:v>
      </x:c>
    </x:row>
    <x:row r="13">
      <x:c r="A13" s="78" t="str">
        <x:v>Overall status</x:v>
      </x:c>
      <x:c r="B13" s="55" t="str">
        <x:f>IF(B11&gt;0,"OVERDUE ACTIONS",IF(B7&gt;0,"DEFECTS FOUND","ACCEPTABLE"))</x:f>
        <x:v>OVERDUE ACTIONS</x:v>
      </x:c>
      <x:c r="C13" s="55" t="str">
        <x:v>Management interpretation</x:v>
      </x:c>
    </x:row>
    <x:row r="15">
      <x:c r="A15" s="60" t="str">
        <x:v>Management Notes</x:v>
      </x:c>
      <x:c r="B15" s="60"/>
      <x:c r="C15" s="60"/>
      <x:c r="D15" s="60"/>
      <x:c r="E15" s="60"/>
      <x:c r="F15" s="60"/>
      <x:c r="G15" s="60"/>
      <x:c r="H15" s="60"/>
      <x:c r="I15" s="60"/>
      <x:c r="J15" s="60"/>
    </x:row>
    <x:row r="16">
      <x:c r="A16" s="64" t="str">
        <x:v>Use this page before maintenance meetings to identify overdue actions, repeated failed items and repair priority.</x:v>
      </x:c>
      <x:c r="B16" s="64"/>
      <x:c r="C16" s="64"/>
      <x:c r="D16" s="64"/>
      <x:c r="E16" s="64"/>
      <x:c r="F16" s="64"/>
      <x:c r="G16" s="64"/>
      <x:c r="H16" s="64"/>
      <x:c r="I16" s="64"/>
      <x:c r="J16" s="64"/>
    </x:row>
    <x:row r="17">
      <x:c r="A17" s="64" t="str">
        <x:v>Any defect without a responsible person and due date should be transferred to the Action Tracker.</x:v>
      </x:c>
      <x:c r="B17" s="64"/>
      <x:c r="C17" s="64"/>
      <x:c r="D17" s="64"/>
      <x:c r="E17" s="64"/>
      <x:c r="F17" s="64"/>
      <x:c r="G17" s="64"/>
      <x:c r="H17" s="64"/>
      <x:c r="I17" s="64"/>
      <x:c r="J17" s="64"/>
    </x:row>
    <x:row r="18">
      <x:c r="A18" s="64" t="str">
        <x:v>Safety-critical failed items should trigger supervisor review before the equipment is returned to service.</x:v>
      </x:c>
      <x:c r="B18" s="64"/>
      <x:c r="C18" s="64"/>
      <x:c r="D18" s="64"/>
      <x:c r="E18" s="64"/>
      <x:c r="F18" s="64"/>
      <x:c r="G18" s="64"/>
      <x:c r="H18" s="64"/>
      <x:c r="I18" s="64"/>
      <x:c r="J18" s="64"/>
    </x:row>
  </x:sheetData>
  <x:mergeCells>
    <x:mergeCell ref="A1:J1"/>
    <x:mergeCell ref="A2:J2"/>
    <x:mergeCell ref="A16:J16"/>
    <x:mergeCell ref="A17:J17"/>
    <x:mergeCell ref="A18:J18"/>
  </x:mergeCells>
  <x:conditionalFormatting sqref="B5:B1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{3A9C94E0-DF88-93AB-A54B-1C8F81E7365A}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A9C94E0-DF88-93AB-A54B-1C8F81E7365A}">
            <x14:dataBar gradient="1">
              <x14:cfvo type="min"/>
              <x14:cfvo type="max"/>
              <x14:fillColor rgb="FF0F766E"/>
            </x14:dataBar>
          </x14:cfRule>
          <xm:sqref>B5:B13</xm:sqref>
        </x14:conditionalFormatting>
      </x14:conditionalFormattings>
    </x:ext>
  </x:extLst>
</x:worksheet>
</file>