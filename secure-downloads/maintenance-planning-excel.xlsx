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b61345664846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ℹ Instructions" sheetId="1" r:id="R3bb89d2815a240e3"/>
    <x:sheet xmlns:r="http://schemas.openxmlformats.org/officeDocument/2006/relationships" name="⚙ Settings" sheetId="2" r:id="R5c99c3bcaa134945"/>
    <x:sheet xmlns:r="http://schemas.openxmlformats.org/officeDocument/2006/relationships" name="📅 Annual Planner" sheetId="3" r:id="Rb472e6baf7014824"/>
    <x:sheet xmlns:r="http://schemas.openxmlformats.org/officeDocument/2006/relationships" name="📋 Work Orders" sheetId="4" r:id="R76814cdb42774f8e"/>
    <x:sheet xmlns:r="http://schemas.openxmlformats.org/officeDocument/2006/relationships" name="👥 Resources" sheetId="5" r:id="R6f4d97193dac4413"/>
    <x:sheet xmlns:r="http://schemas.openxmlformats.org/officeDocument/2006/relationships" name="📊 KPIs" sheetId="6" r:id="R04e6885e4fa14cad"/>
    <x:sheet xmlns:r="http://schemas.openxmlformats.org/officeDocument/2006/relationships" name="Premium Guide" sheetId="7" r:id="R51867c24d3424f2c"/>
    <x:sheet xmlns:r="http://schemas.openxmlformats.org/officeDocument/2006/relationships" name="Lists" sheetId="8" r:id="R1e897d25306f4b28"/>
    <x:sheet xmlns:r="http://schemas.openxmlformats.org/officeDocument/2006/relationships" name="Action Tracker" sheetId="9" r:id="R15d08c60b65a4422"/>
    <x:sheet xmlns:r="http://schemas.openxmlformats.org/officeDocument/2006/relationships" name="PM Frequency Engine" sheetId="10" r:id="R922a988df6f144e8"/>
    <x:sheet xmlns:r="http://schemas.openxmlformats.org/officeDocument/2006/relationships" name="Backlog Aging" sheetId="11" r:id="R3553ada51e92499b"/>
    <x:sheet xmlns:r="http://schemas.openxmlformats.org/officeDocument/2006/relationships" name="Shutdown Planner" sheetId="12" r:id="Rff0c8c8242bc476a"/>
    <x:sheet xmlns:r="http://schemas.openxmlformats.org/officeDocument/2006/relationships" name="Cost Variance" sheetId="13" r:id="R5c92c61d39b942f7"/>
    <x:sheet xmlns:r="http://schemas.openxmlformats.org/officeDocument/2006/relationships" name="Premium Executive Dashboard" sheetId="14" r:id="Rb3e06dc6bad24783"/>
  </x:sheets>
</x:workbook>
</file>

<file path=xl/sharedStrings.xml><?xml version="1.0" encoding="utf-8"?>
<x:sst xmlns:x="http://schemas.openxmlformats.org/spreadsheetml/2006/main">
  <x:si>
    <x:t xml:space="preserve">MAINTENANCE PLANNING TOOL — USER GUIDE</x:t>
  </x:si>
  <x:si>
    <x:t xml:space="preserve">OVERVIEW</x:t>
  </x:si>
  <x:si>
    <x:t xml:space="preserve">This workbook contains 5 sheets: Instructions, Annual Planner (Gantt), Work Order Register, Resource Allocation, and KPI Summary. All sheets link together automatically.</x:t>
  </x:si>
  <x:si>
    <x:t xml:space="preserve">STEP 1 — Settings</x:t>
  </x:si>
  <x:si>
    <x:t xml:space="preserve">Go to the 'Settings' tab. Enter your facility name, planning year, total planned hours per month, and the list of technicians. These feed into the Resource sheet.</x:t>
  </x:si>
  <x:si>
    <x:t xml:space="preserve">STEP 2 — Annual Planner</x:t>
  </x:si>
  <x:si>
    <x:t xml:space="preserve">Go to '📅 Annual Planner'. Add each maintenance task: enter the Task ID, description, equipment tag, type (PM/PdM/CBM/Overhaul), responsible person, planned start week, and duration in weeks. The Gantt bars fill automatically.</x:t>
  </x:si>
  <x:si>
    <x:t xml:space="preserve">STEP 3 — Work Orders</x:t>
  </x:si>
  <x:si>
    <x:t xml:space="preserve">Go to '📋 Work Orders'. Log each work order as it is raised: WO number, linked task, equipment, priority, status, estimated and actual hours, and cost. Status dropdown controls the row colour (Planned / In Progress / Complete / Overdue / Cancelled).</x:t>
  </x:si>
  <x:si>
    <x:t xml:space="preserve">STEP 4 — Resource Allocation</x:t>
  </x:si>
  <x:si>
    <x:t xml:space="preserve">Go to '👥 Resources'. This sheet shows planned hours per technician per month, compared to their available hours. Over-allocated months are highlighted in red automatically.</x:t>
  </x:si>
  <x:si>
    <x:t xml:space="preserve">STEP 5 — KPI Summary</x:t>
  </x:si>
  <x:si>
    <x:t xml:space="preserve">Go to '📊 KPIs'. All metrics (PM Compliance, Schedule Adherence, Backlog, Cost Variance) calculate automatically from the Work Order sheet. No manual entry needed.</x:t>
  </x:si>
  <x:si>
    <x:t xml:space="preserve">COLOUR CODING</x:t>
  </x:si>
  <x:si>
    <x:t xml:space="preserve">Yellow cells = manual input required. Blue cells = auto-calculated (do not edit). Green rows = Complete. Red rows = Overdue. Orange rows = In Progress. Gantt bars: dark fill = planned window, green fill = complete.</x:t>
  </x:si>
  <x:si>
    <x:t xml:space="preserve">CONTACT</x:t>
  </x:si>
  <x:si>
    <x:t xml:space="preserve">Template by Katleho Khoarane | Mechanical Engineer | MEng Candidate — CUT | Turbomachinery · Mining · Energy | linkedin.com/in/katleho-khoarane</x:t>
  </x:si>
  <x:si>
    <x:t xml:space="preserve">SETTINGS — Edit yellow cells only</x:t>
  </x:si>
  <x:si>
    <x:t xml:space="preserve">Facility Name</x:t>
  </x:si>
  <x:si>
    <x:t xml:space="preserve">Acme Mining — Plant A</x:t>
  </x:si>
  <x:si>
    <x:t xml:space="preserve">Planning Year</x:t>
  </x:si>
  <x:si>
    <x:t xml:space="preserve">Total weeks in year</x:t>
  </x:si>
  <x:si>
    <x:t xml:space="preserve">Std hours/day</x:t>
  </x:si>
  <x:si>
    <x:t xml:space="preserve">Std working days/month</x:t>
  </x:si>
  <x:si>
    <x:t xml:space="preserve">TECHNICIANS (one per row below)</x:t>
  </x:si>
  <x:si>
    <x:t xml:space="preserve">T. Mokoena</x:t>
  </x:si>
  <x:si>
    <x:t xml:space="preserve">S. Dlamini</x:t>
  </x:si>
  <x:si>
    <x:t xml:space="preserve">R. Botha</x:t>
  </x:si>
  <x:si>
    <x:t xml:space="preserve">K. Sithole</x:t>
  </x:si>
  <x:si>
    <x:t xml:space="preserve">J. van Wyk</x:t>
  </x:si>
  <x:si>
    <x:t xml:space="preserve">A. Mahlangu</x:t>
  </x:si>
  <x:si>
    <x:t xml:space="preserve">NAMED_TECH_START</x:t>
  </x:si>
  <x:si>
    <x:t xml:space="preserve">ANNUAL MAINTENANCE PLANNER — GANTT VIEW</x:t>
  </x:si>
  <x:si>
    <x:t xml:space="preserve">JAN</x:t>
  </x:si>
  <x:si>
    <x:t xml:space="preserve">FEB</x:t>
  </x:si>
  <x:si>
    <x:t xml:space="preserve">MAR</x:t>
  </x:si>
  <x:si>
    <x:t xml:space="preserve">APR</x:t>
  </x:si>
  <x:si>
    <x:t xml:space="preserve">MAY</x:t>
  </x:si>
  <x:si>
    <x:t xml:space="preserve">JUN</x:t>
  </x:si>
  <x:si>
    <x:t xml:space="preserve">JUL</x:t>
  </x:si>
  <x:si>
    <x:t xml:space="preserve">AUG</x:t>
  </x:si>
  <x:si>
    <x:t xml:space="preserve">SEP</x:t>
  </x:si>
  <x:si>
    <x:t xml:space="preserve">OCT</x:t>
  </x:si>
  <x:si>
    <x:t xml:space="preserve">NOV</x:t>
  </x:si>
  <x:si>
    <x:t xml:space="preserve">DEC</x:t>
  </x:si>
  <x:si>
    <x:t xml:space="preserve">Task ID</x:t>
  </x:si>
  <x:si>
    <x:t xml:space="preserve">Description</x:t>
  </x:si>
  <x:si>
    <x:t xml:space="preserve">Equipment</x:t>
  </x:si>
  <x:si>
    <x:t xml:space="preserve">Type</x:t>
  </x:si>
  <x:si>
    <x:t xml:space="preserve">Responsible</x:t>
  </x:si>
  <x:si>
    <x:t xml:space="preserve">Start
Week</x:t>
  </x:si>
  <x:si>
    <x:t xml:space="preserve">Duration
(wks)</x:t>
  </x:si>
  <x:si>
    <x:t xml:space="preserve">Status</x:t>
  </x:si>
  <x:si>
    <x:t xml:space="preserve">Priority</x:t>
  </x:si>
  <x:si>
    <x:t xml:space="preserve">T-001</x:t>
  </x:si>
  <x:si>
    <x:t xml:space="preserve">30,000hr PM — Feed Pump P-101</x:t>
  </x:si>
  <x:si>
    <x:t xml:space="preserve">P-101</x:t>
  </x:si>
  <x:si>
    <x:t xml:space="preserve">PM</x:t>
  </x:si>
  <x:si>
    <x:t xml:space="preserve">Planned</x:t>
  </x:si>
  <x:si>
    <x:t xml:space="preserve">High</x:t>
  </x:si>
  <x:si>
    <x:t xml:space="preserve">█</x:t>
  </x:si>
  <x:si>
    <x:t xml:space="preserve">T-002</x:t>
  </x:si>
  <x:si>
    <x:t xml:space="preserve">Gearbox oil change — GB-001</x:t>
  </x:si>
  <x:si>
    <x:t xml:space="preserve">GB-001</x:t>
  </x:si>
  <x:si>
    <x:t xml:space="preserve">Medium</x:t>
  </x:si>
  <x:si>
    <x:t xml:space="preserve">T-003</x:t>
  </x:si>
  <x:si>
    <x:t xml:space="preserve">Conveyor belt inspection — CV-001</x:t>
  </x:si>
  <x:si>
    <x:t xml:space="preserve">CV-001</x:t>
  </x:si>
  <x:si>
    <x:t xml:space="preserve">Inspection</x:t>
  </x:si>
  <x:si>
    <x:t xml:space="preserve">T-004</x:t>
  </x:si>
  <x:si>
    <x:t xml:space="preserve">Vibration analysis — M-101</x:t>
  </x:si>
  <x:si>
    <x:t xml:space="preserve">M-101</x:t>
  </x:si>
  <x:si>
    <x:t xml:space="preserve">PdM</x:t>
  </x:si>
  <x:si>
    <x:t xml:space="preserve">T-005</x:t>
  </x:si>
  <x:si>
    <x:t xml:space="preserve">Crusher overhaul</x:t>
  </x:si>
  <x:si>
    <x:t xml:space="preserve">Overhaul</x:t>
  </x:si>
  <x:si>
    <x:t xml:space="preserve">Critical</x:t>
  </x:si>
  <x:si>
    <x:t xml:space="preserve">T-006</x:t>
  </x:si>
  <x:si>
    <x:t xml:space="preserve">Lubrication round — all pumps</x:t>
  </x:si>
  <x:si>
    <x:t xml:space="preserve">Lubrication</x:t>
  </x:si>
  <x:si>
    <x:t xml:space="preserve">Low</x:t>
  </x:si>
  <x:si>
    <x:t xml:space="preserve">T-007</x:t>
  </x:si>
  <x:si>
    <x:t xml:space="preserve">Ball mill liner replacement</x:t>
  </x:si>
  <x:si>
    <x:t xml:space="preserve">M-102</x:t>
  </x:si>
  <x:si>
    <x:t xml:space="preserve">T-008</x:t>
  </x:si>
  <x:si>
    <x:t xml:space="preserve">Cooling fan bearing replacement</x:t>
  </x:si>
  <x:si>
    <x:t xml:space="preserve">FN-001</x:t>
  </x:si>
  <x:si>
    <x:t xml:space="preserve">T-009</x:t>
  </x:si>
  <x:si>
    <x:t xml:space="preserve">Compressor valve overhaul</x:t>
  </x:si>
  <x:si>
    <x:t xml:space="preserve">C-101</x:t>
  </x:si>
  <x:si>
    <x:t xml:space="preserve">T-010</x:t>
  </x:si>
  <x:si>
    <x:t xml:space="preserve">Tailings pump impeller check</x:t>
  </x:si>
  <x:si>
    <x:t xml:space="preserve">P-102</x:t>
  </x:si>
  <x:si>
    <x:t xml:space="preserve">T-011</x:t>
  </x:si>
  <x:si>
    <x:t xml:space="preserve">Conveyor CV-002 belt tension</x:t>
  </x:si>
  <x:si>
    <x:t xml:space="preserve">CV-002</x:t>
  </x:si>
  <x:si>
    <x:t xml:space="preserve">T-012</x:t>
  </x:si>
  <x:si>
    <x:t xml:space="preserve">Gearbox GB-002 oil analysis</x:t>
  </x:si>
  <x:si>
    <x:t xml:space="preserve">GB-002</x:t>
  </x:si>
  <x:si>
    <x:t xml:space="preserve">T-013</x:t>
  </x:si>
  <x:si>
    <x:t xml:space="preserve">Motor alignment check — M-101</x:t>
  </x:si>
  <x:si>
    <x:t xml:space="preserve">T-014</x:t>
  </x:si>
  <x:si>
    <x:t xml:space="preserve">Annual safety valve test</x:t>
  </x:si>
  <x:si>
    <x:t xml:space="preserve">T-015</x:t>
  </x:si>
  <x:si>
    <x:t xml:space="preserve">Year-end full facility inspection</x:t>
  </x:si>
  <x:si>
    <x:t xml:space="preserve">ALL</x:t>
  </x:si>
  <x:si>
    <x:t xml:space="preserve">LEGEND — Task Type:</x:t>
  </x:si>
  <x:si>
    <x:t xml:space="preserve">  PM</x:t>
  </x:si>
  <x:si>
    <x:t xml:space="preserve">  PdM</x:t>
  </x:si>
  <x:si>
    <x:t xml:space="preserve">  CBM</x:t>
  </x:si>
  <x:si>
    <x:t xml:space="preserve">  Overhaul</x:t>
  </x:si>
  <x:si>
    <x:t xml:space="preserve">  Inspection</x:t>
  </x:si>
  <x:si>
    <x:t xml:space="preserve">  Lubrication</x:t>
  </x:si>
  <x:si>
    <x:t xml:space="preserve">  Calibration</x:t>
  </x:si>
  <x:si>
    <x:t xml:space="preserve">WORK ORDER REGISTER</x:t>
  </x:si>
  <x:si>
    <x:t xml:space="preserve">► Yellow cells = manual input  |  Blue cells = auto-calculated  |  Status dropdown controls row colour</x:t>
  </x:si>
  <x:si>
    <x:t xml:space="preserve">WO Number</x:t>
  </x:si>
  <x:si>
    <x:t xml:space="preserve">Assigned To</x:t>
  </x:si>
  <x:si>
    <x:t xml:space="preserve">Planned Date</x:t>
  </x:si>
  <x:si>
    <x:t xml:space="preserve">Completion Date</x:t>
  </x:si>
  <x:si>
    <x:t xml:space="preserve">Est. Hours</x:t>
  </x:si>
  <x:si>
    <x:t xml:space="preserve">Actual Hours</x:t>
  </x:si>
  <x:si>
    <x:t xml:space="preserve">Est. Cost (R)</x:t>
  </x:si>
  <x:si>
    <x:t xml:space="preserve">WO-2025-001</x:t>
  </x:si>
  <x:si>
    <x:t xml:space="preserve">WO-2025-002</x:t>
  </x:si>
  <x:si>
    <x:t xml:space="preserve">Gearbox oil change GB-001</x:t>
  </x:si>
  <x:si>
    <x:t xml:space="preserve">WO-2025-003</x:t>
  </x:si>
  <x:si>
    <x:t xml:space="preserve">Conveyor belt inspection CV-001</x:t>
  </x:si>
  <x:si>
    <x:t xml:space="preserve">WO-2025-004</x:t>
  </x:si>
  <x:si>
    <x:t xml:space="preserve">Vibration analysis M-101</x:t>
  </x:si>
  <x:si>
    <x:t xml:space="preserve">WO-2025-005</x:t>
  </x:si>
  <x:si>
    <x:t xml:space="preserve">WO-2025-006</x:t>
  </x:si>
  <x:si>
    <x:t xml:space="preserve">WO-2025-007</x:t>
  </x:si>
  <x:si>
    <x:t xml:space="preserve">WO-2025-008</x:t>
  </x:si>
  <x:si>
    <x:t xml:space="preserve">WO-2025-009</x:t>
  </x:si>
  <x:si>
    <x:t xml:space="preserve">WO-2025-010</x:t>
  </x:si>
  <x:si>
    <x:t xml:space="preserve">TOTALS</x:t>
  </x:si>
  <x:si>
    <x:t xml:space="preserve">RESOURCE ALLOCATION — Hours per Technician per Month</x:t>
  </x:si>
  <x:si>
    <x:t xml:space="preserve">Technician</x:t>
  </x:si>
  <x:si>
    <x:t xml:space="preserve">Jan</x:t>
  </x:si>
  <x:si>
    <x:t xml:space="preserve">Feb</x:t>
  </x:si>
  <x:si>
    <x:t xml:space="preserve">Mar</x:t>
  </x:si>
  <x:si>
    <x:t xml:space="preserve">Apr</x:t>
  </x:si>
  <x:si>
    <x:t xml:space="preserve">May</x:t>
  </x:si>
  <x:si>
    <x:t xml:space="preserve">Jun</x:t>
  </x:si>
  <x:si>
    <x:t xml:space="preserve">Jul</x:t>
  </x:si>
  <x:si>
    <x:t xml:space="preserve">Aug</x:t>
  </x:si>
  <x:si>
    <x:t xml:space="preserve">Sep</x:t>
  </x:si>
  <x:si>
    <x:t xml:space="preserve">Oct</x:t>
  </x:si>
  <x:si>
    <x:t xml:space="preserve">Nov</x:t>
  </x:si>
  <x:si>
    <x:t xml:space="preserve">Dec</x:t>
  </x:si>
  <x:si>
    <x:t xml:space="preserve">TOTAL</x:t>
  </x:si>
  <x:si>
    <x:t xml:space="preserve">  Available hrs</x:t>
  </x:si>
  <x:si>
    <x:t xml:space="preserve">KPI SUMMARY — Auto-calculated from Work Order Register</x:t>
  </x:si>
  <x:si>
    <x:t xml:space="preserve">PM COMPLIANCE</x:t>
  </x:si>
  <x:si>
    <x:t xml:space="preserve">% of planned WOs completed on time</x:t>
  </x:si>
  <x:si>
    <x:t xml:space="preserve">Target: ≥ 85%</x:t>
  </x:si>
  <x:si>
    <x:t xml:space="preserve">SCHEDULE ADHERENCE</x:t>
  </x:si>
  <x:si>
    <x:t xml:space="preserve">WOs completed vs total WOs raised</x:t>
  </x:si>
  <x:si>
    <x:t xml:space="preserve">Target: ≥ 90%</x:t>
  </x:si>
  <x:si>
    <x:t xml:space="preserve">TOTAL WORK ORDERS</x:t>
  </x:si>
  <x:si>
    <x:t xml:space="preserve">All WOs in the register</x:t>
  </x:si>
  <x:si>
    <x:t xml:space="preserve">OPEN WORK ORDERS</x:t>
  </x:si>
  <x:si>
    <x:t xml:space="preserve">WOs with status = Planned or In Progress</x:t>
  </x:si>
  <x:si>
    <x:t xml:space="preserve">OVERDUE WORK ORDERS</x:t>
  </x:si>
  <x:si>
    <x:t xml:space="preserve">WOs with status = Overdue</x:t>
  </x:si>
  <x:si>
    <x:t xml:space="preserve">Target: 0</x:t>
  </x:si>
  <x:si>
    <x:t xml:space="preserve">BACKLOG HOURS</x:t>
  </x:si>
  <x:si>
    <x:t xml:space="preserve">Est. hours on open + overdue WOs</x:t>
  </x:si>
  <x:si>
    <x:t xml:space="preserve">TOTAL EST. COST</x:t>
  </x:si>
  <x:si>
    <x:t xml:space="preserve">Sum of all estimated costs (R)</x:t>
  </x:si>
  <x:si>
    <x:t xml:space="preserve">CRITICAL WOs OPEN</x:t>
  </x:si>
  <x:si>
    <x:t xml:space="preserve">Priority = Critical AND status ≠ Complete</x:t>
  </x:si>
</x:sst>
</file>

<file path=xl/styles.xml><?xml version="1.0" encoding="utf-8"?>
<x:styleSheet xmlns:x="http://schemas.openxmlformats.org/spreadsheetml/2006/main">
  <x:numFmts count="10">
    <x:numFmt numFmtId="164" formatCode="General"/>
    <x:numFmt numFmtId="165" formatCode="dd\-mmm\-yy"/>
    <x:numFmt numFmtId="166" formatCode="General"/>
    <x:numFmt numFmtId="167" formatCode="0"/>
    <x:numFmt numFmtId="168" formatCode="0.0%"/>
    <x:numFmt numFmtId="169" formatCode="0.0"/>
    <x:numFmt numFmtId="200" formatCode="yyyy-mm-dd"/>
    <x:numFmt numFmtId="201" formatCode="yyyy-mm-dd hh:mm"/>
    <x:numFmt numFmtId="202" formatCode="R #,##0.00"/>
    <x:numFmt numFmtId="203" formatCode="0%"/>
  </x:numFmts>
  <x:fonts count="32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E8A020"/>
      <x:name val="Arial"/>
    </x:font>
    <x:font>
      <x:b/>
      <x:sz val="9"/>
      <x:color rgb="FFE8A020"/>
      <x:name val="Arial"/>
    </x:font>
    <x:font>
      <x:sz val="9"/>
      <x:color rgb="FF1A1A2E"/>
      <x:name val="Arial"/>
    </x:font>
    <x:font>
      <x:b/>
      <x:sz val="12"/>
      <x:color rgb="FFE8A020"/>
      <x:name val="Arial"/>
    </x:font>
    <x:font>
      <x:b/>
      <x:sz val="9"/>
      <x:color rgb="FFFFFFFF"/>
      <x:name val="Arial"/>
    </x:font>
    <x:font>
      <x:i/>
      <x:sz val="8"/>
      <x:color rgb="FF717D7E"/>
      <x:name val="Arial"/>
    </x:font>
    <x:font>
      <x:b/>
      <x:sz val="8"/>
      <x:color rgb="FFE8A020"/>
      <x:name val="Arial"/>
    </x:font>
    <x:font>
      <x:b/>
      <x:sz val="7"/>
      <x:color rgb="FFD5D8DC"/>
      <x:name val="Arial"/>
    </x:font>
    <x:font>
      <x:sz val="6"/>
      <x:color rgb="FF1F618D"/>
      <x:name val="Arial"/>
    </x:font>
    <x:font>
      <x:sz val="6"/>
      <x:color rgb="FF1E8449"/>
      <x:name val="Arial"/>
    </x:font>
    <x:font>
      <x:sz val="6"/>
      <x:color rgb="FF6C3483"/>
      <x:name val="Arial"/>
    </x:font>
    <x:font>
      <x:sz val="6"/>
      <x:color rgb="FFA04000"/>
      <x:name val="Arial"/>
    </x:font>
    <x:font>
      <x:sz val="6"/>
      <x:color rgb="FFB7950B"/>
      <x:name val="Arial"/>
    </x:font>
    <x:font>
      <x:b/>
      <x:sz val="8"/>
      <x:color rgb="FF1A1A2E"/>
      <x:name val="Arial"/>
    </x:font>
    <x:font>
      <x:sz val="8"/>
      <x:color rgb="FFFFFFFF"/>
      <x:name val="Arial"/>
    </x:font>
    <x:font>
      <x:sz val="9"/>
      <x:color rgb="FF1F618D"/>
      <x:name val="Arial"/>
    </x:font>
    <x:font>
      <x:b/>
      <x:sz val="10"/>
      <x:color rgb="FFFFFFFF"/>
      <x:name val="Arial"/>
    </x:font>
    <x:font>
      <x:b/>
      <x:sz val="13"/>
      <x:color rgb="FFE8A020"/>
      <x:name val="Arial"/>
    </x:font>
    <x:font>
      <x:b/>
      <x:sz val="9"/>
      <x:color rgb="FF1A1A2E"/>
      <x:name val="Arial"/>
    </x:font>
    <x:font>
      <x:i/>
      <x:sz val="9"/>
      <x:color rgb="FF717D7E"/>
      <x:name val="Arial"/>
    </x:font>
    <x:font>
      <x:sz val="9"/>
      <x:color rgb="FF717D7E"/>
      <x:name val="Arial"/>
    </x:font>
    <x:font>
      <x:b/>
      <x:sz val="14"/>
      <x:color rgb="FF1F618D"/>
      <x:name val="Arial"/>
    </x:font>
    <x:font>
      <x:i/>
      <x:sz val="9"/>
      <x:color rgb="FF1E8449"/>
      <x:name val="Arial"/>
    </x:font>
    <x:font>
      <x:b/>
      <x:sz val="16"/>
      <x:color rgb="FFFFFFFF"/>
      <x:name val="Calibri"/>
    </x:font>
    <x:font>
      <x:i/>
      <x:sz val="10"/>
      <x:color rgb="FF1F2937"/>
      <x:name val="Calibri"/>
    </x:font>
    <x:font>
      <x:b/>
      <x:sz val="10"/>
      <x:color rgb="FFFFFFFF"/>
      <x:name val="Calibri"/>
    </x:font>
    <x:font>
      <x:b/>
      <x:sz val="11"/>
      <x:color rgb="FFFFFFFF"/>
      <x:name val="Calibri"/>
    </x:font>
    <x:font>
      <x:b/>
      <x:sz val="11"/>
      <x:color theme="1"/>
      <x:name val="Calibri"/>
    </x:font>
  </x:fonts>
  <x:fills count="22">
    <x:fill>
      <x:patternFill patternType="none"/>
    </x:fill>
    <x:fill>
      <x:patternFill patternType="gray125"/>
    </x:fill>
    <x:fill>
      <x:patternFill patternType="solid">
        <x:fgColor rgb="FF1A1A2E"/>
      </x:patternFill>
    </x:fill>
    <x:fill>
      <x:patternFill patternType="solid">
        <x:fgColor rgb="FFF2F3F4"/>
      </x:patternFill>
    </x:fill>
    <x:fill>
      <x:patternFill patternType="solid">
        <x:fgColor rgb="FF16213E"/>
      </x:patternFill>
    </x:fill>
    <x:fill>
      <x:patternFill patternType="solid">
        <x:fgColor rgb="FFFFF9E6"/>
      </x:patternFill>
    </x:fill>
    <x:fill>
      <x:patternFill patternType="solid">
        <x:fgColor rgb="FF1E2D40"/>
      </x:patternFill>
    </x:fill>
    <x:fill>
      <x:patternFill patternType="solid">
        <x:fgColor rgb="FF1F618D"/>
      </x:patternFill>
    </x:fill>
    <x:fill>
      <x:patternFill patternType="solid">
        <x:fgColor rgb="FFFFFFFF"/>
      </x:patternFill>
    </x:fill>
    <x:fill>
      <x:patternFill patternType="solid">
        <x:fgColor rgb="FF1E8449"/>
      </x:patternFill>
    </x:fill>
    <x:fill>
      <x:patternFill patternType="solid">
        <x:fgColor rgb="FF6C3483"/>
      </x:patternFill>
    </x:fill>
    <x:fill>
      <x:patternFill patternType="solid">
        <x:fgColor rgb="FFA04000"/>
      </x:patternFill>
    </x:fill>
    <x:fill>
      <x:patternFill patternType="solid">
        <x:fgColor rgb="FFB7950B"/>
      </x:patternFill>
    </x:fill>
    <x:fill>
      <x:patternFill patternType="solid">
        <x:fgColor rgb="FF117A65"/>
      </x:patternFill>
    </x:fill>
    <x:fill>
      <x:patternFill patternType="solid">
        <x:fgColor rgb="FF717D7E"/>
      </x:patternFill>
    </x:fill>
    <x:fill>
      <x:patternFill patternType="solid">
        <x:fgColor rgb="FFD6EAF8"/>
      </x:patternFill>
    </x:fill>
    <x:fill>
      <x:patternFill patternType="solid">
        <x:fgColor rgb="FFD5F5E3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1F2937"/>
      </x:patternFill>
    </x:fill>
    <x:fill>
      <x:patternFill patternType="solid">
        <x:fgColor rgb="FF0F766E"/>
      </x:patternFill>
    </x:fill>
    <x:fill>
      <x:patternFill patternType="solid">
        <x:fgColor rgb="FFDBEAFE"/>
      </x:patternFill>
    </x:fill>
  </x:fills>
  <x:borders count="8">
    <x:border diagonalUp="0" diagonalDown="0"/>
    <x:border diagonalUp="0" diagonalDown="0">
      <x:bottom style="medium">
        <x:color rgb="FFE8A020"/>
      </x:bottom>
    </x:border>
    <x:border diagonalUp="0" diagonalDown="0"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 diagonalUp="0" diagonalDown="0">
      <x:left style="thin">
        <x:color rgb="FFE8E8E8"/>
      </x:left>
      <x:right style="thin">
        <x:color rgb="FFE8E8E8"/>
      </x:right>
    </x:border>
    <x:border diagonalUp="0" diagonalDown="0"/>
    <x:border diagonalUp="0" diagonalDown="0">
      <x:bottom style="medium">
        <x:color rgb="FFE8A020"/>
      </x:bottom>
    </x:border>
    <x:border diagonalUp="0" diagonalDown="0"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 diagonalUp="0" diagonalDown="0">
      <x:left style="thin">
        <x:color rgb="FFE8E8E8"/>
      </x:left>
      <x:right style="thin">
        <x:color rgb="FFE8E8E8"/>
      </x:right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153">
    <x:xf numFmtId="164" fontId="0" fillId="0" borderId="0" xfId="0" applyFont="0" applyBorder="0" applyAlignment="0">
      <x:alignment horizontal="general" vertical="bottom" wrapText="0"/>
    </x:xf>
    <x:xf numFmtId="164" fontId="4" fillId="2" borderId="0" xfId="0" applyFont="1" applyBorder="1" applyAlignment="1">
      <x:alignment horizontal="center" vertical="center" wrapText="0"/>
    </x:xf>
    <x:xf numFmtId="164" fontId="5" fillId="2" borderId="1" xfId="0" applyFont="1" applyBorder="1" applyAlignment="1">
      <x:alignment horizontal="left" vertical="center" wrapText="0"/>
    </x:xf>
    <x:xf numFmtId="164" fontId="0" fillId="3" borderId="2" xfId="0" applyFont="0" applyBorder="1" applyAlignment="0">
      <x:alignment horizontal="general" vertical="bottom" wrapText="0"/>
    </x:xf>
    <x:xf numFmtId="164" fontId="6" fillId="3" borderId="2" xfId="0" applyFont="1" applyBorder="1" applyAlignment="1">
      <x:alignment horizontal="left" vertical="center" wrapText="1"/>
    </x:xf>
    <x:xf numFmtId="164" fontId="7" fillId="2" borderId="0" xfId="0" applyFont="1" applyBorder="1" applyAlignment="1">
      <x:alignment horizontal="center" vertical="center" wrapText="0"/>
    </x:xf>
    <x:xf numFmtId="164" fontId="8" fillId="4" borderId="2" xfId="0" applyFont="1" applyBorder="1" applyAlignment="1">
      <x:alignment horizontal="left" vertical="center" wrapText="0"/>
    </x:xf>
    <x:xf numFmtId="164" fontId="6" fillId="5" borderId="2" xfId="0" applyFont="1" applyBorder="1" applyAlignment="1">
      <x:alignment horizontal="center" vertical="center" wrapText="0"/>
    </x:xf>
    <x:xf numFmtId="164" fontId="6" fillId="5" borderId="2" xfId="0" applyFont="1" applyBorder="1" applyAlignment="1">
      <x:alignment horizontal="left" vertical="center" wrapText="0"/>
    </x:xf>
    <x:xf numFmtId="164" fontId="9" fillId="0" borderId="0" xfId="0" applyFont="1" applyBorder="0" applyAlignment="0">
      <x:alignment horizontal="general" vertical="bottom" wrapText="0"/>
    </x:xf>
    <x:xf numFmtId="164" fontId="0" fillId="2" borderId="0" xfId="0" applyFont="0" applyBorder="0" applyAlignment="0">
      <x:alignment horizontal="general" vertical="bottom" wrapText="0"/>
    </x:xf>
    <x:xf numFmtId="164" fontId="10" fillId="4" borderId="0" xfId="0" applyFont="1" applyBorder="1" applyAlignment="1">
      <x:alignment horizontal="center" vertical="center" wrapText="0"/>
    </x:xf>
    <x:xf numFmtId="164" fontId="10" fillId="6" borderId="0" xfId="0" applyFont="1" applyBorder="1" applyAlignment="1">
      <x:alignment horizontal="center" vertical="center" wrapText="0"/>
    </x:xf>
    <x:xf numFmtId="164" fontId="8" fillId="4" borderId="2" xfId="0" applyFont="1" applyBorder="1" applyAlignment="1">
      <x:alignment horizontal="center" vertical="center" wrapText="1"/>
    </x:xf>
    <x:xf numFmtId="164" fontId="11" fillId="4" borderId="2" xfId="0" applyFont="1" applyBorder="1" applyAlignment="1">
      <x:alignment horizontal="center" vertical="center" wrapText="0"/>
    </x:xf>
    <x:xf numFmtId="164" fontId="12" fillId="7" borderId="3" xfId="0" applyFont="1" applyBorder="1" applyAlignment="0">
      <x:alignment horizontal="general" vertical="bottom" wrapText="0"/>
    </x:xf>
    <x:xf numFmtId="164" fontId="0" fillId="3" borderId="3" xfId="0" applyFont="0" applyBorder="1" applyAlignment="0">
      <x:alignment horizontal="general" vertical="bottom" wrapText="0"/>
    </x:xf>
    <x:xf numFmtId="164" fontId="0" fillId="8" borderId="3" xfId="0" applyFont="0" applyBorder="1" applyAlignment="0">
      <x:alignment horizontal="general" vertical="bottom" wrapText="0"/>
    </x:xf>
    <x:xf numFmtId="164" fontId="13" fillId="9" borderId="3" xfId="0" applyFont="1" applyBorder="1" applyAlignment="0">
      <x:alignment horizontal="general" vertical="bottom" wrapText="0"/>
    </x:xf>
    <x:xf numFmtId="164" fontId="14" fillId="10" borderId="3" xfId="0" applyFont="1" applyBorder="1" applyAlignment="0">
      <x:alignment horizontal="general" vertical="bottom" wrapText="0"/>
    </x:xf>
    <x:xf numFmtId="164" fontId="15" fillId="11" borderId="3" xfId="0" applyFont="1" applyBorder="1" applyAlignment="0">
      <x:alignment horizontal="general" vertical="bottom" wrapText="0"/>
    </x:xf>
    <x:xf numFmtId="164" fontId="16" fillId="12" borderId="3" xfId="0" applyFont="1" applyBorder="1" applyAlignment="0">
      <x:alignment horizontal="general" vertical="bottom" wrapText="0"/>
    </x:xf>
    <x:xf numFmtId="164" fontId="6" fillId="5" borderId="2" xfId="0" applyFont="1" applyBorder="1" applyAlignment="0">
      <x:alignment horizontal="general" vertical="bottom" wrapText="0"/>
    </x:xf>
    <x:xf numFmtId="164" fontId="17" fillId="0" borderId="0" xfId="0" applyFont="1" applyBorder="0" applyAlignment="0">
      <x:alignment horizontal="general" vertical="bottom" wrapText="0"/>
    </x:xf>
    <x:xf numFmtId="164" fontId="18" fillId="7" borderId="2" xfId="0" applyFont="1" applyBorder="1" applyAlignment="1">
      <x:alignment horizontal="center" vertical="center" wrapText="0"/>
    </x:xf>
    <x:xf numFmtId="164" fontId="18" fillId="10" borderId="2" xfId="0" applyFont="1" applyBorder="1" applyAlignment="1">
      <x:alignment horizontal="center" vertical="center" wrapText="0"/>
    </x:xf>
    <x:xf numFmtId="164" fontId="18" fillId="13" borderId="2" xfId="0" applyFont="1" applyBorder="1" applyAlignment="1">
      <x:alignment horizontal="center" vertical="center" wrapText="0"/>
    </x:xf>
    <x:xf numFmtId="164" fontId="18" fillId="11" borderId="2" xfId="0" applyFont="1" applyBorder="1" applyAlignment="1">
      <x:alignment horizontal="center" vertical="center" wrapText="0"/>
    </x:xf>
    <x:xf numFmtId="164" fontId="18" fillId="9" borderId="2" xfId="0" applyFont="1" applyBorder="1" applyAlignment="1">
      <x:alignment horizontal="center" vertical="center" wrapText="0"/>
    </x:xf>
    <x:xf numFmtId="164" fontId="18" fillId="12" borderId="2" xfId="0" applyFont="1" applyBorder="1" applyAlignment="1">
      <x:alignment horizontal="center" vertical="center" wrapText="0"/>
    </x:xf>
    <x:xf numFmtId="164" fontId="18" fillId="14" borderId="2" xfId="0" applyFont="1" applyBorder="1" applyAlignment="1">
      <x:alignment horizontal="center" vertical="center" wrapText="0"/>
    </x:xf>
    <x:xf numFmtId="164" fontId="9" fillId="5" borderId="0" xfId="0" applyFont="1" applyBorder="1" applyAlignment="1">
      <x:alignment horizontal="left" vertical="center" wrapText="0"/>
    </x:xf>
    <x:xf numFmtId="164" fontId="8" fillId="2" borderId="2" xfId="0" applyFont="1" applyBorder="1" applyAlignment="1">
      <x:alignment horizontal="center" vertical="center" wrapText="1"/>
    </x:xf>
    <x:xf numFmtId="164" fontId="19" fillId="5" borderId="2" xfId="0" applyFont="1" applyBorder="1" applyAlignment="1">
      <x:alignment horizontal="center" vertical="center" wrapText="0"/>
    </x:xf>
    <x:xf numFmtId="165" fontId="6" fillId="5" borderId="2" xfId="0" applyFont="1" applyBorder="1" applyAlignment="1">
      <x:alignment horizontal="center" vertical="center" wrapText="0"/>
    </x:xf>
    <x:xf numFmtId="164" fontId="6" fillId="5" borderId="2" xfId="0" applyFont="1" applyBorder="1" applyAlignment="1">
      <x:alignment horizontal="center" vertical="center" wrapText="0"/>
    </x:xf>
    <x:xf numFmtId="164" fontId="20" fillId="4" borderId="0" xfId="0" applyFont="1" applyBorder="1" applyAlignment="1">
      <x:alignment horizontal="right" vertical="center" wrapText="0"/>
    </x:xf>
    <x:xf numFmtId="166" fontId="20" fillId="4" borderId="2" xfId="0" applyFont="1" applyBorder="1" applyAlignment="1">
      <x:alignment horizontal="center" vertical="center" wrapText="0"/>
    </x:xf>
    <x:xf numFmtId="164" fontId="21" fillId="2" borderId="0" xfId="0" applyFont="1" applyBorder="1" applyAlignment="1">
      <x:alignment horizontal="center" vertical="center" wrapText="0"/>
    </x:xf>
    <x:xf numFmtId="167" fontId="19" fillId="15" borderId="2" xfId="0" applyFont="1" applyBorder="1" applyAlignment="1">
      <x:alignment horizontal="center" vertical="center" wrapText="0"/>
    </x:xf>
    <x:xf numFmtId="167" fontId="22" fillId="15" borderId="2" xfId="0" applyFont="1" applyBorder="1" applyAlignment="1">
      <x:alignment horizontal="center" vertical="center" wrapText="0"/>
    </x:xf>
    <x:xf numFmtId="164" fontId="23" fillId="3" borderId="2" xfId="0" applyFont="1" applyBorder="1" applyAlignment="1">
      <x:alignment horizontal="left" vertical="center" wrapText="0"/>
    </x:xf>
    <x:xf numFmtId="167" fontId="24" fillId="3" borderId="2" xfId="0" applyFont="1" applyBorder="1" applyAlignment="1">
      <x:alignment horizontal="center" vertical="center" wrapText="0"/>
    </x:xf>
    <x:xf numFmtId="166" fontId="24" fillId="3" borderId="2" xfId="0" applyFont="1" applyBorder="1" applyAlignment="1">
      <x:alignment horizontal="center" vertical="center" wrapText="0"/>
    </x:xf>
    <x:xf numFmtId="164" fontId="8" fillId="2" borderId="2" xfId="0" applyFont="1" applyBorder="1" applyAlignment="1">
      <x:alignment horizontal="left" vertical="center" wrapText="0"/>
    </x:xf>
    <x:xf numFmtId="164" fontId="20" fillId="4" borderId="2" xfId="0" applyFont="1" applyBorder="1" applyAlignment="1">
      <x:alignment horizontal="left" vertical="center" wrapText="0"/>
    </x:xf>
    <x:xf numFmtId="164" fontId="23" fillId="3" borderId="2" xfId="0" applyFont="1" applyBorder="1" applyAlignment="1">
      <x:alignment horizontal="left" vertical="center" wrapText="1"/>
    </x:xf>
    <x:xf numFmtId="168" fontId="25" fillId="15" borderId="2" xfId="0" applyFont="1" applyBorder="1" applyAlignment="1">
      <x:alignment horizontal="center" vertical="center" wrapText="0"/>
    </x:xf>
    <x:xf numFmtId="164" fontId="26" fillId="16" borderId="2" xfId="0" applyFont="1" applyBorder="1" applyAlignment="1">
      <x:alignment horizontal="center" vertical="center" wrapText="0"/>
    </x:xf>
    <x:xf numFmtId="167" fontId="25" fillId="15" borderId="2" xfId="0" applyFont="1" applyBorder="1" applyAlignment="1">
      <x:alignment horizontal="center" vertical="center" wrapText="0"/>
    </x:xf>
    <x:xf numFmtId="169" fontId="25" fillId="15" borderId="2" xfId="0" applyFont="1" applyBorder="1" applyAlignment="1">
      <x:alignment horizontal="center" vertical="center" wrapText="0"/>
    </x:xf>
    <x:xf numFmtId="166" fontId="25" fillId="15" borderId="2" xfId="0" applyFont="1" applyBorder="1" applyAlignment="1">
      <x:alignment horizontal="center" vertical="center" wrapText="0"/>
    </x:xf>
    <x:xf numFmtId="164" fontId="0" fillId="0" borderId="4" xfId="0" applyNumberFormat="1" applyFont="1" applyFill="1" applyBorder="1" applyAlignment="1">
      <x:alignment horizontal="general" vertical="bottom" wrapText="0"/>
    </x:xf>
    <x:xf numFmtId="164" fontId="4" fillId="2" borderId="4" xfId="0" applyNumberFormat="1" applyFont="1" applyFill="1" applyBorder="1" applyAlignment="1">
      <x:alignment horizontal="center" vertical="center" wrapText="0"/>
    </x:xf>
    <x:xf numFmtId="164" fontId="5" fillId="2" borderId="5" xfId="0" applyNumberFormat="1" applyFont="1" applyFill="1" applyBorder="1" applyAlignment="1">
      <x:alignment horizontal="left" vertical="center" wrapText="0"/>
    </x:xf>
    <x:xf numFmtId="164" fontId="0" fillId="3" borderId="6" xfId="0" applyNumberFormat="1" applyFont="1" applyFill="1" applyBorder="1" applyAlignment="1">
      <x:alignment horizontal="general" vertical="bottom" wrapText="0"/>
    </x:xf>
    <x:xf numFmtId="164" fontId="6" fillId="3" borderId="6" xfId="0" applyNumberFormat="1" applyFont="1" applyFill="1" applyBorder="1" applyAlignment="1">
      <x:alignment horizontal="left" vertical="center" wrapText="1"/>
    </x:xf>
    <x:xf numFmtId="164" fontId="7" fillId="2" borderId="4" xfId="0" applyNumberFormat="1" applyFont="1" applyFill="1" applyBorder="1" applyAlignment="1">
      <x:alignment horizontal="center" vertical="center" wrapText="0"/>
    </x:xf>
    <x:xf numFmtId="164" fontId="8" fillId="4" borderId="6" xfId="0" applyNumberFormat="1" applyFont="1" applyFill="1" applyBorder="1" applyAlignment="1">
      <x:alignment horizontal="left" vertical="center" wrapText="0"/>
    </x:xf>
    <x:xf numFmtId="164" fontId="6" fillId="5" borderId="6" xfId="0" applyNumberFormat="1" applyFont="1" applyFill="1" applyBorder="1" applyAlignment="1">
      <x:alignment horizontal="center" vertical="center" wrapText="0"/>
    </x:xf>
    <x:xf numFmtId="164" fontId="6" fillId="5" borderId="6" xfId="0" applyNumberFormat="1" applyFont="1" applyFill="1" applyBorder="1" applyAlignment="1">
      <x:alignment horizontal="left" vertical="center" wrapText="0"/>
    </x:xf>
    <x:xf numFmtId="164" fontId="9" fillId="0" borderId="4" xfId="0" applyNumberFormat="1" applyFont="1" applyFill="1" applyBorder="1" applyAlignment="1">
      <x:alignment horizontal="general" vertical="bottom" wrapText="0"/>
    </x:xf>
    <x:xf numFmtId="164" fontId="0" fillId="2" borderId="4" xfId="0" applyNumberFormat="1" applyFont="1" applyFill="1" applyBorder="1" applyAlignment="1">
      <x:alignment horizontal="general" vertical="bottom" wrapText="0"/>
    </x:xf>
    <x:xf numFmtId="164" fontId="10" fillId="4" borderId="4" xfId="0" applyNumberFormat="1" applyFont="1" applyFill="1" applyBorder="1" applyAlignment="1">
      <x:alignment horizontal="center" vertical="center" wrapText="0"/>
    </x:xf>
    <x:xf numFmtId="164" fontId="10" fillId="6" borderId="4" xfId="0" applyNumberFormat="1" applyFont="1" applyFill="1" applyBorder="1" applyAlignment="1">
      <x:alignment horizontal="center" vertical="center" wrapText="0"/>
    </x:xf>
    <x:xf numFmtId="164" fontId="8" fillId="4" borderId="6" xfId="0" applyNumberFormat="1" applyFont="1" applyFill="1" applyBorder="1" applyAlignment="1">
      <x:alignment horizontal="center" vertical="center" wrapText="1"/>
    </x:xf>
    <x:xf numFmtId="164" fontId="11" fillId="4" borderId="6" xfId="0" applyNumberFormat="1" applyFont="1" applyFill="1" applyBorder="1" applyAlignment="1">
      <x:alignment horizontal="center" vertical="center" wrapText="0"/>
    </x:xf>
    <x:xf numFmtId="164" fontId="12" fillId="7" borderId="7" xfId="0" applyNumberFormat="1" applyFont="1" applyFill="1" applyBorder="1" applyAlignment="1">
      <x:alignment horizontal="general" vertical="bottom" wrapText="0"/>
    </x:xf>
    <x:xf numFmtId="164" fontId="0" fillId="3" borderId="7" xfId="0" applyNumberFormat="1" applyFont="1" applyFill="1" applyBorder="1" applyAlignment="1">
      <x:alignment horizontal="general" vertical="bottom" wrapText="0"/>
    </x:xf>
    <x:xf numFmtId="164" fontId="0" fillId="8" borderId="7" xfId="0" applyNumberFormat="1" applyFont="1" applyFill="1" applyBorder="1" applyAlignment="1">
      <x:alignment horizontal="general" vertical="bottom" wrapText="0"/>
    </x:xf>
    <x:xf numFmtId="164" fontId="13" fillId="9" borderId="7" xfId="0" applyNumberFormat="1" applyFont="1" applyFill="1" applyBorder="1" applyAlignment="1">
      <x:alignment horizontal="general" vertical="bottom" wrapText="0"/>
    </x:xf>
    <x:xf numFmtId="164" fontId="14" fillId="10" borderId="7" xfId="0" applyNumberFormat="1" applyFont="1" applyFill="1" applyBorder="1" applyAlignment="1">
      <x:alignment horizontal="general" vertical="bottom" wrapText="0"/>
    </x:xf>
    <x:xf numFmtId="164" fontId="15" fillId="11" borderId="7" xfId="0" applyNumberFormat="1" applyFont="1" applyFill="1" applyBorder="1" applyAlignment="1">
      <x:alignment horizontal="general" vertical="bottom" wrapText="0"/>
    </x:xf>
    <x:xf numFmtId="164" fontId="16" fillId="12" borderId="7" xfId="0" applyNumberFormat="1" applyFont="1" applyFill="1" applyBorder="1" applyAlignment="1">
      <x:alignment horizontal="general" vertical="bottom" wrapText="0"/>
    </x:xf>
    <x:xf numFmtId="164" fontId="6" fillId="5" borderId="6" xfId="0" applyNumberFormat="1" applyFont="1" applyFill="1" applyBorder="1" applyAlignment="1">
      <x:alignment horizontal="general" vertical="bottom" wrapText="0"/>
    </x:xf>
    <x:xf numFmtId="164" fontId="17" fillId="0" borderId="4" xfId="0" applyNumberFormat="1" applyFont="1" applyFill="1" applyBorder="1" applyAlignment="1">
      <x:alignment horizontal="general" vertical="bottom" wrapText="0"/>
    </x:xf>
    <x:xf numFmtId="164" fontId="18" fillId="7" borderId="6" xfId="0" applyNumberFormat="1" applyFont="1" applyFill="1" applyBorder="1" applyAlignment="1">
      <x:alignment horizontal="center" vertical="center" wrapText="0"/>
    </x:xf>
    <x:xf numFmtId="164" fontId="18" fillId="10" borderId="6" xfId="0" applyNumberFormat="1" applyFont="1" applyFill="1" applyBorder="1" applyAlignment="1">
      <x:alignment horizontal="center" vertical="center" wrapText="0"/>
    </x:xf>
    <x:xf numFmtId="164" fontId="18" fillId="13" borderId="6" xfId="0" applyNumberFormat="1" applyFont="1" applyFill="1" applyBorder="1" applyAlignment="1">
      <x:alignment horizontal="center" vertical="center" wrapText="0"/>
    </x:xf>
    <x:xf numFmtId="164" fontId="18" fillId="11" borderId="6" xfId="0" applyNumberFormat="1" applyFont="1" applyFill="1" applyBorder="1" applyAlignment="1">
      <x:alignment horizontal="center" vertical="center" wrapText="0"/>
    </x:xf>
    <x:xf numFmtId="164" fontId="18" fillId="9" borderId="6" xfId="0" applyNumberFormat="1" applyFont="1" applyFill="1" applyBorder="1" applyAlignment="1">
      <x:alignment horizontal="center" vertical="center" wrapText="0"/>
    </x:xf>
    <x:xf numFmtId="164" fontId="18" fillId="12" borderId="6" xfId="0" applyNumberFormat="1" applyFont="1" applyFill="1" applyBorder="1" applyAlignment="1">
      <x:alignment horizontal="center" vertical="center" wrapText="0"/>
    </x:xf>
    <x:xf numFmtId="164" fontId="18" fillId="14" borderId="6" xfId="0" applyNumberFormat="1" applyFont="1" applyFill="1" applyBorder="1" applyAlignment="1">
      <x:alignment horizontal="center" vertical="center" wrapText="0"/>
    </x:xf>
    <x:xf numFmtId="164" fontId="9" fillId="5" borderId="4" xfId="0" applyNumberFormat="1" applyFont="1" applyFill="1" applyBorder="1" applyAlignment="1">
      <x:alignment horizontal="left" vertical="center" wrapText="0"/>
    </x:xf>
    <x:xf numFmtId="164" fontId="8" fillId="2" borderId="6" xfId="0" applyNumberFormat="1" applyFont="1" applyFill="1" applyBorder="1" applyAlignment="1">
      <x:alignment horizontal="center" vertical="center" wrapText="1"/>
    </x:xf>
    <x:xf numFmtId="164" fontId="19" fillId="5" borderId="6" xfId="0" applyNumberFormat="1" applyFont="1" applyFill="1" applyBorder="1" applyAlignment="1">
      <x:alignment horizontal="center" vertical="center" wrapText="0"/>
    </x:xf>
    <x:xf numFmtId="165" fontId="6" fillId="5" borderId="6" xfId="0" applyNumberFormat="1" applyFont="1" applyFill="1" applyBorder="1" applyAlignment="1">
      <x:alignment horizontal="center" vertical="center" wrapText="0"/>
    </x:xf>
    <x:xf numFmtId="164" fontId="20" fillId="4" borderId="4" xfId="0" applyNumberFormat="1" applyFont="1" applyFill="1" applyBorder="1" applyAlignment="1">
      <x:alignment horizontal="right" vertical="center" wrapText="0"/>
    </x:xf>
    <x:xf numFmtId="164" fontId="20" fillId="4" borderId="6" xfId="0" applyNumberFormat="1" applyFont="1" applyFill="1" applyBorder="1" applyAlignment="1">
      <x:alignment horizontal="center" vertical="center" wrapText="0"/>
    </x:xf>
    <x:xf numFmtId="164" fontId="21" fillId="2" borderId="4" xfId="0" applyNumberFormat="1" applyFont="1" applyFill="1" applyBorder="1" applyAlignment="1">
      <x:alignment horizontal="center" vertical="center" wrapText="0"/>
    </x:xf>
    <x:xf numFmtId="167" fontId="19" fillId="15" borderId="6" xfId="0" applyNumberFormat="1" applyFont="1" applyFill="1" applyBorder="1" applyAlignment="1">
      <x:alignment horizontal="center" vertical="center" wrapText="0"/>
    </x:xf>
    <x:xf numFmtId="167" fontId="22" fillId="15" borderId="6" xfId="0" applyNumberFormat="1" applyFont="1" applyFill="1" applyBorder="1" applyAlignment="1">
      <x:alignment horizontal="center" vertical="center" wrapText="0"/>
    </x:xf>
    <x:xf numFmtId="164" fontId="23" fillId="3" borderId="6" xfId="0" applyNumberFormat="1" applyFont="1" applyFill="1" applyBorder="1" applyAlignment="1">
      <x:alignment horizontal="left" vertical="center" wrapText="0"/>
    </x:xf>
    <x:xf numFmtId="167" fontId="24" fillId="3" borderId="6" xfId="0" applyNumberFormat="1" applyFont="1" applyFill="1" applyBorder="1" applyAlignment="1">
      <x:alignment horizontal="center" vertical="center" wrapText="0"/>
    </x:xf>
    <x:xf numFmtId="164" fontId="24" fillId="3" borderId="6" xfId="0" applyNumberFormat="1" applyFont="1" applyFill="1" applyBorder="1" applyAlignment="1">
      <x:alignment horizontal="center" vertical="center" wrapText="0"/>
    </x:xf>
    <x:xf numFmtId="164" fontId="8" fillId="2" borderId="6" xfId="0" applyNumberFormat="1" applyFont="1" applyFill="1" applyBorder="1" applyAlignment="1">
      <x:alignment horizontal="left" vertical="center" wrapText="0"/>
    </x:xf>
    <x:xf numFmtId="164" fontId="20" fillId="4" borderId="6" xfId="0" applyNumberFormat="1" applyFont="1" applyFill="1" applyBorder="1" applyAlignment="1">
      <x:alignment horizontal="left" vertical="center" wrapText="0"/>
    </x:xf>
    <x:xf numFmtId="164" fontId="23" fillId="3" borderId="6" xfId="0" applyNumberFormat="1" applyFont="1" applyFill="1" applyBorder="1" applyAlignment="1">
      <x:alignment horizontal="left" vertical="center" wrapText="1"/>
    </x:xf>
    <x:xf numFmtId="168" fontId="25" fillId="15" borderId="6" xfId="0" applyNumberFormat="1" applyFont="1" applyFill="1" applyBorder="1" applyAlignment="1">
      <x:alignment horizontal="center" vertical="center" wrapText="0"/>
    </x:xf>
    <x:xf numFmtId="164" fontId="26" fillId="16" borderId="6" xfId="0" applyNumberFormat="1" applyFont="1" applyFill="1" applyBorder="1" applyAlignment="1">
      <x:alignment horizontal="center" vertical="center" wrapText="0"/>
    </x:xf>
    <x:xf numFmtId="167" fontId="25" fillId="15" borderId="6" xfId="0" applyNumberFormat="1" applyFont="1" applyFill="1" applyBorder="1" applyAlignment="1">
      <x:alignment horizontal="center" vertical="center" wrapText="0"/>
    </x:xf>
    <x:xf numFmtId="169" fontId="25" fillId="15" borderId="6" xfId="0" applyNumberFormat="1" applyFont="1" applyFill="1" applyBorder="1" applyAlignment="1">
      <x:alignment horizontal="center" vertical="center" wrapText="0"/>
    </x:xf>
    <x:xf numFmtId="164" fontId="25" fillId="15" borderId="6" xfId="0" applyNumberFormat="1" applyFont="1" applyFill="1" applyBorder="1" applyAlignment="1">
      <x:alignment horizontal="center" vertical="center" wrapText="0"/>
    </x:xf>
    <x:xf numFmtId="164" fontId="0" fillId="17" borderId="0" xfId="0" applyNumberFormat="1" applyFont="1" applyFill="1" applyBorder="1" applyAlignment="1">
      <x:alignment horizontal="general" vertical="bottom" wrapText="0"/>
    </x:xf>
    <x:xf numFmtId="164" fontId="27" fillId="17" borderId="0" xfId="0" applyNumberFormat="1" applyFont="1" applyFill="1" applyBorder="1" applyAlignment="1">
      <x:alignment horizontal="general" vertical="bottom" wrapText="0"/>
    </x:xf>
    <x:xf numFmtId="164" fontId="27" fillId="17" borderId="0" xfId="0" applyNumberFormat="1" applyFont="1" applyFill="1" applyBorder="1" applyAlignment="1">
      <x:alignment horizontal="left" vertical="bottom" wrapText="0"/>
    </x:xf>
    <x:xf numFmtId="164" fontId="27" fillId="17" borderId="0" xfId="0" applyNumberFormat="1" applyFont="1" applyFill="1" applyBorder="1" applyAlignment="1">
      <x:alignment horizontal="left" vertical="center" wrapText="0"/>
    </x:xf>
    <x:xf numFmtId="164" fontId="0" fillId="17" borderId="4" xfId="0" applyNumberFormat="1" applyFont="1" applyFill="1" applyBorder="1" applyAlignment="1">
      <x:alignment horizontal="general" vertical="bottom" wrapText="0"/>
    </x:xf>
    <x:xf numFmtId="164" fontId="27" fillId="17" borderId="4" xfId="0" applyNumberFormat="1" applyFont="1" applyFill="1" applyBorder="1" applyAlignment="1">
      <x:alignment horizontal="general" vertical="bottom" wrapText="0"/>
    </x:xf>
    <x:xf numFmtId="164" fontId="27" fillId="17" borderId="4" xfId="0" applyNumberFormat="1" applyFont="1" applyFill="1" applyBorder="1" applyAlignment="1">
      <x:alignment horizontal="left" vertical="bottom" wrapText="0"/>
    </x:xf>
    <x:xf numFmtId="164" fontId="27" fillId="17" borderId="4" xfId="0" applyNumberFormat="1" applyFont="1" applyFill="1" applyBorder="1" applyAlignment="1">
      <x:alignment horizontal="left" vertical="center" wrapText="0"/>
    </x:xf>
    <x:xf numFmtId="164" fontId="0" fillId="18" borderId="0" xfId="0" applyNumberFormat="1" applyFont="1" applyFill="1" applyBorder="1" applyAlignment="1">
      <x:alignment horizontal="general" vertical="bottom" wrapText="0"/>
    </x:xf>
    <x:xf numFmtId="164" fontId="28" fillId="18" borderId="0" xfId="0" applyNumberFormat="1" applyFont="1" applyFill="1" applyBorder="1" applyAlignment="1">
      <x:alignment horizontal="general" vertical="bottom" wrapText="0"/>
    </x:xf>
    <x:xf numFmtId="164" fontId="28" fillId="18" borderId="0" xfId="0" applyNumberFormat="1" applyFont="1" applyFill="1" applyBorder="1" applyAlignment="1">
      <x:alignment horizontal="general" vertical="bottom" wrapText="1"/>
    </x:xf>
    <x:xf numFmtId="164" fontId="0" fillId="18" borderId="4" xfId="0" applyNumberFormat="1" applyFont="1" applyFill="1" applyBorder="1" applyAlignment="1">
      <x:alignment horizontal="general" vertical="bottom" wrapText="0"/>
    </x:xf>
    <x:xf numFmtId="164" fontId="28" fillId="18" borderId="4" xfId="0" applyNumberFormat="1" applyFont="1" applyFill="1" applyBorder="1" applyAlignment="1">
      <x:alignment horizontal="general" vertical="bottom" wrapText="0"/>
    </x:xf>
    <x:xf numFmtId="164" fontId="28" fillId="18" borderId="4" xfId="0" applyNumberFormat="1" applyFont="1" applyFill="1" applyBorder="1" applyAlignment="1">
      <x:alignment horizontal="general" vertical="bottom" wrapText="1"/>
    </x:xf>
    <x:xf numFmtId="164" fontId="0" fillId="19" borderId="0" xfId="0" applyNumberFormat="1" applyFont="1" applyFill="1" applyBorder="1" applyAlignment="1">
      <x:alignment horizontal="general" vertical="bottom" wrapText="0"/>
    </x:xf>
    <x:xf numFmtId="164" fontId="29" fillId="19" borderId="0" xfId="0" applyNumberFormat="1" applyFont="1" applyFill="1" applyBorder="1" applyAlignment="1">
      <x:alignment horizontal="general" vertical="bottom" wrapText="0"/>
    </x:xf>
    <x:xf numFmtId="164" fontId="29" fillId="19" borderId="0" xfId="0" applyNumberFormat="1" applyFont="1" applyFill="1" applyBorder="1" applyAlignment="1">
      <x:alignment horizontal="general" vertical="bottom" wrapText="1"/>
    </x:xf>
    <x:xf numFmtId="164" fontId="29" fillId="19" borderId="0" xfId="0" applyNumberFormat="1" applyFont="1" applyFill="1" applyBorder="1" applyAlignment="1">
      <x:alignment horizontal="center" vertical="bottom" wrapText="1"/>
    </x:xf>
    <x:xf numFmtId="164" fontId="29" fillId="19" borderId="0" xfId="0" applyNumberFormat="1" applyFont="1" applyFill="1" applyBorder="1" applyAlignment="1">
      <x:alignment horizontal="center" vertical="center" wrapText="1"/>
    </x:xf>
    <x:xf numFmtId="164" fontId="0" fillId="19" borderId="4" xfId="0" applyNumberFormat="1" applyFont="1" applyFill="1" applyBorder="1" applyAlignment="1">
      <x:alignment horizontal="general" vertical="bottom" wrapText="0"/>
    </x:xf>
    <x:xf numFmtId="164" fontId="29" fillId="19" borderId="4" xfId="0" applyNumberFormat="1" applyFont="1" applyFill="1" applyBorder="1" applyAlignment="1">
      <x:alignment horizontal="general" vertical="bottom" wrapText="0"/>
    </x:xf>
    <x:xf numFmtId="164" fontId="29" fillId="19" borderId="4" xfId="0" applyNumberFormat="1" applyFont="1" applyFill="1" applyBorder="1" applyAlignment="1">
      <x:alignment horizontal="general" vertical="bottom" wrapText="1"/>
    </x:xf>
    <x:xf numFmtId="164" fontId="29" fillId="19" borderId="4" xfId="0" applyNumberFormat="1" applyFont="1" applyFill="1" applyBorder="1" applyAlignment="1">
      <x:alignment horizontal="center" vertical="bottom" wrapText="1"/>
    </x:xf>
    <x:xf numFmtId="164" fontId="29" fillId="19" borderId="4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top" wrapText="1"/>
    </x:xf>
    <x:xf numFmtId="164" fontId="0" fillId="0" borderId="4" xfId="0" applyNumberFormat="1" applyFont="1" applyFill="1" applyBorder="1" applyAlignment="1">
      <x:alignment horizontal="general" vertical="bottom" wrapText="1"/>
    </x:xf>
    <x:xf numFmtId="164" fontId="0" fillId="0" borderId="4" xfId="0" applyNumberFormat="1" applyFont="1" applyFill="1" applyBorder="1" applyAlignment="1">
      <x:alignment horizontal="general" vertical="top" wrapText="1"/>
    </x:xf>
    <x:xf numFmtId="164" fontId="0" fillId="20" borderId="0" xfId="0" applyNumberFormat="1" applyFont="1" applyFill="1" applyBorder="1" applyAlignment="1">
      <x:alignment horizontal="general" vertical="bottom" wrapText="0"/>
    </x:xf>
    <x:xf numFmtId="164" fontId="30" fillId="20" borderId="0" xfId="0" applyNumberFormat="1" applyFont="1" applyFill="1" applyBorder="1" applyAlignment="1">
      <x:alignment horizontal="general" vertical="bottom" wrapText="0"/>
    </x:xf>
    <x:xf numFmtId="164" fontId="0" fillId="20" borderId="4" xfId="0" applyNumberFormat="1" applyFont="1" applyFill="1" applyBorder="1" applyAlignment="1">
      <x:alignment horizontal="general" vertical="bottom" wrapText="0"/>
    </x:xf>
    <x:xf numFmtId="164" fontId="30" fillId="20" borderId="4" xfId="0" applyNumberFormat="1" applyFont="1" applyFill="1" applyBorder="1" applyAlignment="1">
      <x:alignment horizontal="general" vertical="bottom" wrapText="0"/>
    </x:xf>
    <x:xf numFmtId="164" fontId="0" fillId="21" borderId="0" xfId="0" applyNumberFormat="1" applyFont="1" applyFill="1" applyBorder="1" applyAlignment="1">
      <x:alignment horizontal="general" vertical="bottom" wrapText="0"/>
    </x:xf>
    <x:xf numFmtId="164" fontId="0" fillId="21" borderId="0" xfId="0" applyNumberFormat="1" applyFont="1" applyFill="1" applyBorder="1" applyAlignment="1">
      <x:alignment horizontal="general" vertical="bottom" wrapText="1"/>
    </x:xf>
    <x:xf numFmtId="164" fontId="0" fillId="21" borderId="4" xfId="0" applyNumberFormat="1" applyFont="1" applyFill="1" applyBorder="1" applyAlignment="1">
      <x:alignment horizontal="general" vertical="bottom" wrapText="0"/>
    </x:xf>
    <x:xf numFmtId="164" fontId="0" fillId="21" borderId="4" xfId="0" applyNumberFormat="1" applyFont="1" applyFill="1" applyBorder="1" applyAlignment="1">
      <x:alignment horizontal="general" vertical="bottom" wrapText="1"/>
    </x:xf>
    <x:xf numFmtId="164" fontId="30" fillId="19" borderId="0" xfId="0" applyNumberFormat="1" applyFont="1" applyFill="1" applyBorder="1" applyAlignment="1">
      <x:alignment horizontal="general" vertical="bottom" wrapText="0"/>
    </x:xf>
    <x:xf numFmtId="164" fontId="30" fillId="19" borderId="4" xfId="0" applyNumberFormat="1" applyFont="1" applyFill="1" applyBorder="1" applyAlignment="1">
      <x:alignment horizontal="general" vertical="bottom" wrapText="0"/>
    </x:xf>
    <x:xf numFmtId="200" fontId="0" fillId="0" borderId="0" xfId="0" applyNumberFormat="1" applyFont="1" applyFill="1" applyBorder="1" applyAlignment="1">
      <x:alignment horizontal="general" vertical="top" wrapText="1"/>
    </x:xf>
    <x:xf numFmtId="200" fontId="0" fillId="0" borderId="4" xfId="0" applyNumberFormat="1" applyFont="1" applyFill="1" applyBorder="1" applyAlignment="1">
      <x:alignment horizontal="general" vertical="top" wrapText="1"/>
    </x:xf>
    <x:xf numFmtId="201" fontId="0" fillId="0" borderId="0" xfId="0" applyNumberFormat="1" applyFont="1" applyFill="1" applyBorder="1" applyAlignment="1">
      <x:alignment horizontal="general" vertical="top" wrapText="1"/>
    </x:xf>
    <x:xf numFmtId="201" fontId="0" fillId="0" borderId="4" xfId="0" applyNumberFormat="1" applyFont="1" applyFill="1" applyBorder="1" applyAlignment="1">
      <x:alignment horizontal="general" vertical="top" wrapText="1"/>
    </x:xf>
    <x:xf numFmtId="202" fontId="0" fillId="0" borderId="0" xfId="0" applyNumberFormat="1" applyFont="1" applyFill="1" applyBorder="1" applyAlignment="1">
      <x:alignment horizontal="general" vertical="top" wrapText="1"/>
    </x:xf>
    <x:xf numFmtId="202" fontId="0" fillId="0" borderId="4" xfId="0" applyNumberFormat="1" applyFont="1" applyFill="1" applyBorder="1" applyAlignment="1">
      <x:alignment horizontal="general" vertical="top" wrapText="1"/>
    </x:xf>
    <x:xf numFmtId="203" fontId="0" fillId="0" borderId="0" xfId="0" applyNumberFormat="1" applyFont="1" applyFill="1" applyBorder="1" applyAlignment="1">
      <x:alignment horizontal="general" vertical="top" wrapText="1"/>
    </x:xf>
    <x:xf numFmtId="203" fontId="0" fillId="0" borderId="4" xfId="0" applyNumberFormat="1" applyFont="1" applyFill="1" applyBorder="1" applyAlignment="1">
      <x:alignment horizontal="general" vertical="top" wrapText="1"/>
    </x:xf>
    <x:xf numFmtId="164" fontId="31" fillId="18" borderId="0" xfId="0" applyNumberFormat="1" applyFont="1" applyFill="1" applyBorder="1" applyAlignment="1">
      <x:alignment horizontal="general" vertical="bottom" wrapText="0"/>
    </x:xf>
    <x:xf numFmtId="164" fontId="31" fillId="18" borderId="4" xfId="0" applyNumberFormat="1" applyFont="1" applyFill="1" applyBorder="1" applyAlignment="1">
      <x:alignment horizontal="general" vertical="bottom" wrapText="0"/>
    </x:xf>
    <x:xf numFmtId="202" fontId="0" fillId="0" borderId="0" xfId="0" applyNumberFormat="1" applyFont="1" applyFill="1" applyBorder="1" applyAlignment="1">
      <x:alignment horizontal="general" vertical="bottom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6">
    <x:dxf>
      <x:fill>
        <x:patternFill patternType="solid">
          <x:bgColor rgb="FFDCFCE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E2E2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7950B"/>
      <x:rgbColor rgb="FF800080"/>
      <x:rgbColor rgb="FF117A65"/>
      <x:rgbColor rgb="FFCCCCCC"/>
      <x:rgbColor rgb="FF717D7E"/>
      <x:rgbColor rgb="FF9999FF"/>
      <x:rgbColor rgb="FF6C3483"/>
      <x:rgbColor rgb="FFFFF9E6"/>
      <x:rgbColor rgb="FFD6EAF8"/>
      <x:rgbColor rgb="FF660066"/>
      <x:rgbColor rgb="FFFF8080"/>
      <x:rgbColor rgb="FF1F618D"/>
      <x:rgbColor rgb="FFD5D8DC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3F4"/>
      <x:rgbColor rgb="FFD5F5E3"/>
      <x:rgbColor rgb="FFE8E8E8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E8A020"/>
      <x:rgbColor rgb="FFFF6600"/>
      <x:rgbColor rgb="FF666699"/>
      <x:rgbColor rgb="FF969696"/>
      <x:rgbColor rgb="FF16213E"/>
      <x:rgbColor rgb="FF1E8449"/>
      <x:rgbColor rgb="FF003300"/>
      <x:rgbColor rgb="FF1A1A2E"/>
      <x:rgbColor rgb="FFA04000"/>
      <x:rgbColor rgb="FF993366"/>
      <x:rgbColor rgb="FF333399"/>
      <x:rgbColor rgb="FF1E2D40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5d540ca95e40ec" /><Relationship Type="http://schemas.openxmlformats.org/officeDocument/2006/relationships/theme" Target="/xl/theme/theme1.xml" Id="Rf5815b55c7024c3d" /><Relationship Type="http://schemas.openxmlformats.org/officeDocument/2006/relationships/sharedStrings" Target="/xl/sharedStrings.xml" Id="R1817daa237684111" /><Relationship Type="http://schemas.openxmlformats.org/officeDocument/2006/relationships/worksheet" Target="/xl/worksheets/sheet1.xml" Id="R3bb89d2815a240e3" /><Relationship Type="http://schemas.openxmlformats.org/officeDocument/2006/relationships/worksheet" Target="/xl/worksheets/sheet2.xml" Id="R5c99c3bcaa134945" /><Relationship Type="http://schemas.openxmlformats.org/officeDocument/2006/relationships/worksheet" Target="/xl/worksheets/sheet3.xml" Id="Rb472e6baf7014824" /><Relationship Type="http://schemas.openxmlformats.org/officeDocument/2006/relationships/worksheet" Target="/xl/worksheets/sheet4.xml" Id="R76814cdb42774f8e" /><Relationship Type="http://schemas.openxmlformats.org/officeDocument/2006/relationships/worksheet" Target="/xl/worksheets/sheet5.xml" Id="R6f4d97193dac4413" /><Relationship Type="http://schemas.openxmlformats.org/officeDocument/2006/relationships/worksheet" Target="/xl/worksheets/sheet6.xml" Id="R04e6885e4fa14cad" /><Relationship Type="http://schemas.openxmlformats.org/officeDocument/2006/relationships/worksheet" Target="/xl/worksheets/sheet7.xml" Id="R51867c24d3424f2c" /><Relationship Type="http://schemas.openxmlformats.org/officeDocument/2006/relationships/worksheet" Target="/xl/worksheets/sheet8.xml" Id="R1e897d25306f4b28" /><Relationship Type="http://schemas.openxmlformats.org/officeDocument/2006/relationships/worksheet" Target="/xl/worksheets/sheet9.xml" Id="R15d08c60b65a4422" /><Relationship Type="http://schemas.openxmlformats.org/officeDocument/2006/relationships/worksheet" Target="/xl/worksheets/sheet10.xml" Id="R922a988df6f144e8" /><Relationship Type="http://schemas.openxmlformats.org/officeDocument/2006/relationships/worksheet" Target="/xl/worksheets/sheet11.xml" Id="R3553ada51e92499b" /><Relationship Type="http://schemas.openxmlformats.org/officeDocument/2006/relationships/worksheet" Target="/xl/worksheets/sheet12.xml" Id="Rff0c8c8242bc476a" /><Relationship Type="http://schemas.openxmlformats.org/officeDocument/2006/relationships/worksheet" Target="/xl/worksheets/sheet13.xml" Id="R5c92c61d39b942f7" /><Relationship Type="http://schemas.openxmlformats.org/officeDocument/2006/relationships/worksheet" Target="/xl/worksheets/sheet14.xml" Id="Rb3e06dc6bad24783" /></Relationships>
</file>

<file path=xl/tables/table1.xml><?xml version="1.0" encoding="utf-8"?>
<x:table xmlns:x="http://schemas.openxmlformats.org/spreadsheetml/2006/main" id="1" name="PlanningActionTracker" displayName="PlanningActionTracker" ref="A4:K34" headerRowCount="1">
  <x:tableColumns count="11">
    <x:tableColumn id="1" name="Source/Sheet"/>
    <x:tableColumn id="2" name="Asset / Equipment"/>
    <x:tableColumn id="3" name="Finding / Defect"/>
    <x:tableColumn id="4" name="Risk / Impact"/>
    <x:tableColumn id="5" name="Priority"/>
    <x:tableColumn id="6" name="Responsible Person"/>
    <x:tableColumn id="7" name="Due Date"/>
    <x:tableColumn id="8" name="Status"/>
    <x:tableColumn id="9" name="Close-out Date"/>
    <x:tableColumn id="10" name="Verification / Evidence"/>
    <x:tableColumn id="11" name="Days Overdue"/>
  </x:tableColumns>
  <x:tableStyleInfo name="TableStyleMedium2" showRowStripes="1"/>
</x:table>
</file>

<file path=xl/tables/table2.xml><?xml version="1.0" encoding="utf-8"?>
<x:table xmlns:x="http://schemas.openxmlformats.org/spreadsheetml/2006/main" id="2" name="PMFrequencyEngine" displayName="PMFrequencyEngine" ref="A4:M34" headerRowCount="1">
  <x:tableColumns count="13">
    <x:tableColumn id="1" name="PM ID"/>
    <x:tableColumn id="2" name="Equipment Tag"/>
    <x:tableColumn id="3" name="Task Description"/>
    <x:tableColumn id="4" name="Frequency"/>
    <x:tableColumn id="5" name="Last Done"/>
    <x:tableColumn id="6" name="Next Due"/>
    <x:tableColumn id="7" name="Criticality"/>
    <x:tableColumn id="8" name="Responsible"/>
    <x:tableColumn id="9" name="WO Template"/>
    <x:tableColumn id="10" name="Status"/>
    <x:tableColumn id="11" name="Action Required"/>
    <x:tableColumn id="12" name="Notes"/>
    <x:tableColumn id="13" name="Running Hours Basis"/>
  </x:tableColumns>
  <x:tableStyleInfo name="TableStyleMedium2" showRowStripes="1"/>
</x:table>
</file>

<file path=xl/tables/table3.xml><?xml version="1.0" encoding="utf-8"?>
<x:table xmlns:x="http://schemas.openxmlformats.org/spreadsheetml/2006/main" id="3" name="BacklogAging" displayName="BacklogAging" ref="A4:J34" headerRowCount="1">
  <x:tableColumns count="10">
    <x:tableColumn id="1" name="WO Number"/>
    <x:tableColumn id="2" name="Equipment Tag"/>
    <x:tableColumn id="3" name="Description"/>
    <x:tableColumn id="4" name="Priority"/>
    <x:tableColumn id="5" name="Date Raised"/>
    <x:tableColumn id="6" name="Age (days)"/>
    <x:tableColumn id="7" name="Age Band"/>
    <x:tableColumn id="8" name="Status"/>
    <x:tableColumn id="9" name="Responsible"/>
    <x:tableColumn id="10" name="Action"/>
  </x:tableColumns>
  <x:tableStyleInfo name="TableStyleMedium2" showRowStripes="1"/>
</x:table>
</file>

<file path=xl/tables/table4.xml><?xml version="1.0" encoding="utf-8"?>
<x:table xmlns:x="http://schemas.openxmlformats.org/spreadsheetml/2006/main" id="4" name="ShutdownPlanner" displayName="ShutdownPlanner" ref="A4:N29" headerRowCount="1">
  <x:tableColumns count="14">
    <x:tableColumn id="1" name="Shutdown ID"/>
    <x:tableColumn id="2" name="Task ID"/>
    <x:tableColumn id="3" name="Task Description"/>
    <x:tableColumn id="4" name="Equipment"/>
    <x:tableColumn id="5" name="Predecessor"/>
    <x:tableColumn id="6" name="Start"/>
    <x:tableColumn id="7" name="Finish"/>
    <x:tableColumn id="8" name="Duration hrs"/>
    <x:tableColumn id="9" name="Permit Required?"/>
    <x:tableColumn id="10" name="Spares Ready?"/>
    <x:tableColumn id="11" name="Resources Ready?"/>
    <x:tableColumn id="12" name="Risk"/>
    <x:tableColumn id="13" name="Status"/>
    <x:tableColumn id="14" name="Comments"/>
  </x:tableColumns>
  <x:tableStyleInfo name="TableStyleMedium2" showRowStripes="1"/>
</x:table>
</file>

<file path=xl/tables/table5.xml><?xml version="1.0" encoding="utf-8"?>
<x:table xmlns:x="http://schemas.openxmlformats.org/spreadsheetml/2006/main" id="5" name="CostVariance" displayName="CostVariance" ref="A4:K34" headerRowCount="1">
  <x:tableColumns count="11">
    <x:tableColumn id="1" name="WO / Task"/>
    <x:tableColumn id="2" name="Equipment"/>
    <x:tableColumn id="3" name="Cost Category"/>
    <x:tableColumn id="4" name="Planned Cost"/>
    <x:tableColumn id="5" name="Actual Cost"/>
    <x:tableColumn id="6" name="Variance"/>
    <x:tableColumn id="7" name="Variance %"/>
    <x:tableColumn id="8" name="Reason"/>
    <x:tableColumn id="9" name="Owner"/>
    <x:tableColumn id="10" name="Corrective Action"/>
    <x:tableColumn id="11" name="Status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70a8178c2ea14a6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2.xml" Id="Rfbdbc1b97ace44d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3.xml" Id="R124d82ced30c490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4.xml" Id="Radca49102cd949d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5.xml" Id="R7b4bafe383594fd7" /></Relationships>
</file>

<file path=xl/worksheets/sheet1.xml><?xml version="1.0" encoding="utf-8"?>
<x:worksheet xmlns:x="http://schemas.openxmlformats.org/spreadsheetml/2006/main">
  <x:sheetPr>
    <x:tabColor rgb="FF717D7E"/>
  </x:sheetPr>
  <x:sheetViews>
    <x:sheetView showGridLines="0" workbookViewId="0"/>
  </x:sheetViews>
  <x:sheetFormatPr defaultColWidth="8.6796875" defaultRowHeight="15"/>
  <x:cols>
    <x:col min="1" max="1" width="3" hidden="0" customWidth="1"/>
    <x:col min="2" max="2" width="22" hidden="0" customWidth="1"/>
    <x:col min="3" max="3" width="70" hidden="0" customWidth="1"/>
    <x:col min="4" max="4" width="3" hidden="0" customWidth="1"/>
  </x:cols>
  <x:sheetData>
    <x:row r="1" ht="7.5" hidden="0" customHeight="1"/>
    <x:row r="2" ht="42" hidden="0" customHeight="1">
      <x:c r="B2" s="1" t="s">
        <x:v>0</x:v>
      </x:c>
      <x:c r="C2" s="1"/>
    </x:row>
    <x:row r="4" ht="9.75" hidden="0" customHeight="1"/>
    <x:row r="5" ht="19.5" hidden="0" customHeight="1">
      <x:c r="B5" s="2" t="s">
        <x:v>1</x:v>
      </x:c>
    </x:row>
    <x:row r="6" ht="51.75" hidden="0" customHeight="1">
      <x:c r="B6" s="3"/>
      <x:c r="C6" s="4" t="s">
        <x:v>2</x:v>
      </x:c>
    </x:row>
    <x:row r="7" ht="9.75" hidden="0" customHeight="1"/>
    <x:row r="8" ht="19.5" hidden="0" customHeight="1">
      <x:c r="B8" s="2" t="s">
        <x:v>3</x:v>
      </x:c>
    </x:row>
    <x:row r="9" ht="51.75" hidden="0" customHeight="1">
      <x:c r="B9" s="3"/>
      <x:c r="C9" s="4" t="s">
        <x:v>4</x:v>
      </x:c>
    </x:row>
    <x:row r="10" ht="9.75" hidden="0" customHeight="1"/>
    <x:row r="11" ht="19.5" hidden="0" customHeight="1">
      <x:c r="B11" s="2" t="s">
        <x:v>5</x:v>
      </x:c>
    </x:row>
    <x:row r="12" ht="51.75" hidden="0" customHeight="1">
      <x:c r="B12" s="3"/>
      <x:c r="C12" s="4" t="s">
        <x:v>6</x:v>
      </x:c>
    </x:row>
    <x:row r="13" ht="9.75" hidden="0" customHeight="1"/>
    <x:row r="14" ht="19.5" hidden="0" customHeight="1">
      <x:c r="B14" s="2" t="s">
        <x:v>7</x:v>
      </x:c>
    </x:row>
    <x:row r="15" ht="51.75" hidden="0" customHeight="1">
      <x:c r="B15" s="3"/>
      <x:c r="C15" s="4" t="s">
        <x:v>8</x:v>
      </x:c>
    </x:row>
    <x:row r="16" ht="9.75" hidden="0" customHeight="1"/>
    <x:row r="17" ht="19.5" hidden="0" customHeight="1">
      <x:c r="B17" s="2" t="s">
        <x:v>9</x:v>
      </x:c>
    </x:row>
    <x:row r="18" ht="51.75" hidden="0" customHeight="1">
      <x:c r="B18" s="3"/>
      <x:c r="C18" s="4" t="s">
        <x:v>10</x:v>
      </x:c>
    </x:row>
    <x:row r="19" ht="9.75" hidden="0" customHeight="1"/>
    <x:row r="20" ht="19.5" hidden="0" customHeight="1">
      <x:c r="B20" s="2" t="s">
        <x:v>11</x:v>
      </x:c>
    </x:row>
    <x:row r="21" ht="51.75" hidden="0" customHeight="1">
      <x:c r="B21" s="3"/>
      <x:c r="C21" s="4" t="s">
        <x:v>12</x:v>
      </x:c>
    </x:row>
    <x:row r="22" ht="9.75" hidden="0" customHeight="1"/>
    <x:row r="23" ht="19.5" hidden="0" customHeight="1">
      <x:c r="B23" s="2" t="s">
        <x:v>13</x:v>
      </x:c>
    </x:row>
    <x:row r="24" ht="51.75" hidden="0" customHeight="1">
      <x:c r="B24" s="3"/>
      <x:c r="C24" s="4" t="s">
        <x:v>14</x:v>
      </x:c>
    </x:row>
    <x:row r="25" ht="9.75" hidden="0" customHeight="1"/>
    <x:row r="26" ht="19.5" hidden="0" customHeight="1">
      <x:c r="B26" s="2" t="s">
        <x:v>15</x:v>
      </x:c>
    </x:row>
    <x:row r="27" ht="51.75" hidden="0" customHeight="1">
      <x:c r="B27" s="3"/>
      <x:c r="C27" s="4" t="s">
        <x:v>16</x:v>
      </x:c>
    </x:row>
  </x:sheetData>
  <x:mergeCells>
    <x:mergeCell ref="B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A04000"/>
  </x:sheetPr>
  <x:sheetViews>
    <x:sheetView showGridLines="0" workbookViewId="0"/>
  </x:sheetViews>
  <x:sheetFormatPr defaultColWidth="8.6796875" defaultRowHeight="15"/>
  <x:cols>
    <x:col min="1" max="1" width="3" hidden="0" customWidth="1"/>
    <x:col min="2" max="2" width="28" hidden="0" customWidth="1"/>
    <x:col min="3" max="3" width="24" hidden="0" customWidth="1"/>
    <x:col min="4" max="4" width="3" hidden="0" customWidth="1"/>
  </x:cols>
  <x:sheetData>
    <x:row r="2" ht="36" hidden="0" customHeight="1">
      <x:c r="B2" s="5" t="s">
        <x:v>17</x:v>
      </x:c>
      <x:c r="C2" s="5"/>
    </x:row>
    <x:row r="3" ht="7.5" hidden="0" customHeight="1"/>
    <x:row r="4" ht="19.5" hidden="0" customHeight="1">
      <x:c r="B4" s="6" t="s">
        <x:v>18</x:v>
      </x:c>
      <x:c r="C4" s="7" t="s">
        <x:v>19</x:v>
      </x:c>
    </x:row>
    <x:row r="5" ht="19.5" hidden="0" customHeight="1">
      <x:c r="B5" s="6" t="s">
        <x:v>20</x:v>
      </x:c>
      <x:c r="C5" s="7" t="n">
        <x:v>2025</x:v>
      </x:c>
    </x:row>
    <x:row r="6" ht="19.5" hidden="0" customHeight="1">
      <x:c r="B6" s="6" t="s">
        <x:v>21</x:v>
      </x:c>
      <x:c r="C6" s="7" t="n">
        <x:v>52</x:v>
      </x:c>
    </x:row>
    <x:row r="7" ht="19.5" hidden="0" customHeight="1">
      <x:c r="B7" s="6" t="s">
        <x:v>22</x:v>
      </x:c>
      <x:c r="C7" s="7" t="n">
        <x:v>8</x:v>
      </x:c>
    </x:row>
    <x:row r="8" ht="19.5" hidden="0" customHeight="1">
      <x:c r="B8" s="6" t="s">
        <x:v>23</x:v>
      </x:c>
      <x:c r="C8" s="7" t="n">
        <x:v>22</x:v>
      </x:c>
    </x:row>
    <x:row r="9" ht="9.75" hidden="0" customHeight="1"/>
    <x:row r="10" ht="19.5" hidden="0" customHeight="1">
      <x:c r="B10" s="6" t="s">
        <x:v>24</x:v>
      </x:c>
    </x:row>
    <x:row r="11" ht="18" hidden="0" customHeight="1">
      <x:c r="B11" s="8" t="s">
        <x:v>25</x:v>
      </x:c>
    </x:row>
    <x:row r="12" ht="18" hidden="0" customHeight="1">
      <x:c r="B12" s="8" t="s">
        <x:v>26</x:v>
      </x:c>
    </x:row>
    <x:row r="13" ht="18" hidden="0" customHeight="1">
      <x:c r="B13" s="8" t="s">
        <x:v>27</x:v>
      </x:c>
    </x:row>
    <x:row r="14" ht="18" hidden="0" customHeight="1">
      <x:c r="B14" s="8" t="s">
        <x:v>28</x:v>
      </x:c>
    </x:row>
    <x:row r="15" ht="18" hidden="0" customHeight="1">
      <x:c r="B15" s="8" t="s">
        <x:v>29</x:v>
      </x:c>
    </x:row>
    <x:row r="16" ht="18" hidden="0" customHeight="1">
      <x:c r="B16" s="8" t="s">
        <x:v>30</x:v>
      </x:c>
    </x:row>
    <x:row r="19" ht="15" hidden="0">
      <x:c r="B19" s="9" t="s">
        <x:v>31</x:v>
      </x:c>
    </x:row>
  </x:sheetData>
  <x:mergeCells>
    <x:mergeCell ref="B2:C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E8A020"/>
  </x:sheetPr>
  <x:sheetViews>
    <x:sheetView showGridLines="0" workbookViewId="0"/>
  </x:sheetViews>
  <x:sheetFormatPr defaultColWidth="8.6796875" defaultRowHeight="15"/>
  <x:cols>
    <x:col min="1" max="1" width="2" hidden="0" customWidth="1"/>
    <x:col min="2" max="2" width="5" hidden="0" customWidth="1"/>
    <x:col min="3" max="9" width="12" hidden="0" customWidth="1"/>
    <x:col min="10" max="10" width="10" hidden="0" customWidth="1"/>
    <x:col min="11" max="62" width="2.799999952316284" hidden="0" customWidth="1"/>
  </x:cols>
  <x:sheetData>
    <x:row r="1" ht="7.5" hidden="0" customHeight="1"/>
    <x:row r="2" ht="36" hidden="0" customHeight="1">
      <x:c r="A2" s="10"/>
      <x:c r="B2" s="1" t="s">
        <x:v>32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</x:row>
    <x:row r="3" ht="7.5" hidden="0" customHeight="1">
      <x:c r="K3" s="11" t="s">
        <x:v>33</x:v>
      </x:c>
      <x:c r="L3" s="11"/>
      <x:c r="M3" s="11"/>
      <x:c r="N3" s="11"/>
      <x:c r="O3" s="12" t="s">
        <x:v>34</x:v>
      </x:c>
      <x:c r="P3" s="12"/>
      <x:c r="Q3" s="12"/>
      <x:c r="R3" s="12"/>
      <x:c r="S3" s="11" t="s">
        <x:v>35</x:v>
      </x:c>
      <x:c r="T3" s="11"/>
      <x:c r="U3" s="11"/>
      <x:c r="V3" s="11"/>
      <x:c r="W3" s="11"/>
      <x:c r="X3" s="12" t="s">
        <x:v>36</x:v>
      </x:c>
      <x:c r="Y3" s="12"/>
      <x:c r="Z3" s="12"/>
      <x:c r="AA3" s="12"/>
      <x:c r="AB3" s="11" t="s">
        <x:v>37</x:v>
      </x:c>
      <x:c r="AC3" s="11"/>
      <x:c r="AD3" s="11"/>
      <x:c r="AE3" s="11"/>
      <x:c r="AF3" s="12" t="s">
        <x:v>38</x:v>
      </x:c>
      <x:c r="AG3" s="12"/>
      <x:c r="AH3" s="12"/>
      <x:c r="AI3" s="12"/>
      <x:c r="AJ3" s="11" t="s">
        <x:v>39</x:v>
      </x:c>
      <x:c r="AK3" s="11"/>
      <x:c r="AL3" s="11"/>
      <x:c r="AM3" s="11"/>
      <x:c r="AN3" s="11"/>
      <x:c r="AO3" s="12" t="s">
        <x:v>40</x:v>
      </x:c>
      <x:c r="AP3" s="12"/>
      <x:c r="AQ3" s="12"/>
      <x:c r="AR3" s="12"/>
      <x:c r="AS3" s="11" t="s">
        <x:v>41</x:v>
      </x:c>
      <x:c r="AT3" s="11"/>
      <x:c r="AU3" s="11"/>
      <x:c r="AV3" s="11"/>
      <x:c r="AW3" s="12" t="s">
        <x:v>42</x:v>
      </x:c>
      <x:c r="AX3" s="12"/>
      <x:c r="AY3" s="12"/>
      <x:c r="AZ3" s="12"/>
      <x:c r="BA3" s="12"/>
      <x:c r="BB3" s="11" t="s">
        <x:v>43</x:v>
      </x:c>
      <x:c r="BC3" s="11"/>
      <x:c r="BD3" s="11"/>
      <x:c r="BE3" s="11"/>
      <x:c r="BF3" s="12" t="s">
        <x:v>44</x:v>
      </x:c>
      <x:c r="BG3" s="12"/>
      <x:c r="BH3" s="12"/>
      <x:c r="BI3" s="12"/>
      <x:c r="BJ3" s="12"/>
    </x:row>
    <x:row r="4" ht="21.75" hidden="0" customHeight="1">
      <x:c r="B4" s="13" t="s">
        <x:v>45</x:v>
      </x:c>
      <x:c r="C4" s="13" t="s">
        <x:v>46</x:v>
      </x:c>
      <x:c r="D4" s="13" t="s">
        <x:v>47</x:v>
      </x:c>
      <x:c r="E4" s="13" t="s">
        <x:v>48</x:v>
      </x:c>
      <x:c r="F4" s="13" t="s">
        <x:v>49</x:v>
      </x:c>
      <x:c r="G4" s="13" t="s">
        <x:v>50</x:v>
      </x:c>
      <x:c r="H4" s="13" t="s">
        <x:v>51</x:v>
      </x:c>
      <x:c r="I4" s="13" t="s">
        <x:v>52</x:v>
      </x:c>
      <x:c r="J4" s="13" t="s">
        <x:v>53</x:v>
      </x:c>
      <x:c r="K4" s="14" t="n">
        <x:v>1</x:v>
      </x:c>
      <x:c r="L4" s="14" t="n">
        <x:v>2</x:v>
      </x:c>
      <x:c r="M4" s="14" t="n">
        <x:v>3</x:v>
      </x:c>
      <x:c r="N4" s="14" t="n">
        <x:v>4</x:v>
      </x:c>
      <x:c r="O4" s="14" t="n">
        <x:v>5</x:v>
      </x:c>
      <x:c r="P4" s="14" t="n">
        <x:v>6</x:v>
      </x:c>
      <x:c r="Q4" s="14" t="n">
        <x:v>7</x:v>
      </x:c>
      <x:c r="R4" s="14" t="n">
        <x:v>8</x:v>
      </x:c>
      <x:c r="S4" s="14" t="n">
        <x:v>9</x:v>
      </x:c>
      <x:c r="T4" s="14" t="n">
        <x:v>10</x:v>
      </x:c>
      <x:c r="U4" s="14" t="n">
        <x:v>11</x:v>
      </x:c>
      <x:c r="V4" s="14" t="n">
        <x:v>12</x:v>
      </x:c>
      <x:c r="W4" s="14" t="n">
        <x:v>13</x:v>
      </x:c>
      <x:c r="X4" s="14" t="n">
        <x:v>14</x:v>
      </x:c>
      <x:c r="Y4" s="14" t="n">
        <x:v>15</x:v>
      </x:c>
      <x:c r="Z4" s="14" t="n">
        <x:v>16</x:v>
      </x:c>
      <x:c r="AA4" s="14" t="n">
        <x:v>17</x:v>
      </x:c>
      <x:c r="AB4" s="14" t="n">
        <x:v>18</x:v>
      </x:c>
      <x:c r="AC4" s="14" t="n">
        <x:v>19</x:v>
      </x:c>
      <x:c r="AD4" s="14" t="n">
        <x:v>20</x:v>
      </x:c>
      <x:c r="AE4" s="14" t="n">
        <x:v>21</x:v>
      </x:c>
      <x:c r="AF4" s="14" t="n">
        <x:v>22</x:v>
      </x:c>
      <x:c r="AG4" s="14" t="n">
        <x:v>23</x:v>
      </x:c>
      <x:c r="AH4" s="14" t="n">
        <x:v>24</x:v>
      </x:c>
      <x:c r="AI4" s="14" t="n">
        <x:v>25</x:v>
      </x:c>
      <x:c r="AJ4" s="14" t="n">
        <x:v>26</x:v>
      </x:c>
      <x:c r="AK4" s="14" t="n">
        <x:v>27</x:v>
      </x:c>
      <x:c r="AL4" s="14" t="n">
        <x:v>28</x:v>
      </x:c>
      <x:c r="AM4" s="14" t="n">
        <x:v>29</x:v>
      </x:c>
      <x:c r="AN4" s="14" t="n">
        <x:v>30</x:v>
      </x:c>
      <x:c r="AO4" s="14" t="n">
        <x:v>31</x:v>
      </x:c>
      <x:c r="AP4" s="14" t="n">
        <x:v>32</x:v>
      </x:c>
      <x:c r="AQ4" s="14" t="n">
        <x:v>33</x:v>
      </x:c>
      <x:c r="AR4" s="14" t="n">
        <x:v>34</x:v>
      </x:c>
      <x:c r="AS4" s="14" t="n">
        <x:v>35</x:v>
      </x:c>
      <x:c r="AT4" s="14" t="n">
        <x:v>36</x:v>
      </x:c>
      <x:c r="AU4" s="14" t="n">
        <x:v>37</x:v>
      </x:c>
      <x:c r="AV4" s="14" t="n">
        <x:v>38</x:v>
      </x:c>
      <x:c r="AW4" s="14" t="n">
        <x:v>39</x:v>
      </x:c>
      <x:c r="AX4" s="14" t="n">
        <x:v>40</x:v>
      </x:c>
      <x:c r="AY4" s="14" t="n">
        <x:v>41</x:v>
      </x:c>
      <x:c r="AZ4" s="14" t="n">
        <x:v>42</x:v>
      </x:c>
      <x:c r="BA4" s="14" t="n">
        <x:v>43</x:v>
      </x:c>
      <x:c r="BB4" s="14" t="n">
        <x:v>44</x:v>
      </x:c>
      <x:c r="BC4" s="14" t="n">
        <x:v>45</x:v>
      </x:c>
      <x:c r="BD4" s="14" t="n">
        <x:v>46</x:v>
      </x:c>
      <x:c r="BE4" s="14" t="n">
        <x:v>47</x:v>
      </x:c>
      <x:c r="BF4" s="14" t="n">
        <x:v>48</x:v>
      </x:c>
      <x:c r="BG4" s="14" t="n">
        <x:v>49</x:v>
      </x:c>
      <x:c r="BH4" s="14" t="n">
        <x:v>50</x:v>
      </x:c>
      <x:c r="BI4" s="14" t="n">
        <x:v>51</x:v>
      </x:c>
      <x:c r="BJ4" s="14" t="n">
        <x:v>52</x:v>
      </x:c>
    </x:row>
    <x:row r="5" ht="18" hidden="0" customHeight="1">
      <x:c r="B5" s="7" t="s">
        <x:v>54</x:v>
      </x:c>
      <x:c r="C5" s="8" t="s">
        <x:v>55</x:v>
      </x:c>
      <x:c r="D5" s="7" t="s">
        <x:v>56</x:v>
      </x:c>
      <x:c r="E5" s="7" t="s">
        <x:v>57</x:v>
      </x:c>
      <x:c r="F5" s="8" t="s">
        <x:v>25</x:v>
      </x:c>
      <x:c r="G5" s="7" t="n">
        <x:v>1</x:v>
      </x:c>
      <x:c r="H5" s="7" t="n">
        <x:v>1</x:v>
      </x:c>
      <x:c r="I5" s="7" t="s">
        <x:v>58</x:v>
      </x:c>
      <x:c r="J5" s="7" t="s">
        <x:v>59</x:v>
      </x:c>
      <x:c r="K5" s="15" t="s">
        <x:v>60</x:v>
      </x:c>
      <x:c r="L5" s="16"/>
      <x:c r="M5" s="16"/>
      <x:c r="N5" s="16"/>
      <x:c r="O5" s="16"/>
      <x:c r="P5" s="16"/>
      <x:c r="Q5" s="16"/>
      <x:c r="R5" s="16"/>
      <x:c r="S5" s="16"/>
      <x:c r="T5" s="16"/>
      <x:c r="U5" s="16"/>
      <x:c r="V5" s="16"/>
      <x:c r="W5" s="16"/>
      <x:c r="X5" s="16"/>
      <x:c r="Y5" s="16"/>
      <x:c r="Z5" s="16"/>
      <x:c r="AA5" s="16"/>
      <x:c r="AB5" s="16"/>
      <x:c r="AC5" s="16"/>
      <x:c r="AD5" s="16"/>
      <x:c r="AE5" s="16"/>
      <x:c r="AF5" s="16"/>
      <x:c r="AG5" s="16"/>
      <x:c r="AH5" s="16"/>
      <x:c r="AI5" s="16"/>
      <x:c r="AJ5" s="16"/>
      <x:c r="AK5" s="16"/>
      <x:c r="AL5" s="16"/>
      <x:c r="AM5" s="16"/>
      <x:c r="AN5" s="16"/>
      <x:c r="AO5" s="16"/>
      <x:c r="AP5" s="16"/>
      <x:c r="AQ5" s="16"/>
      <x:c r="AR5" s="16"/>
      <x:c r="AS5" s="16"/>
      <x:c r="AT5" s="16"/>
      <x:c r="AU5" s="16"/>
      <x:c r="AV5" s="16"/>
      <x:c r="AW5" s="16"/>
      <x:c r="AX5" s="16"/>
      <x:c r="AY5" s="16"/>
      <x:c r="AZ5" s="16"/>
      <x:c r="BA5" s="16"/>
      <x:c r="BB5" s="16"/>
      <x:c r="BC5" s="16"/>
      <x:c r="BD5" s="16"/>
      <x:c r="BE5" s="16"/>
      <x:c r="BF5" s="16"/>
      <x:c r="BG5" s="16"/>
      <x:c r="BH5" s="16"/>
      <x:c r="BI5" s="16"/>
      <x:c r="BJ5" s="16"/>
    </x:row>
    <x:row r="6" ht="18" hidden="0" customHeight="1">
      <x:c r="B6" s="7" t="s">
        <x:v>61</x:v>
      </x:c>
      <x:c r="C6" s="8" t="s">
        <x:v>62</x:v>
      </x:c>
      <x:c r="D6" s="7" t="s">
        <x:v>63</x:v>
      </x:c>
      <x:c r="E6" s="7" t="s">
        <x:v>57</x:v>
      </x:c>
      <x:c r="F6" s="8" t="s">
        <x:v>26</x:v>
      </x:c>
      <x:c r="G6" s="7" t="n">
        <x:v>2</x:v>
      </x:c>
      <x:c r="H6" s="7" t="n">
        <x:v>1</x:v>
      </x:c>
      <x:c r="I6" s="7" t="s">
        <x:v>58</x:v>
      </x:c>
      <x:c r="J6" s="7" t="s">
        <x:v>64</x:v>
      </x:c>
      <x:c r="K6" s="17"/>
      <x:c r="L6" s="15" t="s">
        <x:v>60</x:v>
      </x:c>
      <x:c r="M6" s="17"/>
      <x:c r="N6" s="17"/>
      <x:c r="O6" s="17"/>
      <x:c r="P6" s="17"/>
      <x:c r="Q6" s="17"/>
      <x:c r="R6" s="17"/>
      <x:c r="S6" s="17"/>
      <x:c r="T6" s="17"/>
      <x:c r="U6" s="17"/>
      <x:c r="V6" s="17"/>
      <x:c r="W6" s="17"/>
      <x:c r="X6" s="17"/>
      <x:c r="Y6" s="17"/>
      <x:c r="Z6" s="17"/>
      <x:c r="AA6" s="17"/>
      <x:c r="AB6" s="17"/>
      <x:c r="AC6" s="17"/>
      <x:c r="AD6" s="17"/>
      <x:c r="AE6" s="17"/>
      <x:c r="AF6" s="17"/>
      <x:c r="AG6" s="17"/>
      <x:c r="AH6" s="17"/>
      <x:c r="AI6" s="17"/>
      <x:c r="AJ6" s="17"/>
      <x:c r="AK6" s="17"/>
      <x:c r="AL6" s="17"/>
      <x:c r="AM6" s="17"/>
      <x:c r="AN6" s="17"/>
      <x:c r="AO6" s="17"/>
      <x:c r="AP6" s="17"/>
      <x:c r="AQ6" s="17"/>
      <x:c r="AR6" s="17"/>
      <x:c r="AS6" s="17"/>
      <x:c r="AT6" s="17"/>
      <x:c r="AU6" s="17"/>
      <x:c r="AV6" s="17"/>
      <x:c r="AW6" s="17"/>
      <x:c r="AX6" s="17"/>
      <x:c r="AY6" s="17"/>
      <x:c r="AZ6" s="17"/>
      <x:c r="BA6" s="17"/>
      <x:c r="BB6" s="17"/>
      <x:c r="BC6" s="17"/>
      <x:c r="BD6" s="17"/>
      <x:c r="BE6" s="17"/>
      <x:c r="BF6" s="17"/>
      <x:c r="BG6" s="17"/>
      <x:c r="BH6" s="17"/>
      <x:c r="BI6" s="17"/>
      <x:c r="BJ6" s="17"/>
    </x:row>
    <x:row r="7" ht="18" hidden="0" customHeight="1">
      <x:c r="B7" s="7" t="s">
        <x:v>65</x:v>
      </x:c>
      <x:c r="C7" s="8" t="s">
        <x:v>66</x:v>
      </x:c>
      <x:c r="D7" s="7" t="s">
        <x:v>67</x:v>
      </x:c>
      <x:c r="E7" s="7" t="s">
        <x:v>68</x:v>
      </x:c>
      <x:c r="F7" s="8" t="s">
        <x:v>27</x:v>
      </x:c>
      <x:c r="G7" s="7" t="n">
        <x:v>3</x:v>
      </x:c>
      <x:c r="H7" s="7" t="n">
        <x:v>1</x:v>
      </x:c>
      <x:c r="I7" s="7" t="s">
        <x:v>58</x:v>
      </x:c>
      <x:c r="J7" s="7" t="s">
        <x:v>59</x:v>
      </x:c>
      <x:c r="K7" s="16"/>
      <x:c r="L7" s="16"/>
      <x:c r="M7" s="18" t="s">
        <x:v>60</x:v>
      </x:c>
      <x:c r="N7" s="16"/>
      <x:c r="O7" s="16"/>
      <x:c r="P7" s="16"/>
      <x:c r="Q7" s="16"/>
      <x:c r="R7" s="16"/>
      <x:c r="S7" s="16"/>
      <x:c r="T7" s="16"/>
      <x:c r="U7" s="16"/>
      <x:c r="V7" s="16"/>
      <x:c r="W7" s="16"/>
      <x:c r="X7" s="16"/>
      <x:c r="Y7" s="16"/>
      <x:c r="Z7" s="16"/>
      <x:c r="AA7" s="16"/>
      <x:c r="AB7" s="16"/>
      <x:c r="AC7" s="16"/>
      <x:c r="AD7" s="16"/>
      <x:c r="AE7" s="16"/>
      <x:c r="AF7" s="16"/>
      <x:c r="AG7" s="16"/>
      <x:c r="AH7" s="16"/>
      <x:c r="AI7" s="16"/>
      <x:c r="AJ7" s="16"/>
      <x:c r="AK7" s="16"/>
      <x:c r="AL7" s="16"/>
      <x:c r="AM7" s="16"/>
      <x:c r="AN7" s="16"/>
      <x:c r="AO7" s="16"/>
      <x:c r="AP7" s="16"/>
      <x:c r="AQ7" s="16"/>
      <x:c r="AR7" s="16"/>
      <x:c r="AS7" s="16"/>
      <x:c r="AT7" s="16"/>
      <x:c r="AU7" s="16"/>
      <x:c r="AV7" s="16"/>
      <x:c r="AW7" s="16"/>
      <x:c r="AX7" s="16"/>
      <x:c r="AY7" s="16"/>
      <x:c r="AZ7" s="16"/>
      <x:c r="BA7" s="16"/>
      <x:c r="BB7" s="16"/>
      <x:c r="BC7" s="16"/>
      <x:c r="BD7" s="16"/>
      <x:c r="BE7" s="16"/>
      <x:c r="BF7" s="16"/>
      <x:c r="BG7" s="16"/>
      <x:c r="BH7" s="16"/>
      <x:c r="BI7" s="16"/>
      <x:c r="BJ7" s="16"/>
    </x:row>
    <x:row r="8" ht="18" hidden="0" customHeight="1">
      <x:c r="B8" s="7" t="s">
        <x:v>69</x:v>
      </x:c>
      <x:c r="C8" s="8" t="s">
        <x:v>70</x:v>
      </x:c>
      <x:c r="D8" s="7" t="s">
        <x:v>71</x:v>
      </x:c>
      <x:c r="E8" s="7" t="s">
        <x:v>72</x:v>
      </x:c>
      <x:c r="F8" s="8" t="s">
        <x:v>28</x:v>
      </x:c>
      <x:c r="G8" s="7" t="n">
        <x:v>4</x:v>
      </x:c>
      <x:c r="H8" s="7" t="n">
        <x:v>1</x:v>
      </x:c>
      <x:c r="I8" s="7" t="s">
        <x:v>58</x:v>
      </x:c>
      <x:c r="J8" s="7" t="s">
        <x:v>59</x:v>
      </x:c>
      <x:c r="K8" s="17"/>
      <x:c r="L8" s="17"/>
      <x:c r="M8" s="17"/>
      <x:c r="N8" s="19" t="s">
        <x:v>60</x:v>
      </x:c>
      <x:c r="O8" s="17"/>
      <x:c r="P8" s="17"/>
      <x:c r="Q8" s="17"/>
      <x:c r="R8" s="17"/>
      <x:c r="S8" s="17"/>
      <x:c r="T8" s="17"/>
      <x:c r="U8" s="17"/>
      <x:c r="V8" s="17"/>
      <x:c r="W8" s="17"/>
      <x:c r="X8" s="17"/>
      <x:c r="Y8" s="17"/>
      <x:c r="Z8" s="17"/>
      <x:c r="AA8" s="17"/>
      <x:c r="AB8" s="17"/>
      <x:c r="AC8" s="17"/>
      <x:c r="AD8" s="17"/>
      <x:c r="AE8" s="17"/>
      <x:c r="AF8" s="17"/>
      <x:c r="AG8" s="17"/>
      <x:c r="AH8" s="17"/>
      <x:c r="AI8" s="17"/>
      <x:c r="AJ8" s="17"/>
      <x:c r="AK8" s="17"/>
      <x:c r="AL8" s="17"/>
      <x:c r="AM8" s="17"/>
      <x:c r="AN8" s="17"/>
      <x:c r="AO8" s="17"/>
      <x:c r="AP8" s="17"/>
      <x:c r="AQ8" s="17"/>
      <x:c r="AR8" s="17"/>
      <x:c r="AS8" s="17"/>
      <x:c r="AT8" s="17"/>
      <x:c r="AU8" s="17"/>
      <x:c r="AV8" s="17"/>
      <x:c r="AW8" s="17"/>
      <x:c r="AX8" s="17"/>
      <x:c r="AY8" s="17"/>
      <x:c r="AZ8" s="17"/>
      <x:c r="BA8" s="17"/>
      <x:c r="BB8" s="17"/>
      <x:c r="BC8" s="17"/>
      <x:c r="BD8" s="17"/>
      <x:c r="BE8" s="17"/>
      <x:c r="BF8" s="17"/>
      <x:c r="BG8" s="17"/>
      <x:c r="BH8" s="17"/>
      <x:c r="BI8" s="17"/>
      <x:c r="BJ8" s="17"/>
    </x:row>
    <x:row r="9" ht="18" hidden="0" customHeight="1">
      <x:c r="B9" s="7" t="s">
        <x:v>73</x:v>
      </x:c>
      <x:c r="C9" s="8" t="s">
        <x:v>74</x:v>
      </x:c>
      <x:c r="D9" s="7" t="s">
        <x:v>71</x:v>
      </x:c>
      <x:c r="E9" s="7" t="s">
        <x:v>75</x:v>
      </x:c>
      <x:c r="F9" s="8" t="s">
        <x:v>25</x:v>
      </x:c>
      <x:c r="G9" s="7" t="n">
        <x:v>5</x:v>
      </x:c>
      <x:c r="H9" s="7" t="n">
        <x:v>4</x:v>
      </x:c>
      <x:c r="I9" s="7" t="s">
        <x:v>58</x:v>
      </x:c>
      <x:c r="J9" s="7" t="s">
        <x:v>76</x:v>
      </x:c>
      <x:c r="K9" s="16"/>
      <x:c r="L9" s="16"/>
      <x:c r="M9" s="16"/>
      <x:c r="N9" s="16"/>
      <x:c r="O9" s="20" t="s">
        <x:v>60</x:v>
      </x:c>
      <x:c r="P9" s="20" t="s">
        <x:v>60</x:v>
      </x:c>
      <x:c r="Q9" s="20" t="s">
        <x:v>60</x:v>
      </x:c>
      <x:c r="R9" s="20" t="s">
        <x:v>60</x:v>
      </x:c>
      <x:c r="S9" s="16"/>
      <x:c r="T9" s="16"/>
      <x:c r="U9" s="16"/>
      <x:c r="V9" s="16"/>
      <x:c r="W9" s="16"/>
      <x:c r="X9" s="16"/>
      <x:c r="Y9" s="16"/>
      <x:c r="Z9" s="16"/>
      <x:c r="AA9" s="16"/>
      <x:c r="AB9" s="16"/>
      <x:c r="AC9" s="16"/>
      <x:c r="AD9" s="16"/>
      <x:c r="AE9" s="16"/>
      <x:c r="AF9" s="16"/>
      <x:c r="AG9" s="16"/>
      <x:c r="AH9" s="16"/>
      <x:c r="AI9" s="16"/>
      <x:c r="AJ9" s="16"/>
      <x:c r="AK9" s="16"/>
      <x:c r="AL9" s="16"/>
      <x:c r="AM9" s="16"/>
      <x:c r="AN9" s="16"/>
      <x:c r="AO9" s="16"/>
      <x:c r="AP9" s="16"/>
      <x:c r="AQ9" s="16"/>
      <x:c r="AR9" s="16"/>
      <x:c r="AS9" s="16"/>
      <x:c r="AT9" s="16"/>
      <x:c r="AU9" s="16"/>
      <x:c r="AV9" s="16"/>
      <x:c r="AW9" s="16"/>
      <x:c r="AX9" s="16"/>
      <x:c r="AY9" s="16"/>
      <x:c r="AZ9" s="16"/>
      <x:c r="BA9" s="16"/>
      <x:c r="BB9" s="16"/>
      <x:c r="BC9" s="16"/>
      <x:c r="BD9" s="16"/>
      <x:c r="BE9" s="16"/>
      <x:c r="BF9" s="16"/>
      <x:c r="BG9" s="16"/>
      <x:c r="BH9" s="16"/>
      <x:c r="BI9" s="16"/>
      <x:c r="BJ9" s="16"/>
    </x:row>
    <x:row r="10" ht="18" hidden="0" customHeight="1">
      <x:c r="B10" s="7" t="s">
        <x:v>77</x:v>
      </x:c>
      <x:c r="C10" s="8" t="s">
        <x:v>78</x:v>
      </x:c>
      <x:c r="D10" s="7" t="s">
        <x:v>56</x:v>
      </x:c>
      <x:c r="E10" s="7" t="s">
        <x:v>79</x:v>
      </x:c>
      <x:c r="F10" s="8" t="s">
        <x:v>29</x:v>
      </x:c>
      <x:c r="G10" s="7" t="n">
        <x:v>1</x:v>
      </x:c>
      <x:c r="H10" s="7" t="n">
        <x:v>1</x:v>
      </x:c>
      <x:c r="I10" s="7" t="s">
        <x:v>58</x:v>
      </x:c>
      <x:c r="J10" s="7" t="s">
        <x:v>80</x:v>
      </x:c>
      <x:c r="K10" s="21" t="s">
        <x:v>60</x:v>
      </x:c>
      <x:c r="L10" s="17"/>
      <x:c r="M10" s="17"/>
      <x:c r="N10" s="17"/>
      <x:c r="O10" s="17"/>
      <x:c r="P10" s="17"/>
      <x:c r="Q10" s="17"/>
      <x:c r="R10" s="17"/>
      <x:c r="S10" s="17"/>
      <x:c r="T10" s="17"/>
      <x:c r="U10" s="17"/>
      <x:c r="V10" s="17"/>
      <x:c r="W10" s="17"/>
      <x:c r="X10" s="17"/>
      <x:c r="Y10" s="17"/>
      <x:c r="Z10" s="17"/>
      <x:c r="AA10" s="17"/>
      <x:c r="AB10" s="17"/>
      <x:c r="AC10" s="17"/>
      <x:c r="AD10" s="17"/>
      <x:c r="AE10" s="17"/>
      <x:c r="AF10" s="17"/>
      <x:c r="AG10" s="17"/>
      <x:c r="AH10" s="17"/>
      <x:c r="AI10" s="17"/>
      <x:c r="AJ10" s="17"/>
      <x:c r="AK10" s="17"/>
      <x:c r="AL10" s="17"/>
      <x:c r="AM10" s="17"/>
      <x:c r="AN10" s="17"/>
      <x:c r="AO10" s="17"/>
      <x:c r="AP10" s="17"/>
      <x:c r="AQ10" s="17"/>
      <x:c r="AR10" s="17"/>
      <x:c r="AS10" s="17"/>
      <x:c r="AT10" s="17"/>
      <x:c r="AU10" s="17"/>
      <x:c r="AV10" s="17"/>
      <x:c r="AW10" s="17"/>
      <x:c r="AX10" s="17"/>
      <x:c r="AY10" s="17"/>
      <x:c r="AZ10" s="17"/>
      <x:c r="BA10" s="17"/>
      <x:c r="BB10" s="17"/>
      <x:c r="BC10" s="17"/>
      <x:c r="BD10" s="17"/>
      <x:c r="BE10" s="17"/>
      <x:c r="BF10" s="17"/>
      <x:c r="BG10" s="17"/>
      <x:c r="BH10" s="17"/>
      <x:c r="BI10" s="17"/>
      <x:c r="BJ10" s="17"/>
    </x:row>
    <x:row r="11" ht="18" hidden="0" customHeight="1">
      <x:c r="B11" s="7" t="s">
        <x:v>81</x:v>
      </x:c>
      <x:c r="C11" s="8" t="s">
        <x:v>82</x:v>
      </x:c>
      <x:c r="D11" s="7" t="s">
        <x:v>83</x:v>
      </x:c>
      <x:c r="E11" s="7" t="s">
        <x:v>75</x:v>
      </x:c>
      <x:c r="F11" s="8" t="s">
        <x:v>30</x:v>
      </x:c>
      <x:c r="G11" s="7" t="n">
        <x:v>12</x:v>
      </x:c>
      <x:c r="H11" s="7" t="n">
        <x:v>3</x:v>
      </x:c>
      <x:c r="I11" s="7" t="s">
        <x:v>58</x:v>
      </x:c>
      <x:c r="J11" s="7" t="s">
        <x:v>76</x:v>
      </x:c>
      <x:c r="K11" s="16"/>
      <x:c r="L11" s="16"/>
      <x:c r="M11" s="16"/>
      <x:c r="N11" s="16"/>
      <x:c r="O11" s="16"/>
      <x:c r="P11" s="16"/>
      <x:c r="Q11" s="16"/>
      <x:c r="R11" s="16"/>
      <x:c r="S11" s="16"/>
      <x:c r="T11" s="16"/>
      <x:c r="U11" s="16"/>
      <x:c r="V11" s="20" t="s">
        <x:v>60</x:v>
      </x:c>
      <x:c r="W11" s="20" t="s">
        <x:v>60</x:v>
      </x:c>
      <x:c r="X11" s="20" t="s">
        <x:v>60</x:v>
      </x:c>
      <x:c r="Y11" s="16"/>
      <x:c r="Z11" s="16"/>
      <x:c r="AA11" s="16"/>
      <x:c r="AB11" s="16"/>
      <x:c r="AC11" s="16"/>
      <x:c r="AD11" s="16"/>
      <x:c r="AE11" s="16"/>
      <x:c r="AF11" s="16"/>
      <x:c r="AG11" s="16"/>
      <x:c r="AH11" s="16"/>
      <x:c r="AI11" s="16"/>
      <x:c r="AJ11" s="16"/>
      <x:c r="AK11" s="16"/>
      <x:c r="AL11" s="16"/>
      <x:c r="AM11" s="16"/>
      <x:c r="AN11" s="16"/>
      <x:c r="AO11" s="16"/>
      <x:c r="AP11" s="16"/>
      <x:c r="AQ11" s="16"/>
      <x:c r="AR11" s="16"/>
      <x:c r="AS11" s="16"/>
      <x:c r="AT11" s="16"/>
      <x:c r="AU11" s="16"/>
      <x:c r="AV11" s="16"/>
      <x:c r="AW11" s="16"/>
      <x:c r="AX11" s="16"/>
      <x:c r="AY11" s="16"/>
      <x:c r="AZ11" s="16"/>
      <x:c r="BA11" s="16"/>
      <x:c r="BB11" s="16"/>
      <x:c r="BC11" s="16"/>
      <x:c r="BD11" s="16"/>
      <x:c r="BE11" s="16"/>
      <x:c r="BF11" s="16"/>
      <x:c r="BG11" s="16"/>
      <x:c r="BH11" s="16"/>
      <x:c r="BI11" s="16"/>
      <x:c r="BJ11" s="16"/>
    </x:row>
    <x:row r="12" ht="18" hidden="0" customHeight="1">
      <x:c r="B12" s="7" t="s">
        <x:v>84</x:v>
      </x:c>
      <x:c r="C12" s="8" t="s">
        <x:v>85</x:v>
      </x:c>
      <x:c r="D12" s="7" t="s">
        <x:v>86</x:v>
      </x:c>
      <x:c r="E12" s="7" t="s">
        <x:v>57</x:v>
      </x:c>
      <x:c r="F12" s="8" t="s">
        <x:v>27</x:v>
      </x:c>
      <x:c r="G12" s="7" t="n">
        <x:v>8</x:v>
      </x:c>
      <x:c r="H12" s="7" t="n">
        <x:v>1</x:v>
      </x:c>
      <x:c r="I12" s="7" t="s">
        <x:v>58</x:v>
      </x:c>
      <x:c r="J12" s="7" t="s">
        <x:v>64</x:v>
      </x:c>
      <x:c r="K12" s="17"/>
      <x:c r="L12" s="17"/>
      <x:c r="M12" s="17"/>
      <x:c r="N12" s="17"/>
      <x:c r="O12" s="17"/>
      <x:c r="P12" s="17"/>
      <x:c r="Q12" s="17"/>
      <x:c r="R12" s="15" t="s">
        <x:v>60</x:v>
      </x:c>
      <x:c r="S12" s="17"/>
      <x:c r="T12" s="17"/>
      <x:c r="U12" s="17"/>
      <x:c r="V12" s="17"/>
      <x:c r="W12" s="17"/>
      <x:c r="X12" s="17"/>
      <x:c r="Y12" s="17"/>
      <x:c r="Z12" s="17"/>
      <x:c r="AA12" s="17"/>
      <x:c r="AB12" s="17"/>
      <x:c r="AC12" s="17"/>
      <x:c r="AD12" s="17"/>
      <x:c r="AE12" s="17"/>
      <x:c r="AF12" s="17"/>
      <x:c r="AG12" s="17"/>
      <x:c r="AH12" s="17"/>
      <x:c r="AI12" s="17"/>
      <x:c r="AJ12" s="17"/>
      <x:c r="AK12" s="17"/>
      <x:c r="AL12" s="17"/>
      <x:c r="AM12" s="17"/>
      <x:c r="AN12" s="17"/>
      <x:c r="AO12" s="17"/>
      <x:c r="AP12" s="17"/>
      <x:c r="AQ12" s="17"/>
      <x:c r="AR12" s="17"/>
      <x:c r="AS12" s="17"/>
      <x:c r="AT12" s="17"/>
      <x:c r="AU12" s="17"/>
      <x:c r="AV12" s="17"/>
      <x:c r="AW12" s="17"/>
      <x:c r="AX12" s="17"/>
      <x:c r="AY12" s="17"/>
      <x:c r="AZ12" s="17"/>
      <x:c r="BA12" s="17"/>
      <x:c r="BB12" s="17"/>
      <x:c r="BC12" s="17"/>
      <x:c r="BD12" s="17"/>
      <x:c r="BE12" s="17"/>
      <x:c r="BF12" s="17"/>
      <x:c r="BG12" s="17"/>
      <x:c r="BH12" s="17"/>
      <x:c r="BI12" s="17"/>
      <x:c r="BJ12" s="17"/>
    </x:row>
    <x:row r="13" ht="18" hidden="0" customHeight="1">
      <x:c r="B13" s="7" t="s">
        <x:v>87</x:v>
      </x:c>
      <x:c r="C13" s="8" t="s">
        <x:v>88</x:v>
      </x:c>
      <x:c r="D13" s="7" t="s">
        <x:v>89</x:v>
      </x:c>
      <x:c r="E13" s="7" t="s">
        <x:v>75</x:v>
      </x:c>
      <x:c r="F13" s="8" t="s">
        <x:v>26</x:v>
      </x:c>
      <x:c r="G13" s="7" t="n">
        <x:v>16</x:v>
      </x:c>
      <x:c r="H13" s="7" t="n">
        <x:v>2</x:v>
      </x:c>
      <x:c r="I13" s="7" t="s">
        <x:v>58</x:v>
      </x:c>
      <x:c r="J13" s="7" t="s">
        <x:v>59</x:v>
      </x:c>
      <x:c r="K13" s="16"/>
      <x:c r="L13" s="16"/>
      <x:c r="M13" s="16"/>
      <x:c r="N13" s="16"/>
      <x:c r="O13" s="16"/>
      <x:c r="P13" s="16"/>
      <x:c r="Q13" s="16"/>
      <x:c r="R13" s="16"/>
      <x:c r="S13" s="16"/>
      <x:c r="T13" s="16"/>
      <x:c r="U13" s="16"/>
      <x:c r="V13" s="16"/>
      <x:c r="W13" s="16"/>
      <x:c r="X13" s="16"/>
      <x:c r="Y13" s="16"/>
      <x:c r="Z13" s="20" t="s">
        <x:v>60</x:v>
      </x:c>
      <x:c r="AA13" s="20" t="s">
        <x:v>60</x:v>
      </x:c>
      <x:c r="AB13" s="16"/>
      <x:c r="AC13" s="16"/>
      <x:c r="AD13" s="16"/>
      <x:c r="AE13" s="16"/>
      <x:c r="AF13" s="16"/>
      <x:c r="AG13" s="16"/>
      <x:c r="AH13" s="16"/>
      <x:c r="AI13" s="16"/>
      <x:c r="AJ13" s="16"/>
      <x:c r="AK13" s="16"/>
      <x:c r="AL13" s="16"/>
      <x:c r="AM13" s="16"/>
      <x:c r="AN13" s="16"/>
      <x:c r="AO13" s="16"/>
      <x:c r="AP13" s="16"/>
      <x:c r="AQ13" s="16"/>
      <x:c r="AR13" s="16"/>
      <x:c r="AS13" s="16"/>
      <x:c r="AT13" s="16"/>
      <x:c r="AU13" s="16"/>
      <x:c r="AV13" s="16"/>
      <x:c r="AW13" s="16"/>
      <x:c r="AX13" s="16"/>
      <x:c r="AY13" s="16"/>
      <x:c r="AZ13" s="16"/>
      <x:c r="BA13" s="16"/>
      <x:c r="BB13" s="16"/>
      <x:c r="BC13" s="16"/>
      <x:c r="BD13" s="16"/>
      <x:c r="BE13" s="16"/>
      <x:c r="BF13" s="16"/>
      <x:c r="BG13" s="16"/>
      <x:c r="BH13" s="16"/>
      <x:c r="BI13" s="16"/>
      <x:c r="BJ13" s="16"/>
    </x:row>
    <x:row r="14" ht="18" hidden="0" customHeight="1">
      <x:c r="B14" s="7" t="s">
        <x:v>90</x:v>
      </x:c>
      <x:c r="C14" s="8" t="s">
        <x:v>91</x:v>
      </x:c>
      <x:c r="D14" s="7" t="s">
        <x:v>92</x:v>
      </x:c>
      <x:c r="E14" s="7" t="s">
        <x:v>68</x:v>
      </x:c>
      <x:c r="F14" s="8" t="s">
        <x:v>28</x:v>
      </x:c>
      <x:c r="G14" s="7" t="n">
        <x:v>20</x:v>
      </x:c>
      <x:c r="H14" s="7" t="n">
        <x:v>1</x:v>
      </x:c>
      <x:c r="I14" s="7" t="s">
        <x:v>58</x:v>
      </x:c>
      <x:c r="J14" s="7" t="s">
        <x:v>64</x:v>
      </x:c>
      <x:c r="K14" s="17"/>
      <x:c r="L14" s="17"/>
      <x:c r="M14" s="17"/>
      <x:c r="N14" s="17"/>
      <x:c r="O14" s="17"/>
      <x:c r="P14" s="17"/>
      <x:c r="Q14" s="17"/>
      <x:c r="R14" s="17"/>
      <x:c r="S14" s="17"/>
      <x:c r="T14" s="17"/>
      <x:c r="U14" s="17"/>
      <x:c r="V14" s="17"/>
      <x:c r="W14" s="17"/>
      <x:c r="X14" s="17"/>
      <x:c r="Y14" s="17"/>
      <x:c r="Z14" s="17"/>
      <x:c r="AA14" s="17"/>
      <x:c r="AB14" s="17"/>
      <x:c r="AC14" s="17"/>
      <x:c r="AD14" s="18" t="s">
        <x:v>60</x:v>
      </x:c>
      <x:c r="AE14" s="17"/>
      <x:c r="AF14" s="17"/>
      <x:c r="AG14" s="17"/>
      <x:c r="AH14" s="17"/>
      <x:c r="AI14" s="17"/>
      <x:c r="AJ14" s="17"/>
      <x:c r="AK14" s="17"/>
      <x:c r="AL14" s="17"/>
      <x:c r="AM14" s="17"/>
      <x:c r="AN14" s="17"/>
      <x:c r="AO14" s="17"/>
      <x:c r="AP14" s="17"/>
      <x:c r="AQ14" s="17"/>
      <x:c r="AR14" s="17"/>
      <x:c r="AS14" s="17"/>
      <x:c r="AT14" s="17"/>
      <x:c r="AU14" s="17"/>
      <x:c r="AV14" s="17"/>
      <x:c r="AW14" s="17"/>
      <x:c r="AX14" s="17"/>
      <x:c r="AY14" s="17"/>
      <x:c r="AZ14" s="17"/>
      <x:c r="BA14" s="17"/>
      <x:c r="BB14" s="17"/>
      <x:c r="BC14" s="17"/>
      <x:c r="BD14" s="17"/>
      <x:c r="BE14" s="17"/>
      <x:c r="BF14" s="17"/>
      <x:c r="BG14" s="17"/>
      <x:c r="BH14" s="17"/>
      <x:c r="BI14" s="17"/>
      <x:c r="BJ14" s="17"/>
    </x:row>
    <x:row r="15" ht="18" hidden="0" customHeight="1">
      <x:c r="B15" s="7" t="s">
        <x:v>93</x:v>
      </x:c>
      <x:c r="C15" s="8" t="s">
        <x:v>94</x:v>
      </x:c>
      <x:c r="D15" s="7" t="s">
        <x:v>95</x:v>
      </x:c>
      <x:c r="E15" s="7" t="s">
        <x:v>57</x:v>
      </x:c>
      <x:c r="F15" s="8" t="s">
        <x:v>29</x:v>
      </x:c>
      <x:c r="G15" s="7" t="n">
        <x:v>24</x:v>
      </x:c>
      <x:c r="H15" s="7" t="n">
        <x:v>1</x:v>
      </x:c>
      <x:c r="I15" s="7" t="s">
        <x:v>58</x:v>
      </x:c>
      <x:c r="J15" s="7" t="s">
        <x:v>80</x:v>
      </x:c>
      <x:c r="K15" s="16"/>
      <x:c r="L15" s="16"/>
      <x:c r="M15" s="16"/>
      <x:c r="N15" s="16"/>
      <x:c r="O15" s="16"/>
      <x:c r="P15" s="16"/>
      <x:c r="Q15" s="16"/>
      <x:c r="R15" s="16"/>
      <x:c r="S15" s="16"/>
      <x:c r="T15" s="16"/>
      <x:c r="U15" s="16"/>
      <x:c r="V15" s="16"/>
      <x:c r="W15" s="16"/>
      <x:c r="X15" s="16"/>
      <x:c r="Y15" s="16"/>
      <x:c r="Z15" s="16"/>
      <x:c r="AA15" s="16"/>
      <x:c r="AB15" s="16"/>
      <x:c r="AC15" s="16"/>
      <x:c r="AD15" s="16"/>
      <x:c r="AE15" s="16"/>
      <x:c r="AF15" s="16"/>
      <x:c r="AG15" s="16"/>
      <x:c r="AH15" s="15" t="s">
        <x:v>60</x:v>
      </x:c>
      <x:c r="AI15" s="16"/>
      <x:c r="AJ15" s="16"/>
      <x:c r="AK15" s="16"/>
      <x:c r="AL15" s="16"/>
      <x:c r="AM15" s="16"/>
      <x:c r="AN15" s="16"/>
      <x:c r="AO15" s="16"/>
      <x:c r="AP15" s="16"/>
      <x:c r="AQ15" s="16"/>
      <x:c r="AR15" s="16"/>
      <x:c r="AS15" s="16"/>
      <x:c r="AT15" s="16"/>
      <x:c r="AU15" s="16"/>
      <x:c r="AV15" s="16"/>
      <x:c r="AW15" s="16"/>
      <x:c r="AX15" s="16"/>
      <x:c r="AY15" s="16"/>
      <x:c r="AZ15" s="16"/>
      <x:c r="BA15" s="16"/>
      <x:c r="BB15" s="16"/>
      <x:c r="BC15" s="16"/>
      <x:c r="BD15" s="16"/>
      <x:c r="BE15" s="16"/>
      <x:c r="BF15" s="16"/>
      <x:c r="BG15" s="16"/>
      <x:c r="BH15" s="16"/>
      <x:c r="BI15" s="16"/>
      <x:c r="BJ15" s="16"/>
    </x:row>
    <x:row r="16" ht="18" hidden="0" customHeight="1">
      <x:c r="B16" s="7" t="s">
        <x:v>96</x:v>
      </x:c>
      <x:c r="C16" s="8" t="s">
        <x:v>97</x:v>
      </x:c>
      <x:c r="D16" s="7" t="s">
        <x:v>98</x:v>
      </x:c>
      <x:c r="E16" s="7" t="s">
        <x:v>72</x:v>
      </x:c>
      <x:c r="F16" s="8" t="s">
        <x:v>25</x:v>
      </x:c>
      <x:c r="G16" s="7" t="n">
        <x:v>26</x:v>
      </x:c>
      <x:c r="H16" s="7" t="n">
        <x:v>1</x:v>
      </x:c>
      <x:c r="I16" s="7" t="s">
        <x:v>58</x:v>
      </x:c>
      <x:c r="J16" s="7" t="s">
        <x:v>64</x:v>
      </x:c>
      <x:c r="K16" s="17"/>
      <x:c r="L16" s="17"/>
      <x:c r="M16" s="17"/>
      <x:c r="N16" s="17"/>
      <x:c r="O16" s="17"/>
      <x:c r="P16" s="17"/>
      <x:c r="Q16" s="17"/>
      <x:c r="R16" s="17"/>
      <x:c r="S16" s="17"/>
      <x:c r="T16" s="17"/>
      <x:c r="U16" s="17"/>
      <x:c r="V16" s="17"/>
      <x:c r="W16" s="17"/>
      <x:c r="X16" s="17"/>
      <x:c r="Y16" s="17"/>
      <x:c r="Z16" s="17"/>
      <x:c r="AA16" s="17"/>
      <x:c r="AB16" s="17"/>
      <x:c r="AC16" s="17"/>
      <x:c r="AD16" s="17"/>
      <x:c r="AE16" s="17"/>
      <x:c r="AF16" s="17"/>
      <x:c r="AG16" s="17"/>
      <x:c r="AH16" s="17"/>
      <x:c r="AI16" s="17"/>
      <x:c r="AJ16" s="19" t="s">
        <x:v>60</x:v>
      </x:c>
      <x:c r="AK16" s="17"/>
      <x:c r="AL16" s="17"/>
      <x:c r="AM16" s="17"/>
      <x:c r="AN16" s="17"/>
      <x:c r="AO16" s="17"/>
      <x:c r="AP16" s="17"/>
      <x:c r="AQ16" s="17"/>
      <x:c r="AR16" s="17"/>
      <x:c r="AS16" s="17"/>
      <x:c r="AT16" s="17"/>
      <x:c r="AU16" s="17"/>
      <x:c r="AV16" s="17"/>
      <x:c r="AW16" s="17"/>
      <x:c r="AX16" s="17"/>
      <x:c r="AY16" s="17"/>
      <x:c r="AZ16" s="17"/>
      <x:c r="BA16" s="17"/>
      <x:c r="BB16" s="17"/>
      <x:c r="BC16" s="17"/>
      <x:c r="BD16" s="17"/>
      <x:c r="BE16" s="17"/>
      <x:c r="BF16" s="17"/>
      <x:c r="BG16" s="17"/>
      <x:c r="BH16" s="17"/>
      <x:c r="BI16" s="17"/>
      <x:c r="BJ16" s="17"/>
    </x:row>
    <x:row r="17" ht="18" hidden="0" customHeight="1">
      <x:c r="B17" s="7" t="s">
        <x:v>99</x:v>
      </x:c>
      <x:c r="C17" s="8" t="s">
        <x:v>100</x:v>
      </x:c>
      <x:c r="D17" s="7" t="s">
        <x:v>71</x:v>
      </x:c>
      <x:c r="E17" s="7" t="s">
        <x:v>68</x:v>
      </x:c>
      <x:c r="F17" s="8" t="s">
        <x:v>30</x:v>
      </x:c>
      <x:c r="G17" s="7" t="n">
        <x:v>30</x:v>
      </x:c>
      <x:c r="H17" s="7" t="n">
        <x:v>1</x:v>
      </x:c>
      <x:c r="I17" s="7" t="s">
        <x:v>58</x:v>
      </x:c>
      <x:c r="J17" s="7" t="s">
        <x:v>59</x:v>
      </x:c>
      <x:c r="K17" s="16"/>
      <x:c r="L17" s="16"/>
      <x:c r="M17" s="16"/>
      <x:c r="N17" s="16"/>
      <x:c r="O17" s="16"/>
      <x:c r="P17" s="16"/>
      <x:c r="Q17" s="16"/>
      <x:c r="R17" s="16"/>
      <x:c r="S17" s="16"/>
      <x:c r="T17" s="16"/>
      <x:c r="U17" s="16"/>
      <x:c r="V17" s="16"/>
      <x:c r="W17" s="16"/>
      <x:c r="X17" s="16"/>
      <x:c r="Y17" s="16"/>
      <x:c r="Z17" s="16"/>
      <x:c r="AA17" s="16"/>
      <x:c r="AB17" s="16"/>
      <x:c r="AC17" s="16"/>
      <x:c r="AD17" s="16"/>
      <x:c r="AE17" s="16"/>
      <x:c r="AF17" s="16"/>
      <x:c r="AG17" s="16"/>
      <x:c r="AH17" s="16"/>
      <x:c r="AI17" s="16"/>
      <x:c r="AJ17" s="16"/>
      <x:c r="AK17" s="16"/>
      <x:c r="AL17" s="16"/>
      <x:c r="AM17" s="16"/>
      <x:c r="AN17" s="18" t="s">
        <x:v>60</x:v>
      </x:c>
      <x:c r="AO17" s="16"/>
      <x:c r="AP17" s="16"/>
      <x:c r="AQ17" s="16"/>
      <x:c r="AR17" s="16"/>
      <x:c r="AS17" s="16"/>
      <x:c r="AT17" s="16"/>
      <x:c r="AU17" s="16"/>
      <x:c r="AV17" s="16"/>
      <x:c r="AW17" s="16"/>
      <x:c r="AX17" s="16"/>
      <x:c r="AY17" s="16"/>
      <x:c r="AZ17" s="16"/>
      <x:c r="BA17" s="16"/>
      <x:c r="BB17" s="16"/>
      <x:c r="BC17" s="16"/>
      <x:c r="BD17" s="16"/>
      <x:c r="BE17" s="16"/>
      <x:c r="BF17" s="16"/>
      <x:c r="BG17" s="16"/>
      <x:c r="BH17" s="16"/>
      <x:c r="BI17" s="16"/>
      <x:c r="BJ17" s="16"/>
    </x:row>
    <x:row r="18" ht="18" hidden="0" customHeight="1">
      <x:c r="B18" s="7" t="s">
        <x:v>101</x:v>
      </x:c>
      <x:c r="C18" s="8" t="s">
        <x:v>102</x:v>
      </x:c>
      <x:c r="D18" s="7" t="s">
        <x:v>89</x:v>
      </x:c>
      <x:c r="E18" s="7" t="s">
        <x:v>68</x:v>
      </x:c>
      <x:c r="F18" s="8" t="s">
        <x:v>26</x:v>
      </x:c>
      <x:c r="G18" s="7" t="n">
        <x:v>40</x:v>
      </x:c>
      <x:c r="H18" s="7" t="n">
        <x:v>1</x:v>
      </x:c>
      <x:c r="I18" s="7" t="s">
        <x:v>58</x:v>
      </x:c>
      <x:c r="J18" s="7" t="s">
        <x:v>76</x:v>
      </x:c>
      <x:c r="K18" s="17"/>
      <x:c r="L18" s="17"/>
      <x:c r="M18" s="17"/>
      <x:c r="N18" s="17"/>
      <x:c r="O18" s="17"/>
      <x:c r="P18" s="17"/>
      <x:c r="Q18" s="17"/>
      <x:c r="R18" s="17"/>
      <x:c r="S18" s="17"/>
      <x:c r="T18" s="17"/>
      <x:c r="U18" s="17"/>
      <x:c r="V18" s="17"/>
      <x:c r="W18" s="17"/>
      <x:c r="X18" s="17"/>
      <x:c r="Y18" s="17"/>
      <x:c r="Z18" s="17"/>
      <x:c r="AA18" s="17"/>
      <x:c r="AB18" s="17"/>
      <x:c r="AC18" s="17"/>
      <x:c r="AD18" s="17"/>
      <x:c r="AE18" s="17"/>
      <x:c r="AF18" s="17"/>
      <x:c r="AG18" s="17"/>
      <x:c r="AH18" s="17"/>
      <x:c r="AI18" s="17"/>
      <x:c r="AJ18" s="17"/>
      <x:c r="AK18" s="17"/>
      <x:c r="AL18" s="17"/>
      <x:c r="AM18" s="17"/>
      <x:c r="AN18" s="17"/>
      <x:c r="AO18" s="17"/>
      <x:c r="AP18" s="17"/>
      <x:c r="AQ18" s="17"/>
      <x:c r="AR18" s="17"/>
      <x:c r="AS18" s="17"/>
      <x:c r="AT18" s="17"/>
      <x:c r="AU18" s="17"/>
      <x:c r="AV18" s="17"/>
      <x:c r="AW18" s="17"/>
      <x:c r="AX18" s="18" t="s">
        <x:v>60</x:v>
      </x:c>
      <x:c r="AY18" s="17"/>
      <x:c r="AZ18" s="17"/>
      <x:c r="BA18" s="17"/>
      <x:c r="BB18" s="17"/>
      <x:c r="BC18" s="17"/>
      <x:c r="BD18" s="17"/>
      <x:c r="BE18" s="17"/>
      <x:c r="BF18" s="17"/>
      <x:c r="BG18" s="17"/>
      <x:c r="BH18" s="17"/>
      <x:c r="BI18" s="17"/>
      <x:c r="BJ18" s="17"/>
    </x:row>
    <x:row r="19" ht="18" hidden="0" customHeight="1">
      <x:c r="B19" s="7" t="s">
        <x:v>103</x:v>
      </x:c>
      <x:c r="C19" s="8" t="s">
        <x:v>104</x:v>
      </x:c>
      <x:c r="D19" s="7" t="s">
        <x:v>105</x:v>
      </x:c>
      <x:c r="E19" s="7" t="s">
        <x:v>68</x:v>
      </x:c>
      <x:c r="F19" s="8" t="s">
        <x:v>25</x:v>
      </x:c>
      <x:c r="G19" s="7" t="n">
        <x:v>50</x:v>
      </x:c>
      <x:c r="H19" s="7" t="n">
        <x:v>2</x:v>
      </x:c>
      <x:c r="I19" s="7" t="s">
        <x:v>58</x:v>
      </x:c>
      <x:c r="J19" s="7" t="s">
        <x:v>76</x:v>
      </x:c>
      <x:c r="K19" s="16"/>
      <x:c r="L19" s="16"/>
      <x:c r="M19" s="16"/>
      <x:c r="N19" s="16"/>
      <x:c r="O19" s="16"/>
      <x:c r="P19" s="16"/>
      <x:c r="Q19" s="16"/>
      <x:c r="R19" s="16"/>
      <x:c r="S19" s="16"/>
      <x:c r="T19" s="16"/>
      <x:c r="U19" s="16"/>
      <x:c r="V19" s="16"/>
      <x:c r="W19" s="16"/>
      <x:c r="X19" s="16"/>
      <x:c r="Y19" s="16"/>
      <x:c r="Z19" s="16"/>
      <x:c r="AA19" s="16"/>
      <x:c r="AB19" s="16"/>
      <x:c r="AC19" s="16"/>
      <x:c r="AD19" s="16"/>
      <x:c r="AE19" s="16"/>
      <x:c r="AF19" s="16"/>
      <x:c r="AG19" s="16"/>
      <x:c r="AH19" s="16"/>
      <x:c r="AI19" s="16"/>
      <x:c r="AJ19" s="16"/>
      <x:c r="AK19" s="16"/>
      <x:c r="AL19" s="16"/>
      <x:c r="AM19" s="16"/>
      <x:c r="AN19" s="16"/>
      <x:c r="AO19" s="16"/>
      <x:c r="AP19" s="16"/>
      <x:c r="AQ19" s="16"/>
      <x:c r="AR19" s="16"/>
      <x:c r="AS19" s="16"/>
      <x:c r="AT19" s="16"/>
      <x:c r="AU19" s="16"/>
      <x:c r="AV19" s="16"/>
      <x:c r="AW19" s="16"/>
      <x:c r="AX19" s="16"/>
      <x:c r="AY19" s="16"/>
      <x:c r="AZ19" s="16"/>
      <x:c r="BA19" s="16"/>
      <x:c r="BB19" s="16"/>
      <x:c r="BC19" s="16"/>
      <x:c r="BD19" s="16"/>
      <x:c r="BE19" s="16"/>
      <x:c r="BF19" s="16"/>
      <x:c r="BG19" s="16"/>
      <x:c r="BH19" s="18" t="s">
        <x:v>60</x:v>
      </x:c>
      <x:c r="BI19" s="18" t="s">
        <x:v>60</x:v>
      </x:c>
      <x:c r="BJ19" s="16"/>
    </x:row>
    <x:row r="20" ht="18" hidden="0" customHeight="1">
      <x:c r="B20" s="22"/>
      <x:c r="C20" s="22"/>
      <x:c r="D20" s="22"/>
      <x:c r="E20" s="22"/>
      <x:c r="F20" s="22"/>
      <x:c r="G20" s="22"/>
      <x:c r="H20" s="22"/>
      <x:c r="I20" s="22"/>
      <x:c r="J20" s="22"/>
      <x:c r="K20" s="17"/>
      <x:c r="L20" s="17"/>
      <x:c r="M20" s="17"/>
      <x:c r="N20" s="17"/>
      <x:c r="O20" s="17"/>
      <x:c r="P20" s="17"/>
      <x:c r="Q20" s="17"/>
      <x:c r="R20" s="17"/>
      <x:c r="S20" s="17"/>
      <x:c r="T20" s="17"/>
      <x:c r="U20" s="17"/>
      <x:c r="V20" s="17"/>
      <x:c r="W20" s="17"/>
      <x:c r="X20" s="17"/>
      <x:c r="Y20" s="17"/>
      <x:c r="Z20" s="17"/>
      <x:c r="AA20" s="17"/>
      <x:c r="AB20" s="17"/>
      <x:c r="AC20" s="17"/>
      <x:c r="AD20" s="17"/>
      <x:c r="AE20" s="17"/>
      <x:c r="AF20" s="17"/>
      <x:c r="AG20" s="17"/>
      <x:c r="AH20" s="17"/>
      <x:c r="AI20" s="17"/>
      <x:c r="AJ20" s="17"/>
      <x:c r="AK20" s="17"/>
      <x:c r="AL20" s="17"/>
      <x:c r="AM20" s="17"/>
      <x:c r="AN20" s="17"/>
      <x:c r="AO20" s="17"/>
      <x:c r="AP20" s="17"/>
      <x:c r="AQ20" s="17"/>
      <x:c r="AR20" s="17"/>
      <x:c r="AS20" s="17"/>
      <x:c r="AT20" s="17"/>
      <x:c r="AU20" s="17"/>
      <x:c r="AV20" s="17"/>
      <x:c r="AW20" s="17"/>
      <x:c r="AX20" s="17"/>
      <x:c r="AY20" s="17"/>
      <x:c r="AZ20" s="17"/>
      <x:c r="BA20" s="17"/>
      <x:c r="BB20" s="17"/>
      <x:c r="BC20" s="17"/>
      <x:c r="BD20" s="17"/>
      <x:c r="BE20" s="17"/>
      <x:c r="BF20" s="17"/>
      <x:c r="BG20" s="17"/>
      <x:c r="BH20" s="17"/>
      <x:c r="BI20" s="17"/>
      <x:c r="BJ20" s="17"/>
    </x:row>
    <x:row r="21" ht="18" hidden="0" customHeight="1">
      <x:c r="B21" s="22"/>
      <x:c r="C21" s="22"/>
      <x:c r="D21" s="22"/>
      <x:c r="E21" s="22"/>
      <x:c r="F21" s="22"/>
      <x:c r="G21" s="22"/>
      <x:c r="H21" s="22"/>
      <x:c r="I21" s="22"/>
      <x:c r="J21" s="22"/>
      <x:c r="K21" s="16"/>
      <x:c r="L21" s="16"/>
      <x:c r="M21" s="16"/>
      <x:c r="N21" s="16"/>
      <x:c r="O21" s="16"/>
      <x:c r="P21" s="16"/>
      <x:c r="Q21" s="16"/>
      <x:c r="R21" s="16"/>
      <x:c r="S21" s="16"/>
      <x:c r="T21" s="16"/>
      <x:c r="U21" s="16"/>
      <x:c r="V21" s="16"/>
      <x:c r="W21" s="16"/>
      <x:c r="X21" s="16"/>
      <x:c r="Y21" s="16"/>
      <x:c r="Z21" s="16"/>
      <x:c r="AA21" s="16"/>
      <x:c r="AB21" s="16"/>
      <x:c r="AC21" s="16"/>
      <x:c r="AD21" s="16"/>
      <x:c r="AE21" s="16"/>
      <x:c r="AF21" s="16"/>
      <x:c r="AG21" s="16"/>
      <x:c r="AH21" s="16"/>
      <x:c r="AI21" s="16"/>
      <x:c r="AJ21" s="16"/>
      <x:c r="AK21" s="16"/>
      <x:c r="AL21" s="16"/>
      <x:c r="AM21" s="16"/>
      <x:c r="AN21" s="16"/>
      <x:c r="AO21" s="16"/>
      <x:c r="AP21" s="16"/>
      <x:c r="AQ21" s="16"/>
      <x:c r="AR21" s="16"/>
      <x:c r="AS21" s="16"/>
      <x:c r="AT21" s="16"/>
      <x:c r="AU21" s="16"/>
      <x:c r="AV21" s="16"/>
      <x:c r="AW21" s="16"/>
      <x:c r="AX21" s="16"/>
      <x:c r="AY21" s="16"/>
      <x:c r="AZ21" s="16"/>
      <x:c r="BA21" s="16"/>
      <x:c r="BB21" s="16"/>
      <x:c r="BC21" s="16"/>
      <x:c r="BD21" s="16"/>
      <x:c r="BE21" s="16"/>
      <x:c r="BF21" s="16"/>
      <x:c r="BG21" s="16"/>
      <x:c r="BH21" s="16"/>
      <x:c r="BI21" s="16"/>
      <x:c r="BJ21" s="16"/>
    </x:row>
    <x:row r="22" ht="18" hidden="0" customHeight="1">
      <x:c r="B22" s="22"/>
      <x:c r="C22" s="22"/>
      <x:c r="D22" s="22"/>
      <x:c r="E22" s="22"/>
      <x:c r="F22" s="22"/>
      <x:c r="G22" s="22"/>
      <x:c r="H22" s="22"/>
      <x:c r="I22" s="22"/>
      <x:c r="J22" s="22"/>
      <x:c r="K22" s="17"/>
      <x:c r="L22" s="17"/>
      <x:c r="M22" s="17"/>
      <x:c r="N22" s="17"/>
      <x:c r="O22" s="17"/>
      <x:c r="P22" s="17"/>
      <x:c r="Q22" s="17"/>
      <x:c r="R22" s="17"/>
      <x:c r="S22" s="17"/>
      <x:c r="T22" s="17"/>
      <x:c r="U22" s="17"/>
      <x:c r="V22" s="17"/>
      <x:c r="W22" s="17"/>
      <x:c r="X22" s="17"/>
      <x:c r="Y22" s="17"/>
      <x:c r="Z22" s="17"/>
      <x:c r="AA22" s="17"/>
      <x:c r="AB22" s="17"/>
      <x:c r="AC22" s="17"/>
      <x:c r="AD22" s="17"/>
      <x:c r="AE22" s="17"/>
      <x:c r="AF22" s="17"/>
      <x:c r="AG22" s="17"/>
      <x:c r="AH22" s="17"/>
      <x:c r="AI22" s="17"/>
      <x:c r="AJ22" s="17"/>
      <x:c r="AK22" s="17"/>
      <x:c r="AL22" s="17"/>
      <x:c r="AM22" s="17"/>
      <x:c r="AN22" s="17"/>
      <x:c r="AO22" s="17"/>
      <x:c r="AP22" s="17"/>
      <x:c r="AQ22" s="17"/>
      <x:c r="AR22" s="17"/>
      <x:c r="AS22" s="17"/>
      <x:c r="AT22" s="17"/>
      <x:c r="AU22" s="17"/>
      <x:c r="AV22" s="17"/>
      <x:c r="AW22" s="17"/>
      <x:c r="AX22" s="17"/>
      <x:c r="AY22" s="17"/>
      <x:c r="AZ22" s="17"/>
      <x:c r="BA22" s="17"/>
      <x:c r="BB22" s="17"/>
      <x:c r="BC22" s="17"/>
      <x:c r="BD22" s="17"/>
      <x:c r="BE22" s="17"/>
      <x:c r="BF22" s="17"/>
      <x:c r="BG22" s="17"/>
      <x:c r="BH22" s="17"/>
      <x:c r="BI22" s="17"/>
      <x:c r="BJ22" s="17"/>
    </x:row>
    <x:row r="23" ht="18" hidden="0" customHeight="1">
      <x:c r="B23" s="22"/>
      <x:c r="C23" s="22"/>
      <x:c r="D23" s="22"/>
      <x:c r="E23" s="22"/>
      <x:c r="F23" s="22"/>
      <x:c r="G23" s="22"/>
      <x:c r="H23" s="22"/>
      <x:c r="I23" s="22"/>
      <x:c r="J23" s="22"/>
      <x:c r="K23" s="16"/>
      <x:c r="L23" s="16"/>
      <x:c r="M23" s="16"/>
      <x:c r="N23" s="16"/>
      <x:c r="O23" s="16"/>
      <x:c r="P23" s="16"/>
      <x:c r="Q23" s="16"/>
      <x:c r="R23" s="16"/>
      <x:c r="S23" s="16"/>
      <x:c r="T23" s="16"/>
      <x:c r="U23" s="16"/>
      <x:c r="V23" s="16"/>
      <x:c r="W23" s="16"/>
      <x:c r="X23" s="16"/>
      <x:c r="Y23" s="16"/>
      <x:c r="Z23" s="16"/>
      <x:c r="AA23" s="16"/>
      <x:c r="AB23" s="16"/>
      <x:c r="AC23" s="16"/>
      <x:c r="AD23" s="16"/>
      <x:c r="AE23" s="16"/>
      <x:c r="AF23" s="16"/>
      <x:c r="AG23" s="16"/>
      <x:c r="AH23" s="16"/>
      <x:c r="AI23" s="16"/>
      <x:c r="AJ23" s="16"/>
      <x:c r="AK23" s="16"/>
      <x:c r="AL23" s="16"/>
      <x:c r="AM23" s="16"/>
      <x:c r="AN23" s="16"/>
      <x:c r="AO23" s="16"/>
      <x:c r="AP23" s="16"/>
      <x:c r="AQ23" s="16"/>
      <x:c r="AR23" s="16"/>
      <x:c r="AS23" s="16"/>
      <x:c r="AT23" s="16"/>
      <x:c r="AU23" s="16"/>
      <x:c r="AV23" s="16"/>
      <x:c r="AW23" s="16"/>
      <x:c r="AX23" s="16"/>
      <x:c r="AY23" s="16"/>
      <x:c r="AZ23" s="16"/>
      <x:c r="BA23" s="16"/>
      <x:c r="BB23" s="16"/>
      <x:c r="BC23" s="16"/>
      <x:c r="BD23" s="16"/>
      <x:c r="BE23" s="16"/>
      <x:c r="BF23" s="16"/>
      <x:c r="BG23" s="16"/>
      <x:c r="BH23" s="16"/>
      <x:c r="BI23" s="16"/>
      <x:c r="BJ23" s="16"/>
    </x:row>
    <x:row r="24" ht="18" hidden="0" customHeight="1">
      <x:c r="B24" s="22"/>
      <x:c r="C24" s="22"/>
      <x:c r="D24" s="22"/>
      <x:c r="E24" s="22"/>
      <x:c r="F24" s="22"/>
      <x:c r="G24" s="22"/>
      <x:c r="H24" s="22"/>
      <x:c r="I24" s="22"/>
      <x:c r="J24" s="22"/>
      <x:c r="K24" s="17"/>
      <x:c r="L24" s="17"/>
      <x:c r="M24" s="17"/>
      <x:c r="N24" s="17"/>
      <x:c r="O24" s="17"/>
      <x:c r="P24" s="17"/>
      <x:c r="Q24" s="17"/>
      <x:c r="R24" s="17"/>
      <x:c r="S24" s="17"/>
      <x:c r="T24" s="17"/>
      <x:c r="U24" s="17"/>
      <x:c r="V24" s="17"/>
      <x:c r="W24" s="17"/>
      <x:c r="X24" s="17"/>
      <x:c r="Y24" s="17"/>
      <x:c r="Z24" s="17"/>
      <x:c r="AA24" s="17"/>
      <x:c r="AB24" s="17"/>
      <x:c r="AC24" s="17"/>
      <x:c r="AD24" s="17"/>
      <x:c r="AE24" s="17"/>
      <x:c r="AF24" s="17"/>
      <x:c r="AG24" s="17"/>
      <x:c r="AH24" s="17"/>
      <x:c r="AI24" s="17"/>
      <x:c r="AJ24" s="17"/>
      <x:c r="AK24" s="17"/>
      <x:c r="AL24" s="17"/>
      <x:c r="AM24" s="17"/>
      <x:c r="AN24" s="17"/>
      <x:c r="AO24" s="17"/>
      <x:c r="AP24" s="17"/>
      <x:c r="AQ24" s="17"/>
      <x:c r="AR24" s="17"/>
      <x:c r="AS24" s="17"/>
      <x:c r="AT24" s="17"/>
      <x:c r="AU24" s="17"/>
      <x:c r="AV24" s="17"/>
      <x:c r="AW24" s="17"/>
      <x:c r="AX24" s="17"/>
      <x:c r="AY24" s="17"/>
      <x:c r="AZ24" s="17"/>
      <x:c r="BA24" s="17"/>
      <x:c r="BB24" s="17"/>
      <x:c r="BC24" s="17"/>
      <x:c r="BD24" s="17"/>
      <x:c r="BE24" s="17"/>
      <x:c r="BF24" s="17"/>
      <x:c r="BG24" s="17"/>
      <x:c r="BH24" s="17"/>
      <x:c r="BI24" s="17"/>
      <x:c r="BJ24" s="17"/>
    </x:row>
    <x:row r="25" ht="18" hidden="0" customHeight="1">
      <x:c r="B25" s="22"/>
      <x:c r="C25" s="22"/>
      <x:c r="D25" s="22"/>
      <x:c r="E25" s="22"/>
      <x:c r="F25" s="22"/>
      <x:c r="G25" s="22"/>
      <x:c r="H25" s="22"/>
      <x:c r="I25" s="22"/>
      <x:c r="J25" s="22"/>
      <x:c r="K25" s="16"/>
      <x:c r="L25" s="16"/>
      <x:c r="M25" s="16"/>
      <x:c r="N25" s="16"/>
      <x:c r="O25" s="16"/>
      <x:c r="P25" s="16"/>
      <x:c r="Q25" s="16"/>
      <x:c r="R25" s="16"/>
      <x:c r="S25" s="16"/>
      <x:c r="T25" s="16"/>
      <x:c r="U25" s="16"/>
      <x:c r="V25" s="16"/>
      <x:c r="W25" s="16"/>
      <x:c r="X25" s="16"/>
      <x:c r="Y25" s="16"/>
      <x:c r="Z25" s="16"/>
      <x:c r="AA25" s="16"/>
      <x:c r="AB25" s="16"/>
      <x:c r="AC25" s="16"/>
      <x:c r="AD25" s="16"/>
      <x:c r="AE25" s="16"/>
      <x:c r="AF25" s="16"/>
      <x:c r="AG25" s="16"/>
      <x:c r="AH25" s="16"/>
      <x:c r="AI25" s="16"/>
      <x:c r="AJ25" s="16"/>
      <x:c r="AK25" s="16"/>
      <x:c r="AL25" s="16"/>
      <x:c r="AM25" s="16"/>
      <x:c r="AN25" s="16"/>
      <x:c r="AO25" s="16"/>
      <x:c r="AP25" s="16"/>
      <x:c r="AQ25" s="16"/>
      <x:c r="AR25" s="16"/>
      <x:c r="AS25" s="16"/>
      <x:c r="AT25" s="16"/>
      <x:c r="AU25" s="16"/>
      <x:c r="AV25" s="16"/>
      <x:c r="AW25" s="16"/>
      <x:c r="AX25" s="16"/>
      <x:c r="AY25" s="16"/>
      <x:c r="AZ25" s="16"/>
      <x:c r="BA25" s="16"/>
      <x:c r="BB25" s="16"/>
      <x:c r="BC25" s="16"/>
      <x:c r="BD25" s="16"/>
      <x:c r="BE25" s="16"/>
      <x:c r="BF25" s="16"/>
      <x:c r="BG25" s="16"/>
      <x:c r="BH25" s="16"/>
      <x:c r="BI25" s="16"/>
      <x:c r="BJ25" s="16"/>
    </x:row>
    <x:row r="26" ht="18" hidden="0" customHeight="1">
      <x:c r="B26" s="22"/>
      <x:c r="C26" s="22"/>
      <x:c r="D26" s="22"/>
      <x:c r="E26" s="22"/>
      <x:c r="F26" s="22"/>
      <x:c r="G26" s="22"/>
      <x:c r="H26" s="22"/>
      <x:c r="I26" s="22"/>
      <x:c r="J26" s="22"/>
      <x:c r="K26" s="17"/>
      <x:c r="L26" s="17"/>
      <x:c r="M26" s="17"/>
      <x:c r="N26" s="17"/>
      <x:c r="O26" s="17"/>
      <x:c r="P26" s="17"/>
      <x:c r="Q26" s="17"/>
      <x:c r="R26" s="17"/>
      <x:c r="S26" s="17"/>
      <x:c r="T26" s="17"/>
      <x:c r="U26" s="17"/>
      <x:c r="V26" s="17"/>
      <x:c r="W26" s="17"/>
      <x:c r="X26" s="17"/>
      <x:c r="Y26" s="17"/>
      <x:c r="Z26" s="17"/>
      <x:c r="AA26" s="17"/>
      <x:c r="AB26" s="17"/>
      <x:c r="AC26" s="17"/>
      <x:c r="AD26" s="17"/>
      <x:c r="AE26" s="17"/>
      <x:c r="AF26" s="17"/>
      <x:c r="AG26" s="17"/>
      <x:c r="AH26" s="17"/>
      <x:c r="AI26" s="17"/>
      <x:c r="AJ26" s="17"/>
      <x:c r="AK26" s="17"/>
      <x:c r="AL26" s="17"/>
      <x:c r="AM26" s="17"/>
      <x:c r="AN26" s="17"/>
      <x:c r="AO26" s="17"/>
      <x:c r="AP26" s="17"/>
      <x:c r="AQ26" s="17"/>
      <x:c r="AR26" s="17"/>
      <x:c r="AS26" s="17"/>
      <x:c r="AT26" s="17"/>
      <x:c r="AU26" s="17"/>
      <x:c r="AV26" s="17"/>
      <x:c r="AW26" s="17"/>
      <x:c r="AX26" s="17"/>
      <x:c r="AY26" s="17"/>
      <x:c r="AZ26" s="17"/>
      <x:c r="BA26" s="17"/>
      <x:c r="BB26" s="17"/>
      <x:c r="BC26" s="17"/>
      <x:c r="BD26" s="17"/>
      <x:c r="BE26" s="17"/>
      <x:c r="BF26" s="17"/>
      <x:c r="BG26" s="17"/>
      <x:c r="BH26" s="17"/>
      <x:c r="BI26" s="17"/>
      <x:c r="BJ26" s="17"/>
    </x:row>
    <x:row r="27" ht="18" hidden="0" customHeight="1">
      <x:c r="B27" s="22"/>
      <x:c r="C27" s="22"/>
      <x:c r="D27" s="22"/>
      <x:c r="E27" s="22"/>
      <x:c r="F27" s="22"/>
      <x:c r="G27" s="22"/>
      <x:c r="H27" s="22"/>
      <x:c r="I27" s="22"/>
      <x:c r="J27" s="22"/>
      <x:c r="K27" s="16"/>
      <x:c r="L27" s="16"/>
      <x:c r="M27" s="16"/>
      <x:c r="N27" s="16"/>
      <x:c r="O27" s="16"/>
      <x:c r="P27" s="16"/>
      <x:c r="Q27" s="16"/>
      <x:c r="R27" s="16"/>
      <x:c r="S27" s="16"/>
      <x:c r="T27" s="16"/>
      <x:c r="U27" s="16"/>
      <x:c r="V27" s="16"/>
      <x:c r="W27" s="16"/>
      <x:c r="X27" s="16"/>
      <x:c r="Y27" s="16"/>
      <x:c r="Z27" s="16"/>
      <x:c r="AA27" s="16"/>
      <x:c r="AB27" s="16"/>
      <x:c r="AC27" s="16"/>
      <x:c r="AD27" s="16"/>
      <x:c r="AE27" s="16"/>
      <x:c r="AF27" s="16"/>
      <x:c r="AG27" s="16"/>
      <x:c r="AH27" s="16"/>
      <x:c r="AI27" s="16"/>
      <x:c r="AJ27" s="16"/>
      <x:c r="AK27" s="16"/>
      <x:c r="AL27" s="16"/>
      <x:c r="AM27" s="16"/>
      <x:c r="AN27" s="16"/>
      <x:c r="AO27" s="16"/>
      <x:c r="AP27" s="16"/>
      <x:c r="AQ27" s="16"/>
      <x:c r="AR27" s="16"/>
      <x:c r="AS27" s="16"/>
      <x:c r="AT27" s="16"/>
      <x:c r="AU27" s="16"/>
      <x:c r="AV27" s="16"/>
      <x:c r="AW27" s="16"/>
      <x:c r="AX27" s="16"/>
      <x:c r="AY27" s="16"/>
      <x:c r="AZ27" s="16"/>
      <x:c r="BA27" s="16"/>
      <x:c r="BB27" s="16"/>
      <x:c r="BC27" s="16"/>
      <x:c r="BD27" s="16"/>
      <x:c r="BE27" s="16"/>
      <x:c r="BF27" s="16"/>
      <x:c r="BG27" s="16"/>
      <x:c r="BH27" s="16"/>
      <x:c r="BI27" s="16"/>
      <x:c r="BJ27" s="16"/>
    </x:row>
    <x:row r="28" ht="18" hidden="0" customHeight="1">
      <x:c r="B28" s="22"/>
      <x:c r="C28" s="22"/>
      <x:c r="D28" s="22"/>
      <x:c r="E28" s="22"/>
      <x:c r="F28" s="22"/>
      <x:c r="G28" s="22"/>
      <x:c r="H28" s="22"/>
      <x:c r="I28" s="22"/>
      <x:c r="J28" s="22"/>
      <x:c r="K28" s="17"/>
      <x:c r="L28" s="17"/>
      <x:c r="M28" s="17"/>
      <x:c r="N28" s="17"/>
      <x:c r="O28" s="17"/>
      <x:c r="P28" s="17"/>
      <x:c r="Q28" s="17"/>
      <x:c r="R28" s="17"/>
      <x:c r="S28" s="17"/>
      <x:c r="T28" s="17"/>
      <x:c r="U28" s="17"/>
      <x:c r="V28" s="17"/>
      <x:c r="W28" s="17"/>
      <x:c r="X28" s="17"/>
      <x:c r="Y28" s="17"/>
      <x:c r="Z28" s="17"/>
      <x:c r="AA28" s="17"/>
      <x:c r="AB28" s="17"/>
      <x:c r="AC28" s="17"/>
      <x:c r="AD28" s="17"/>
      <x:c r="AE28" s="17"/>
      <x:c r="AF28" s="17"/>
      <x:c r="AG28" s="17"/>
      <x:c r="AH28" s="17"/>
      <x:c r="AI28" s="17"/>
      <x:c r="AJ28" s="17"/>
      <x:c r="AK28" s="17"/>
      <x:c r="AL28" s="17"/>
      <x:c r="AM28" s="17"/>
      <x:c r="AN28" s="17"/>
      <x:c r="AO28" s="17"/>
      <x:c r="AP28" s="17"/>
      <x:c r="AQ28" s="17"/>
      <x:c r="AR28" s="17"/>
      <x:c r="AS28" s="17"/>
      <x:c r="AT28" s="17"/>
      <x:c r="AU28" s="17"/>
      <x:c r="AV28" s="17"/>
      <x:c r="AW28" s="17"/>
      <x:c r="AX28" s="17"/>
      <x:c r="AY28" s="17"/>
      <x:c r="AZ28" s="17"/>
      <x:c r="BA28" s="17"/>
      <x:c r="BB28" s="17"/>
      <x:c r="BC28" s="17"/>
      <x:c r="BD28" s="17"/>
      <x:c r="BE28" s="17"/>
      <x:c r="BF28" s="17"/>
      <x:c r="BG28" s="17"/>
      <x:c r="BH28" s="17"/>
      <x:c r="BI28" s="17"/>
      <x:c r="BJ28" s="17"/>
    </x:row>
    <x:row r="29" ht="18" hidden="0" customHeight="1">
      <x:c r="B29" s="22"/>
      <x:c r="C29" s="22"/>
      <x:c r="D29" s="22"/>
      <x:c r="E29" s="22"/>
      <x:c r="F29" s="22"/>
      <x:c r="G29" s="22"/>
      <x:c r="H29" s="22"/>
      <x:c r="I29" s="22"/>
      <x:c r="J29" s="22"/>
      <x:c r="K29" s="16"/>
      <x:c r="L29" s="16"/>
      <x:c r="M29" s="16"/>
      <x:c r="N29" s="16"/>
      <x:c r="O29" s="16"/>
      <x:c r="P29" s="16"/>
      <x:c r="Q29" s="16"/>
      <x:c r="R29" s="16"/>
      <x:c r="S29" s="16"/>
      <x:c r="T29" s="16"/>
      <x:c r="U29" s="16"/>
      <x:c r="V29" s="16"/>
      <x:c r="W29" s="16"/>
      <x:c r="X29" s="16"/>
      <x:c r="Y29" s="16"/>
      <x:c r="Z29" s="16"/>
      <x:c r="AA29" s="16"/>
      <x:c r="AB29" s="16"/>
      <x:c r="AC29" s="16"/>
      <x:c r="AD29" s="16"/>
      <x:c r="AE29" s="16"/>
      <x:c r="AF29" s="16"/>
      <x:c r="AG29" s="16"/>
      <x:c r="AH29" s="16"/>
      <x:c r="AI29" s="16"/>
      <x:c r="AJ29" s="16"/>
      <x:c r="AK29" s="16"/>
      <x:c r="AL29" s="16"/>
      <x:c r="AM29" s="16"/>
      <x:c r="AN29" s="16"/>
      <x:c r="AO29" s="16"/>
      <x:c r="AP29" s="16"/>
      <x:c r="AQ29" s="16"/>
      <x:c r="AR29" s="16"/>
      <x:c r="AS29" s="16"/>
      <x:c r="AT29" s="16"/>
      <x:c r="AU29" s="16"/>
      <x:c r="AV29" s="16"/>
      <x:c r="AW29" s="16"/>
      <x:c r="AX29" s="16"/>
      <x:c r="AY29" s="16"/>
      <x:c r="AZ29" s="16"/>
      <x:c r="BA29" s="16"/>
      <x:c r="BB29" s="16"/>
      <x:c r="BC29" s="16"/>
      <x:c r="BD29" s="16"/>
      <x:c r="BE29" s="16"/>
      <x:c r="BF29" s="16"/>
      <x:c r="BG29" s="16"/>
      <x:c r="BH29" s="16"/>
      <x:c r="BI29" s="16"/>
      <x:c r="BJ29" s="16"/>
    </x:row>
    <x:row r="30" ht="18" hidden="0" customHeight="1">
      <x:c r="B30" s="22"/>
      <x:c r="C30" s="22"/>
      <x:c r="D30" s="22"/>
      <x:c r="E30" s="22"/>
      <x:c r="F30" s="22"/>
      <x:c r="G30" s="22"/>
      <x:c r="H30" s="22"/>
      <x:c r="I30" s="22"/>
      <x:c r="J30" s="22"/>
      <x:c r="K30" s="17"/>
      <x:c r="L30" s="17"/>
      <x:c r="M30" s="17"/>
      <x:c r="N30" s="17"/>
      <x:c r="O30" s="17"/>
      <x:c r="P30" s="17"/>
      <x:c r="Q30" s="17"/>
      <x:c r="R30" s="17"/>
      <x:c r="S30" s="17"/>
      <x:c r="T30" s="17"/>
      <x:c r="U30" s="17"/>
      <x:c r="V30" s="17"/>
      <x:c r="W30" s="17"/>
      <x:c r="X30" s="17"/>
      <x:c r="Y30" s="17"/>
      <x:c r="Z30" s="17"/>
      <x:c r="AA30" s="17"/>
      <x:c r="AB30" s="17"/>
      <x:c r="AC30" s="17"/>
      <x:c r="AD30" s="17"/>
      <x:c r="AE30" s="17"/>
      <x:c r="AF30" s="17"/>
      <x:c r="AG30" s="17"/>
      <x:c r="AH30" s="17"/>
      <x:c r="AI30" s="17"/>
      <x:c r="AJ30" s="17"/>
      <x:c r="AK30" s="17"/>
      <x:c r="AL30" s="17"/>
      <x:c r="AM30" s="17"/>
      <x:c r="AN30" s="17"/>
      <x:c r="AO30" s="17"/>
      <x:c r="AP30" s="17"/>
      <x:c r="AQ30" s="17"/>
      <x:c r="AR30" s="17"/>
      <x:c r="AS30" s="17"/>
      <x:c r="AT30" s="17"/>
      <x:c r="AU30" s="17"/>
      <x:c r="AV30" s="17"/>
      <x:c r="AW30" s="17"/>
      <x:c r="AX30" s="17"/>
      <x:c r="AY30" s="17"/>
      <x:c r="AZ30" s="17"/>
      <x:c r="BA30" s="17"/>
      <x:c r="BB30" s="17"/>
      <x:c r="BC30" s="17"/>
      <x:c r="BD30" s="17"/>
      <x:c r="BE30" s="17"/>
      <x:c r="BF30" s="17"/>
      <x:c r="BG30" s="17"/>
      <x:c r="BH30" s="17"/>
      <x:c r="BI30" s="17"/>
      <x:c r="BJ30" s="17"/>
    </x:row>
    <x:row r="31" ht="18" hidden="0" customHeight="1">
      <x:c r="B31" s="22"/>
      <x:c r="C31" s="22"/>
      <x:c r="D31" s="22"/>
      <x:c r="E31" s="22"/>
      <x:c r="F31" s="22"/>
      <x:c r="G31" s="22"/>
      <x:c r="H31" s="22"/>
      <x:c r="I31" s="22"/>
      <x:c r="J31" s="22"/>
      <x:c r="K31" s="16"/>
      <x:c r="L31" s="16"/>
      <x:c r="M31" s="16"/>
      <x:c r="N31" s="16"/>
      <x:c r="O31" s="16"/>
      <x:c r="P31" s="16"/>
      <x:c r="Q31" s="16"/>
      <x:c r="R31" s="16"/>
      <x:c r="S31" s="16"/>
      <x:c r="T31" s="16"/>
      <x:c r="U31" s="16"/>
      <x:c r="V31" s="16"/>
      <x:c r="W31" s="16"/>
      <x:c r="X31" s="16"/>
      <x:c r="Y31" s="16"/>
      <x:c r="Z31" s="16"/>
      <x:c r="AA31" s="16"/>
      <x:c r="AB31" s="16"/>
      <x:c r="AC31" s="16"/>
      <x:c r="AD31" s="16"/>
      <x:c r="AE31" s="16"/>
      <x:c r="AF31" s="16"/>
      <x:c r="AG31" s="16"/>
      <x:c r="AH31" s="16"/>
      <x:c r="AI31" s="16"/>
      <x:c r="AJ31" s="16"/>
      <x:c r="AK31" s="16"/>
      <x:c r="AL31" s="16"/>
      <x:c r="AM31" s="16"/>
      <x:c r="AN31" s="16"/>
      <x:c r="AO31" s="16"/>
      <x:c r="AP31" s="16"/>
      <x:c r="AQ31" s="16"/>
      <x:c r="AR31" s="16"/>
      <x:c r="AS31" s="16"/>
      <x:c r="AT31" s="16"/>
      <x:c r="AU31" s="16"/>
      <x:c r="AV31" s="16"/>
      <x:c r="AW31" s="16"/>
      <x:c r="AX31" s="16"/>
      <x:c r="AY31" s="16"/>
      <x:c r="AZ31" s="16"/>
      <x:c r="BA31" s="16"/>
      <x:c r="BB31" s="16"/>
      <x:c r="BC31" s="16"/>
      <x:c r="BD31" s="16"/>
      <x:c r="BE31" s="16"/>
      <x:c r="BF31" s="16"/>
      <x:c r="BG31" s="16"/>
      <x:c r="BH31" s="16"/>
      <x:c r="BI31" s="16"/>
      <x:c r="BJ31" s="16"/>
    </x:row>
    <x:row r="32" ht="18" hidden="0" customHeight="1">
      <x:c r="B32" s="22"/>
      <x:c r="C32" s="22"/>
      <x:c r="D32" s="22"/>
      <x:c r="E32" s="22"/>
      <x:c r="F32" s="22"/>
      <x:c r="G32" s="22"/>
      <x:c r="H32" s="22"/>
      <x:c r="I32" s="22"/>
      <x:c r="J32" s="22"/>
      <x:c r="K32" s="17"/>
      <x:c r="L32" s="17"/>
      <x:c r="M32" s="17"/>
      <x:c r="N32" s="17"/>
      <x:c r="O32" s="17"/>
      <x:c r="P32" s="17"/>
      <x:c r="Q32" s="17"/>
      <x:c r="R32" s="17"/>
      <x:c r="S32" s="17"/>
      <x:c r="T32" s="17"/>
      <x:c r="U32" s="17"/>
      <x:c r="V32" s="17"/>
      <x:c r="W32" s="17"/>
      <x:c r="X32" s="17"/>
      <x:c r="Y32" s="17"/>
      <x:c r="Z32" s="17"/>
      <x:c r="AA32" s="17"/>
      <x:c r="AB32" s="17"/>
      <x:c r="AC32" s="17"/>
      <x:c r="AD32" s="17"/>
      <x:c r="AE32" s="17"/>
      <x:c r="AF32" s="17"/>
      <x:c r="AG32" s="17"/>
      <x:c r="AH32" s="17"/>
      <x:c r="AI32" s="17"/>
      <x:c r="AJ32" s="17"/>
      <x:c r="AK32" s="17"/>
      <x:c r="AL32" s="17"/>
      <x:c r="AM32" s="17"/>
      <x:c r="AN32" s="17"/>
      <x:c r="AO32" s="17"/>
      <x:c r="AP32" s="17"/>
      <x:c r="AQ32" s="17"/>
      <x:c r="AR32" s="17"/>
      <x:c r="AS32" s="17"/>
      <x:c r="AT32" s="17"/>
      <x:c r="AU32" s="17"/>
      <x:c r="AV32" s="17"/>
      <x:c r="AW32" s="17"/>
      <x:c r="AX32" s="17"/>
      <x:c r="AY32" s="17"/>
      <x:c r="AZ32" s="17"/>
      <x:c r="BA32" s="17"/>
      <x:c r="BB32" s="17"/>
      <x:c r="BC32" s="17"/>
      <x:c r="BD32" s="17"/>
      <x:c r="BE32" s="17"/>
      <x:c r="BF32" s="17"/>
      <x:c r="BG32" s="17"/>
      <x:c r="BH32" s="17"/>
      <x:c r="BI32" s="17"/>
      <x:c r="BJ32" s="17"/>
    </x:row>
    <x:row r="33" ht="18" hidden="0" customHeight="1">
      <x:c r="B33" s="22"/>
      <x:c r="C33" s="22"/>
      <x:c r="D33" s="22"/>
      <x:c r="E33" s="22"/>
      <x:c r="F33" s="22"/>
      <x:c r="G33" s="22"/>
      <x:c r="H33" s="22"/>
      <x:c r="I33" s="22"/>
      <x:c r="J33" s="22"/>
      <x:c r="K33" s="16"/>
      <x:c r="L33" s="16"/>
      <x:c r="M33" s="16"/>
      <x:c r="N33" s="16"/>
      <x:c r="O33" s="16"/>
      <x:c r="P33" s="16"/>
      <x:c r="Q33" s="16"/>
      <x:c r="R33" s="16"/>
      <x:c r="S33" s="16"/>
      <x:c r="T33" s="16"/>
      <x:c r="U33" s="16"/>
      <x:c r="V33" s="16"/>
      <x:c r="W33" s="16"/>
      <x:c r="X33" s="16"/>
      <x:c r="Y33" s="16"/>
      <x:c r="Z33" s="16"/>
      <x:c r="AA33" s="16"/>
      <x:c r="AB33" s="16"/>
      <x:c r="AC33" s="16"/>
      <x:c r="AD33" s="16"/>
      <x:c r="AE33" s="16"/>
      <x:c r="AF33" s="16"/>
      <x:c r="AG33" s="16"/>
      <x:c r="AH33" s="16"/>
      <x:c r="AI33" s="16"/>
      <x:c r="AJ33" s="16"/>
      <x:c r="AK33" s="16"/>
      <x:c r="AL33" s="16"/>
      <x:c r="AM33" s="16"/>
      <x:c r="AN33" s="16"/>
      <x:c r="AO33" s="16"/>
      <x:c r="AP33" s="16"/>
      <x:c r="AQ33" s="16"/>
      <x:c r="AR33" s="16"/>
      <x:c r="AS33" s="16"/>
      <x:c r="AT33" s="16"/>
      <x:c r="AU33" s="16"/>
      <x:c r="AV33" s="16"/>
      <x:c r="AW33" s="16"/>
      <x:c r="AX33" s="16"/>
      <x:c r="AY33" s="16"/>
      <x:c r="AZ33" s="16"/>
      <x:c r="BA33" s="16"/>
      <x:c r="BB33" s="16"/>
      <x:c r="BC33" s="16"/>
      <x:c r="BD33" s="16"/>
      <x:c r="BE33" s="16"/>
      <x:c r="BF33" s="16"/>
      <x:c r="BG33" s="16"/>
      <x:c r="BH33" s="16"/>
      <x:c r="BI33" s="16"/>
      <x:c r="BJ33" s="16"/>
    </x:row>
    <x:row r="34" ht="18" hidden="0" customHeight="1">
      <x:c r="B34" s="22"/>
      <x:c r="C34" s="22"/>
      <x:c r="D34" s="22"/>
      <x:c r="E34" s="22"/>
      <x:c r="F34" s="22"/>
      <x:c r="G34" s="22"/>
      <x:c r="H34" s="22"/>
      <x:c r="I34" s="22"/>
      <x:c r="J34" s="22"/>
      <x:c r="K34" s="17"/>
      <x:c r="L34" s="17"/>
      <x:c r="M34" s="17"/>
      <x:c r="N34" s="17"/>
      <x:c r="O34" s="17"/>
      <x:c r="P34" s="17"/>
      <x:c r="Q34" s="17"/>
      <x:c r="R34" s="17"/>
      <x:c r="S34" s="17"/>
      <x:c r="T34" s="17"/>
      <x:c r="U34" s="17"/>
      <x:c r="V34" s="17"/>
      <x:c r="W34" s="17"/>
      <x:c r="X34" s="17"/>
      <x:c r="Y34" s="17"/>
      <x:c r="Z34" s="17"/>
      <x:c r="AA34" s="17"/>
      <x:c r="AB34" s="17"/>
      <x:c r="AC34" s="17"/>
      <x:c r="AD34" s="17"/>
      <x:c r="AE34" s="17"/>
      <x:c r="AF34" s="17"/>
      <x:c r="AG34" s="17"/>
      <x:c r="AH34" s="17"/>
      <x:c r="AI34" s="17"/>
      <x:c r="AJ34" s="17"/>
      <x:c r="AK34" s="17"/>
      <x:c r="AL34" s="17"/>
      <x:c r="AM34" s="17"/>
      <x:c r="AN34" s="17"/>
      <x:c r="AO34" s="17"/>
      <x:c r="AP34" s="17"/>
      <x:c r="AQ34" s="17"/>
      <x:c r="AR34" s="17"/>
      <x:c r="AS34" s="17"/>
      <x:c r="AT34" s="17"/>
      <x:c r="AU34" s="17"/>
      <x:c r="AV34" s="17"/>
      <x:c r="AW34" s="17"/>
      <x:c r="AX34" s="17"/>
      <x:c r="AY34" s="17"/>
      <x:c r="AZ34" s="17"/>
      <x:c r="BA34" s="17"/>
      <x:c r="BB34" s="17"/>
      <x:c r="BC34" s="17"/>
      <x:c r="BD34" s="17"/>
      <x:c r="BE34" s="17"/>
      <x:c r="BF34" s="17"/>
      <x:c r="BG34" s="17"/>
      <x:c r="BH34" s="17"/>
      <x:c r="BI34" s="17"/>
      <x:c r="BJ34" s="17"/>
    </x:row>
    <x:row r="35" ht="18" hidden="0" customHeight="1">
      <x:c r="B35" s="22"/>
      <x:c r="C35" s="22"/>
      <x:c r="D35" s="22"/>
      <x:c r="E35" s="22"/>
      <x:c r="F35" s="22"/>
      <x:c r="G35" s="22"/>
      <x:c r="H35" s="22"/>
      <x:c r="I35" s="22"/>
      <x:c r="J35" s="22"/>
      <x:c r="K35" s="16"/>
      <x:c r="L35" s="16"/>
      <x:c r="M35" s="16"/>
      <x:c r="N35" s="16"/>
      <x:c r="O35" s="16"/>
      <x:c r="P35" s="16"/>
      <x:c r="Q35" s="16"/>
      <x:c r="R35" s="16"/>
      <x:c r="S35" s="16"/>
      <x:c r="T35" s="16"/>
      <x:c r="U35" s="16"/>
      <x:c r="V35" s="16"/>
      <x:c r="W35" s="16"/>
      <x:c r="X35" s="16"/>
      <x:c r="Y35" s="16"/>
      <x:c r="Z35" s="16"/>
      <x:c r="AA35" s="16"/>
      <x:c r="AB35" s="16"/>
      <x:c r="AC35" s="16"/>
      <x:c r="AD35" s="16"/>
      <x:c r="AE35" s="16"/>
      <x:c r="AF35" s="16"/>
      <x:c r="AG35" s="16"/>
      <x:c r="AH35" s="16"/>
      <x:c r="AI35" s="16"/>
      <x:c r="AJ35" s="16"/>
      <x:c r="AK35" s="16"/>
      <x:c r="AL35" s="16"/>
      <x:c r="AM35" s="16"/>
      <x:c r="AN35" s="16"/>
      <x:c r="AO35" s="16"/>
      <x:c r="AP35" s="16"/>
      <x:c r="AQ35" s="16"/>
      <x:c r="AR35" s="16"/>
      <x:c r="AS35" s="16"/>
      <x:c r="AT35" s="16"/>
      <x:c r="AU35" s="16"/>
      <x:c r="AV35" s="16"/>
      <x:c r="AW35" s="16"/>
      <x:c r="AX35" s="16"/>
      <x:c r="AY35" s="16"/>
      <x:c r="AZ35" s="16"/>
      <x:c r="BA35" s="16"/>
      <x:c r="BB35" s="16"/>
      <x:c r="BC35" s="16"/>
      <x:c r="BD35" s="16"/>
      <x:c r="BE35" s="16"/>
      <x:c r="BF35" s="16"/>
      <x:c r="BG35" s="16"/>
      <x:c r="BH35" s="16"/>
      <x:c r="BI35" s="16"/>
      <x:c r="BJ35" s="16"/>
    </x:row>
    <x:row r="36" ht="18" hidden="0" customHeight="1">
      <x:c r="B36" s="22"/>
      <x:c r="C36" s="22"/>
      <x:c r="D36" s="22"/>
      <x:c r="E36" s="22"/>
      <x:c r="F36" s="22"/>
      <x:c r="G36" s="22"/>
      <x:c r="H36" s="22"/>
      <x:c r="I36" s="22"/>
      <x:c r="J36" s="22"/>
      <x:c r="K36" s="17"/>
      <x:c r="L36" s="17"/>
      <x:c r="M36" s="17"/>
      <x:c r="N36" s="17"/>
      <x:c r="O36" s="17"/>
      <x:c r="P36" s="17"/>
      <x:c r="Q36" s="17"/>
      <x:c r="R36" s="17"/>
      <x:c r="S36" s="17"/>
      <x:c r="T36" s="17"/>
      <x:c r="U36" s="17"/>
      <x:c r="V36" s="17"/>
      <x:c r="W36" s="17"/>
      <x:c r="X36" s="17"/>
      <x:c r="Y36" s="17"/>
      <x:c r="Z36" s="17"/>
      <x:c r="AA36" s="17"/>
      <x:c r="AB36" s="17"/>
      <x:c r="AC36" s="17"/>
      <x:c r="AD36" s="17"/>
      <x:c r="AE36" s="17"/>
      <x:c r="AF36" s="17"/>
      <x:c r="AG36" s="17"/>
      <x:c r="AH36" s="17"/>
      <x:c r="AI36" s="17"/>
      <x:c r="AJ36" s="17"/>
      <x:c r="AK36" s="17"/>
      <x:c r="AL36" s="17"/>
      <x:c r="AM36" s="17"/>
      <x:c r="AN36" s="17"/>
      <x:c r="AO36" s="17"/>
      <x:c r="AP36" s="17"/>
      <x:c r="AQ36" s="17"/>
      <x:c r="AR36" s="17"/>
      <x:c r="AS36" s="17"/>
      <x:c r="AT36" s="17"/>
      <x:c r="AU36" s="17"/>
      <x:c r="AV36" s="17"/>
      <x:c r="AW36" s="17"/>
      <x:c r="AX36" s="17"/>
      <x:c r="AY36" s="17"/>
      <x:c r="AZ36" s="17"/>
      <x:c r="BA36" s="17"/>
      <x:c r="BB36" s="17"/>
      <x:c r="BC36" s="17"/>
      <x:c r="BD36" s="17"/>
      <x:c r="BE36" s="17"/>
      <x:c r="BF36" s="17"/>
      <x:c r="BG36" s="17"/>
      <x:c r="BH36" s="17"/>
      <x:c r="BI36" s="17"/>
      <x:c r="BJ36" s="17"/>
    </x:row>
    <x:row r="37" ht="18" hidden="0" customHeight="1">
      <x:c r="B37" s="22"/>
      <x:c r="C37" s="22"/>
      <x:c r="D37" s="22"/>
      <x:c r="E37" s="22"/>
      <x:c r="F37" s="22"/>
      <x:c r="G37" s="22"/>
      <x:c r="H37" s="22"/>
      <x:c r="I37" s="22"/>
      <x:c r="J37" s="22"/>
      <x:c r="K37" s="16"/>
      <x:c r="L37" s="16"/>
      <x:c r="M37" s="16"/>
      <x:c r="N37" s="16"/>
      <x:c r="O37" s="16"/>
      <x:c r="P37" s="16"/>
      <x:c r="Q37" s="16"/>
      <x:c r="R37" s="16"/>
      <x:c r="S37" s="16"/>
      <x:c r="T37" s="16"/>
      <x:c r="U37" s="16"/>
      <x:c r="V37" s="16"/>
      <x:c r="W37" s="16"/>
      <x:c r="X37" s="16"/>
      <x:c r="Y37" s="16"/>
      <x:c r="Z37" s="16"/>
      <x:c r="AA37" s="16"/>
      <x:c r="AB37" s="16"/>
      <x:c r="AC37" s="16"/>
      <x:c r="AD37" s="16"/>
      <x:c r="AE37" s="16"/>
      <x:c r="AF37" s="16"/>
      <x:c r="AG37" s="16"/>
      <x:c r="AH37" s="16"/>
      <x:c r="AI37" s="16"/>
      <x:c r="AJ37" s="16"/>
      <x:c r="AK37" s="16"/>
      <x:c r="AL37" s="16"/>
      <x:c r="AM37" s="16"/>
      <x:c r="AN37" s="16"/>
      <x:c r="AO37" s="16"/>
      <x:c r="AP37" s="16"/>
      <x:c r="AQ37" s="16"/>
      <x:c r="AR37" s="16"/>
      <x:c r="AS37" s="16"/>
      <x:c r="AT37" s="16"/>
      <x:c r="AU37" s="16"/>
      <x:c r="AV37" s="16"/>
      <x:c r="AW37" s="16"/>
      <x:c r="AX37" s="16"/>
      <x:c r="AY37" s="16"/>
      <x:c r="AZ37" s="16"/>
      <x:c r="BA37" s="16"/>
      <x:c r="BB37" s="16"/>
      <x:c r="BC37" s="16"/>
      <x:c r="BD37" s="16"/>
      <x:c r="BE37" s="16"/>
      <x:c r="BF37" s="16"/>
      <x:c r="BG37" s="16"/>
      <x:c r="BH37" s="16"/>
      <x:c r="BI37" s="16"/>
      <x:c r="BJ37" s="16"/>
    </x:row>
    <x:row r="38" ht="18" hidden="0" customHeight="1">
      <x:c r="B38" s="22"/>
      <x:c r="C38" s="22"/>
      <x:c r="D38" s="22"/>
      <x:c r="E38" s="22"/>
      <x:c r="F38" s="22"/>
      <x:c r="G38" s="22"/>
      <x:c r="H38" s="22"/>
      <x:c r="I38" s="22"/>
      <x:c r="J38" s="22"/>
      <x:c r="K38" s="17"/>
      <x:c r="L38" s="17"/>
      <x:c r="M38" s="17"/>
      <x:c r="N38" s="17"/>
      <x:c r="O38" s="17"/>
      <x:c r="P38" s="17"/>
      <x:c r="Q38" s="17"/>
      <x:c r="R38" s="17"/>
      <x:c r="S38" s="17"/>
      <x:c r="T38" s="17"/>
      <x:c r="U38" s="17"/>
      <x:c r="V38" s="17"/>
      <x:c r="W38" s="17"/>
      <x:c r="X38" s="17"/>
      <x:c r="Y38" s="17"/>
      <x:c r="Z38" s="17"/>
      <x:c r="AA38" s="17"/>
      <x:c r="AB38" s="17"/>
      <x:c r="AC38" s="17"/>
      <x:c r="AD38" s="17"/>
      <x:c r="AE38" s="17"/>
      <x:c r="AF38" s="17"/>
      <x:c r="AG38" s="17"/>
      <x:c r="AH38" s="17"/>
      <x:c r="AI38" s="17"/>
      <x:c r="AJ38" s="17"/>
      <x:c r="AK38" s="17"/>
      <x:c r="AL38" s="17"/>
      <x:c r="AM38" s="17"/>
      <x:c r="AN38" s="17"/>
      <x:c r="AO38" s="17"/>
      <x:c r="AP38" s="17"/>
      <x:c r="AQ38" s="17"/>
      <x:c r="AR38" s="17"/>
      <x:c r="AS38" s="17"/>
      <x:c r="AT38" s="17"/>
      <x:c r="AU38" s="17"/>
      <x:c r="AV38" s="17"/>
      <x:c r="AW38" s="17"/>
      <x:c r="AX38" s="17"/>
      <x:c r="AY38" s="17"/>
      <x:c r="AZ38" s="17"/>
      <x:c r="BA38" s="17"/>
      <x:c r="BB38" s="17"/>
      <x:c r="BC38" s="17"/>
      <x:c r="BD38" s="17"/>
      <x:c r="BE38" s="17"/>
      <x:c r="BF38" s="17"/>
      <x:c r="BG38" s="17"/>
      <x:c r="BH38" s="17"/>
      <x:c r="BI38" s="17"/>
      <x:c r="BJ38" s="17"/>
    </x:row>
    <x:row r="39" ht="18" hidden="0" customHeight="1">
      <x:c r="B39" s="22"/>
      <x:c r="C39" s="22"/>
      <x:c r="D39" s="22"/>
      <x:c r="E39" s="22"/>
      <x:c r="F39" s="22"/>
      <x:c r="G39" s="22"/>
      <x:c r="H39" s="22"/>
      <x:c r="I39" s="22"/>
      <x:c r="J39" s="22"/>
      <x:c r="K39" s="16"/>
      <x:c r="L39" s="16"/>
      <x:c r="M39" s="16"/>
      <x:c r="N39" s="16"/>
      <x:c r="O39" s="16"/>
      <x:c r="P39" s="16"/>
      <x:c r="Q39" s="16"/>
      <x:c r="R39" s="16"/>
      <x:c r="S39" s="16"/>
      <x:c r="T39" s="16"/>
      <x:c r="U39" s="16"/>
      <x:c r="V39" s="16"/>
      <x:c r="W39" s="16"/>
      <x:c r="X39" s="16"/>
      <x:c r="Y39" s="16"/>
      <x:c r="Z39" s="16"/>
      <x:c r="AA39" s="16"/>
      <x:c r="AB39" s="16"/>
      <x:c r="AC39" s="16"/>
      <x:c r="AD39" s="16"/>
      <x:c r="AE39" s="16"/>
      <x:c r="AF39" s="16"/>
      <x:c r="AG39" s="16"/>
      <x:c r="AH39" s="16"/>
      <x:c r="AI39" s="16"/>
      <x:c r="AJ39" s="16"/>
      <x:c r="AK39" s="16"/>
      <x:c r="AL39" s="16"/>
      <x:c r="AM39" s="16"/>
      <x:c r="AN39" s="16"/>
      <x:c r="AO39" s="16"/>
      <x:c r="AP39" s="16"/>
      <x:c r="AQ39" s="16"/>
      <x:c r="AR39" s="16"/>
      <x:c r="AS39" s="16"/>
      <x:c r="AT39" s="16"/>
      <x:c r="AU39" s="16"/>
      <x:c r="AV39" s="16"/>
      <x:c r="AW39" s="16"/>
      <x:c r="AX39" s="16"/>
      <x:c r="AY39" s="16"/>
      <x:c r="AZ39" s="16"/>
      <x:c r="BA39" s="16"/>
      <x:c r="BB39" s="16"/>
      <x:c r="BC39" s="16"/>
      <x:c r="BD39" s="16"/>
      <x:c r="BE39" s="16"/>
      <x:c r="BF39" s="16"/>
      <x:c r="BG39" s="16"/>
      <x:c r="BH39" s="16"/>
      <x:c r="BI39" s="16"/>
      <x:c r="BJ39" s="16"/>
    </x:row>
    <x:row r="40" ht="18" hidden="0" customHeight="1">
      <x:c r="B40" s="22"/>
      <x:c r="C40" s="22"/>
      <x:c r="D40" s="22"/>
      <x:c r="E40" s="22"/>
      <x:c r="F40" s="22"/>
      <x:c r="G40" s="22"/>
      <x:c r="H40" s="22"/>
      <x:c r="I40" s="22"/>
      <x:c r="J40" s="22"/>
      <x:c r="K40" s="17"/>
      <x:c r="L40" s="17"/>
      <x:c r="M40" s="17"/>
      <x:c r="N40" s="17"/>
      <x:c r="O40" s="17"/>
      <x:c r="P40" s="17"/>
      <x:c r="Q40" s="17"/>
      <x:c r="R40" s="17"/>
      <x:c r="S40" s="17"/>
      <x:c r="T40" s="17"/>
      <x:c r="U40" s="17"/>
      <x:c r="V40" s="17"/>
      <x:c r="W40" s="17"/>
      <x:c r="X40" s="17"/>
      <x:c r="Y40" s="17"/>
      <x:c r="Z40" s="17"/>
      <x:c r="AA40" s="17"/>
      <x:c r="AB40" s="17"/>
      <x:c r="AC40" s="17"/>
      <x:c r="AD40" s="17"/>
      <x:c r="AE40" s="17"/>
      <x:c r="AF40" s="17"/>
      <x:c r="AG40" s="17"/>
      <x:c r="AH40" s="17"/>
      <x:c r="AI40" s="17"/>
      <x:c r="AJ40" s="17"/>
      <x:c r="AK40" s="17"/>
      <x:c r="AL40" s="17"/>
      <x:c r="AM40" s="17"/>
      <x:c r="AN40" s="17"/>
      <x:c r="AO40" s="17"/>
      <x:c r="AP40" s="17"/>
      <x:c r="AQ40" s="17"/>
      <x:c r="AR40" s="17"/>
      <x:c r="AS40" s="17"/>
      <x:c r="AT40" s="17"/>
      <x:c r="AU40" s="17"/>
      <x:c r="AV40" s="17"/>
      <x:c r="AW40" s="17"/>
      <x:c r="AX40" s="17"/>
      <x:c r="AY40" s="17"/>
      <x:c r="AZ40" s="17"/>
      <x:c r="BA40" s="17"/>
      <x:c r="BB40" s="17"/>
      <x:c r="BC40" s="17"/>
      <x:c r="BD40" s="17"/>
      <x:c r="BE40" s="17"/>
      <x:c r="BF40" s="17"/>
      <x:c r="BG40" s="17"/>
      <x:c r="BH40" s="17"/>
      <x:c r="BI40" s="17"/>
      <x:c r="BJ40" s="17"/>
    </x:row>
    <x:row r="41" ht="18" hidden="0" customHeight="1">
      <x:c r="B41" s="22"/>
      <x:c r="C41" s="22"/>
      <x:c r="D41" s="22"/>
      <x:c r="E41" s="22"/>
      <x:c r="F41" s="22"/>
      <x:c r="G41" s="22"/>
      <x:c r="H41" s="22"/>
      <x:c r="I41" s="22"/>
      <x:c r="J41" s="22"/>
      <x:c r="K41" s="16"/>
      <x:c r="L41" s="16"/>
      <x:c r="M41" s="16"/>
      <x:c r="N41" s="16"/>
      <x:c r="O41" s="16"/>
      <x:c r="P41" s="16"/>
      <x:c r="Q41" s="16"/>
      <x:c r="R41" s="16"/>
      <x:c r="S41" s="16"/>
      <x:c r="T41" s="16"/>
      <x:c r="U41" s="16"/>
      <x:c r="V41" s="16"/>
      <x:c r="W41" s="16"/>
      <x:c r="X41" s="16"/>
      <x:c r="Y41" s="16"/>
      <x:c r="Z41" s="16"/>
      <x:c r="AA41" s="16"/>
      <x:c r="AB41" s="16"/>
      <x:c r="AC41" s="16"/>
      <x:c r="AD41" s="16"/>
      <x:c r="AE41" s="16"/>
      <x:c r="AF41" s="16"/>
      <x:c r="AG41" s="16"/>
      <x:c r="AH41" s="16"/>
      <x:c r="AI41" s="16"/>
      <x:c r="AJ41" s="16"/>
      <x:c r="AK41" s="16"/>
      <x:c r="AL41" s="16"/>
      <x:c r="AM41" s="16"/>
      <x:c r="AN41" s="16"/>
      <x:c r="AO41" s="16"/>
      <x:c r="AP41" s="16"/>
      <x:c r="AQ41" s="16"/>
      <x:c r="AR41" s="16"/>
      <x:c r="AS41" s="16"/>
      <x:c r="AT41" s="16"/>
      <x:c r="AU41" s="16"/>
      <x:c r="AV41" s="16"/>
      <x:c r="AW41" s="16"/>
      <x:c r="AX41" s="16"/>
      <x:c r="AY41" s="16"/>
      <x:c r="AZ41" s="16"/>
      <x:c r="BA41" s="16"/>
      <x:c r="BB41" s="16"/>
      <x:c r="BC41" s="16"/>
      <x:c r="BD41" s="16"/>
      <x:c r="BE41" s="16"/>
      <x:c r="BF41" s="16"/>
      <x:c r="BG41" s="16"/>
      <x:c r="BH41" s="16"/>
      <x:c r="BI41" s="16"/>
      <x:c r="BJ41" s="16"/>
    </x:row>
    <x:row r="42" ht="18" hidden="0" customHeight="1">
      <x:c r="B42" s="22"/>
      <x:c r="C42" s="22"/>
      <x:c r="D42" s="22"/>
      <x:c r="E42" s="22"/>
      <x:c r="F42" s="22"/>
      <x:c r="G42" s="22"/>
      <x:c r="H42" s="22"/>
      <x:c r="I42" s="22"/>
      <x:c r="J42" s="22"/>
      <x:c r="K42" s="17"/>
      <x:c r="L42" s="17"/>
      <x:c r="M42" s="17"/>
      <x:c r="N42" s="17"/>
      <x:c r="O42" s="17"/>
      <x:c r="P42" s="17"/>
      <x:c r="Q42" s="17"/>
      <x:c r="R42" s="17"/>
      <x:c r="S42" s="17"/>
      <x:c r="T42" s="17"/>
      <x:c r="U42" s="17"/>
      <x:c r="V42" s="17"/>
      <x:c r="W42" s="17"/>
      <x:c r="X42" s="17"/>
      <x:c r="Y42" s="17"/>
      <x:c r="Z42" s="17"/>
      <x:c r="AA42" s="17"/>
      <x:c r="AB42" s="17"/>
      <x:c r="AC42" s="17"/>
      <x:c r="AD42" s="17"/>
      <x:c r="AE42" s="17"/>
      <x:c r="AF42" s="17"/>
      <x:c r="AG42" s="17"/>
      <x:c r="AH42" s="17"/>
      <x:c r="AI42" s="17"/>
      <x:c r="AJ42" s="17"/>
      <x:c r="AK42" s="17"/>
      <x:c r="AL42" s="17"/>
      <x:c r="AM42" s="17"/>
      <x:c r="AN42" s="17"/>
      <x:c r="AO42" s="17"/>
      <x:c r="AP42" s="17"/>
      <x:c r="AQ42" s="17"/>
      <x:c r="AR42" s="17"/>
      <x:c r="AS42" s="17"/>
      <x:c r="AT42" s="17"/>
      <x:c r="AU42" s="17"/>
      <x:c r="AV42" s="17"/>
      <x:c r="AW42" s="17"/>
      <x:c r="AX42" s="17"/>
      <x:c r="AY42" s="17"/>
      <x:c r="AZ42" s="17"/>
      <x:c r="BA42" s="17"/>
      <x:c r="BB42" s="17"/>
      <x:c r="BC42" s="17"/>
      <x:c r="BD42" s="17"/>
      <x:c r="BE42" s="17"/>
      <x:c r="BF42" s="17"/>
      <x:c r="BG42" s="17"/>
      <x:c r="BH42" s="17"/>
      <x:c r="BI42" s="17"/>
      <x:c r="BJ42" s="17"/>
    </x:row>
    <x:row r="43" ht="18" hidden="0" customHeight="1">
      <x:c r="B43" s="22"/>
      <x:c r="C43" s="22"/>
      <x:c r="D43" s="22"/>
      <x:c r="E43" s="22"/>
      <x:c r="F43" s="22"/>
      <x:c r="G43" s="22"/>
      <x:c r="H43" s="22"/>
      <x:c r="I43" s="22"/>
      <x:c r="J43" s="22"/>
      <x:c r="K43" s="16"/>
      <x:c r="L43" s="16"/>
      <x:c r="M43" s="16"/>
      <x:c r="N43" s="16"/>
      <x:c r="O43" s="16"/>
      <x:c r="P43" s="16"/>
      <x:c r="Q43" s="16"/>
      <x:c r="R43" s="16"/>
      <x:c r="S43" s="16"/>
      <x:c r="T43" s="16"/>
      <x:c r="U43" s="16"/>
      <x:c r="V43" s="16"/>
      <x:c r="W43" s="16"/>
      <x:c r="X43" s="16"/>
      <x:c r="Y43" s="16"/>
      <x:c r="Z43" s="16"/>
      <x:c r="AA43" s="16"/>
      <x:c r="AB43" s="16"/>
      <x:c r="AC43" s="16"/>
      <x:c r="AD43" s="16"/>
      <x:c r="AE43" s="16"/>
      <x:c r="AF43" s="16"/>
      <x:c r="AG43" s="16"/>
      <x:c r="AH43" s="16"/>
      <x:c r="AI43" s="16"/>
      <x:c r="AJ43" s="16"/>
      <x:c r="AK43" s="16"/>
      <x:c r="AL43" s="16"/>
      <x:c r="AM43" s="16"/>
      <x:c r="AN43" s="16"/>
      <x:c r="AO43" s="16"/>
      <x:c r="AP43" s="16"/>
      <x:c r="AQ43" s="16"/>
      <x:c r="AR43" s="16"/>
      <x:c r="AS43" s="16"/>
      <x:c r="AT43" s="16"/>
      <x:c r="AU43" s="16"/>
      <x:c r="AV43" s="16"/>
      <x:c r="AW43" s="16"/>
      <x:c r="AX43" s="16"/>
      <x:c r="AY43" s="16"/>
      <x:c r="AZ43" s="16"/>
      <x:c r="BA43" s="16"/>
      <x:c r="BB43" s="16"/>
      <x:c r="BC43" s="16"/>
      <x:c r="BD43" s="16"/>
      <x:c r="BE43" s="16"/>
      <x:c r="BF43" s="16"/>
      <x:c r="BG43" s="16"/>
      <x:c r="BH43" s="16"/>
      <x:c r="BI43" s="16"/>
      <x:c r="BJ43" s="16"/>
    </x:row>
    <x:row r="44" ht="18" hidden="0" customHeight="1">
      <x:c r="B44" s="22"/>
      <x:c r="C44" s="22"/>
      <x:c r="D44" s="22"/>
      <x:c r="E44" s="22"/>
      <x:c r="F44" s="22"/>
      <x:c r="G44" s="22"/>
      <x:c r="H44" s="22"/>
      <x:c r="I44" s="22"/>
      <x:c r="J44" s="22"/>
      <x:c r="K44" s="17"/>
      <x:c r="L44" s="17"/>
      <x:c r="M44" s="17"/>
      <x:c r="N44" s="17"/>
      <x:c r="O44" s="17"/>
      <x:c r="P44" s="17"/>
      <x:c r="Q44" s="17"/>
      <x:c r="R44" s="17"/>
      <x:c r="S44" s="17"/>
      <x:c r="T44" s="17"/>
      <x:c r="U44" s="17"/>
      <x:c r="V44" s="17"/>
      <x:c r="W44" s="17"/>
      <x:c r="X44" s="17"/>
      <x:c r="Y44" s="17"/>
      <x:c r="Z44" s="17"/>
      <x:c r="AA44" s="17"/>
      <x:c r="AB44" s="17"/>
      <x:c r="AC44" s="17"/>
      <x:c r="AD44" s="17"/>
      <x:c r="AE44" s="17"/>
      <x:c r="AF44" s="17"/>
      <x:c r="AG44" s="17"/>
      <x:c r="AH44" s="17"/>
      <x:c r="AI44" s="17"/>
      <x:c r="AJ44" s="17"/>
      <x:c r="AK44" s="17"/>
      <x:c r="AL44" s="17"/>
      <x:c r="AM44" s="17"/>
      <x:c r="AN44" s="17"/>
      <x:c r="AO44" s="17"/>
      <x:c r="AP44" s="17"/>
      <x:c r="AQ44" s="17"/>
      <x:c r="AR44" s="17"/>
      <x:c r="AS44" s="17"/>
      <x:c r="AT44" s="17"/>
      <x:c r="AU44" s="17"/>
      <x:c r="AV44" s="17"/>
      <x:c r="AW44" s="17"/>
      <x:c r="AX44" s="17"/>
      <x:c r="AY44" s="17"/>
      <x:c r="AZ44" s="17"/>
      <x:c r="BA44" s="17"/>
      <x:c r="BB44" s="17"/>
      <x:c r="BC44" s="17"/>
      <x:c r="BD44" s="17"/>
      <x:c r="BE44" s="17"/>
      <x:c r="BF44" s="17"/>
      <x:c r="BG44" s="17"/>
      <x:c r="BH44" s="17"/>
      <x:c r="BI44" s="17"/>
      <x:c r="BJ44" s="17"/>
    </x:row>
    <x:row r="45" ht="18" hidden="0" customHeight="1">
      <x:c r="B45" s="22"/>
      <x:c r="C45" s="22"/>
      <x:c r="D45" s="22"/>
      <x:c r="E45" s="22"/>
      <x:c r="F45" s="22"/>
      <x:c r="G45" s="22"/>
      <x:c r="H45" s="22"/>
      <x:c r="I45" s="22"/>
      <x:c r="J45" s="22"/>
      <x:c r="K45" s="16"/>
      <x:c r="L45" s="16"/>
      <x:c r="M45" s="16"/>
      <x:c r="N45" s="16"/>
      <x:c r="O45" s="16"/>
      <x:c r="P45" s="16"/>
      <x:c r="Q45" s="16"/>
      <x:c r="R45" s="16"/>
      <x:c r="S45" s="16"/>
      <x:c r="T45" s="16"/>
      <x:c r="U45" s="16"/>
      <x:c r="V45" s="16"/>
      <x:c r="W45" s="16"/>
      <x:c r="X45" s="16"/>
      <x:c r="Y45" s="16"/>
      <x:c r="Z45" s="16"/>
      <x:c r="AA45" s="16"/>
      <x:c r="AB45" s="16"/>
      <x:c r="AC45" s="16"/>
      <x:c r="AD45" s="16"/>
      <x:c r="AE45" s="16"/>
      <x:c r="AF45" s="16"/>
      <x:c r="AG45" s="16"/>
      <x:c r="AH45" s="16"/>
      <x:c r="AI45" s="16"/>
      <x:c r="AJ45" s="16"/>
      <x:c r="AK45" s="16"/>
      <x:c r="AL45" s="16"/>
      <x:c r="AM45" s="16"/>
      <x:c r="AN45" s="16"/>
      <x:c r="AO45" s="16"/>
      <x:c r="AP45" s="16"/>
      <x:c r="AQ45" s="16"/>
      <x:c r="AR45" s="16"/>
      <x:c r="AS45" s="16"/>
      <x:c r="AT45" s="16"/>
      <x:c r="AU45" s="16"/>
      <x:c r="AV45" s="16"/>
      <x:c r="AW45" s="16"/>
      <x:c r="AX45" s="16"/>
      <x:c r="AY45" s="16"/>
      <x:c r="AZ45" s="16"/>
      <x:c r="BA45" s="16"/>
      <x:c r="BB45" s="16"/>
      <x:c r="BC45" s="16"/>
      <x:c r="BD45" s="16"/>
      <x:c r="BE45" s="16"/>
      <x:c r="BF45" s="16"/>
      <x:c r="BG45" s="16"/>
      <x:c r="BH45" s="16"/>
      <x:c r="BI45" s="16"/>
      <x:c r="BJ45" s="16"/>
    </x:row>
    <x:row r="46" ht="18" hidden="0" customHeight="1">
      <x:c r="B46" s="22"/>
      <x:c r="C46" s="22"/>
      <x:c r="D46" s="22"/>
      <x:c r="E46" s="22"/>
      <x:c r="F46" s="22"/>
      <x:c r="G46" s="22"/>
      <x:c r="H46" s="22"/>
      <x:c r="I46" s="22"/>
      <x:c r="J46" s="22"/>
      <x:c r="K46" s="17"/>
      <x:c r="L46" s="17"/>
      <x:c r="M46" s="17"/>
      <x:c r="N46" s="17"/>
      <x:c r="O46" s="17"/>
      <x:c r="P46" s="17"/>
      <x:c r="Q46" s="17"/>
      <x:c r="R46" s="17"/>
      <x:c r="S46" s="17"/>
      <x:c r="T46" s="17"/>
      <x:c r="U46" s="17"/>
      <x:c r="V46" s="17"/>
      <x:c r="W46" s="17"/>
      <x:c r="X46" s="17"/>
      <x:c r="Y46" s="17"/>
      <x:c r="Z46" s="17"/>
      <x:c r="AA46" s="17"/>
      <x:c r="AB46" s="17"/>
      <x:c r="AC46" s="17"/>
      <x:c r="AD46" s="17"/>
      <x:c r="AE46" s="17"/>
      <x:c r="AF46" s="17"/>
      <x:c r="AG46" s="17"/>
      <x:c r="AH46" s="17"/>
      <x:c r="AI46" s="17"/>
      <x:c r="AJ46" s="17"/>
      <x:c r="AK46" s="17"/>
      <x:c r="AL46" s="17"/>
      <x:c r="AM46" s="17"/>
      <x:c r="AN46" s="17"/>
      <x:c r="AO46" s="17"/>
      <x:c r="AP46" s="17"/>
      <x:c r="AQ46" s="17"/>
      <x:c r="AR46" s="17"/>
      <x:c r="AS46" s="17"/>
      <x:c r="AT46" s="17"/>
      <x:c r="AU46" s="17"/>
      <x:c r="AV46" s="17"/>
      <x:c r="AW46" s="17"/>
      <x:c r="AX46" s="17"/>
      <x:c r="AY46" s="17"/>
      <x:c r="AZ46" s="17"/>
      <x:c r="BA46" s="17"/>
      <x:c r="BB46" s="17"/>
      <x:c r="BC46" s="17"/>
      <x:c r="BD46" s="17"/>
      <x:c r="BE46" s="17"/>
      <x:c r="BF46" s="17"/>
      <x:c r="BG46" s="17"/>
      <x:c r="BH46" s="17"/>
      <x:c r="BI46" s="17"/>
      <x:c r="BJ46" s="17"/>
    </x:row>
    <x:row r="47" ht="18" hidden="0" customHeight="1">
      <x:c r="B47" s="22"/>
      <x:c r="C47" s="22"/>
      <x:c r="D47" s="22"/>
      <x:c r="E47" s="22"/>
      <x:c r="F47" s="22"/>
      <x:c r="G47" s="22"/>
      <x:c r="H47" s="22"/>
      <x:c r="I47" s="22"/>
      <x:c r="J47" s="22"/>
      <x:c r="K47" s="16"/>
      <x:c r="L47" s="16"/>
      <x:c r="M47" s="16"/>
      <x:c r="N47" s="16"/>
      <x:c r="O47" s="16"/>
      <x:c r="P47" s="16"/>
      <x:c r="Q47" s="16"/>
      <x:c r="R47" s="16"/>
      <x:c r="S47" s="16"/>
      <x:c r="T47" s="16"/>
      <x:c r="U47" s="16"/>
      <x:c r="V47" s="16"/>
      <x:c r="W47" s="16"/>
      <x:c r="X47" s="16"/>
      <x:c r="Y47" s="16"/>
      <x:c r="Z47" s="16"/>
      <x:c r="AA47" s="16"/>
      <x:c r="AB47" s="16"/>
      <x:c r="AC47" s="16"/>
      <x:c r="AD47" s="16"/>
      <x:c r="AE47" s="16"/>
      <x:c r="AF47" s="16"/>
      <x:c r="AG47" s="16"/>
      <x:c r="AH47" s="16"/>
      <x:c r="AI47" s="16"/>
      <x:c r="AJ47" s="16"/>
      <x:c r="AK47" s="16"/>
      <x:c r="AL47" s="16"/>
      <x:c r="AM47" s="16"/>
      <x:c r="AN47" s="16"/>
      <x:c r="AO47" s="16"/>
      <x:c r="AP47" s="16"/>
      <x:c r="AQ47" s="16"/>
      <x:c r="AR47" s="16"/>
      <x:c r="AS47" s="16"/>
      <x:c r="AT47" s="16"/>
      <x:c r="AU47" s="16"/>
      <x:c r="AV47" s="16"/>
      <x:c r="AW47" s="16"/>
      <x:c r="AX47" s="16"/>
      <x:c r="AY47" s="16"/>
      <x:c r="AZ47" s="16"/>
      <x:c r="BA47" s="16"/>
      <x:c r="BB47" s="16"/>
      <x:c r="BC47" s="16"/>
      <x:c r="BD47" s="16"/>
      <x:c r="BE47" s="16"/>
      <x:c r="BF47" s="16"/>
      <x:c r="BG47" s="16"/>
      <x:c r="BH47" s="16"/>
      <x:c r="BI47" s="16"/>
      <x:c r="BJ47" s="16"/>
    </x:row>
    <x:row r="48" ht="18" hidden="0" customHeight="1">
      <x:c r="B48" s="22"/>
      <x:c r="C48" s="22"/>
      <x:c r="D48" s="22"/>
      <x:c r="E48" s="22"/>
      <x:c r="F48" s="22"/>
      <x:c r="G48" s="22"/>
      <x:c r="H48" s="22"/>
      <x:c r="I48" s="22"/>
      <x:c r="J48" s="22"/>
      <x:c r="K48" s="17"/>
      <x:c r="L48" s="17"/>
      <x:c r="M48" s="17"/>
      <x:c r="N48" s="17"/>
      <x:c r="O48" s="17"/>
      <x:c r="P48" s="17"/>
      <x:c r="Q48" s="17"/>
      <x:c r="R48" s="17"/>
      <x:c r="S48" s="17"/>
      <x:c r="T48" s="17"/>
      <x:c r="U48" s="17"/>
      <x:c r="V48" s="17"/>
      <x:c r="W48" s="17"/>
      <x:c r="X48" s="17"/>
      <x:c r="Y48" s="17"/>
      <x:c r="Z48" s="17"/>
      <x:c r="AA48" s="17"/>
      <x:c r="AB48" s="17"/>
      <x:c r="AC48" s="17"/>
      <x:c r="AD48" s="17"/>
      <x:c r="AE48" s="17"/>
      <x:c r="AF48" s="17"/>
      <x:c r="AG48" s="17"/>
      <x:c r="AH48" s="17"/>
      <x:c r="AI48" s="17"/>
      <x:c r="AJ48" s="17"/>
      <x:c r="AK48" s="17"/>
      <x:c r="AL48" s="17"/>
      <x:c r="AM48" s="17"/>
      <x:c r="AN48" s="17"/>
      <x:c r="AO48" s="17"/>
      <x:c r="AP48" s="17"/>
      <x:c r="AQ48" s="17"/>
      <x:c r="AR48" s="17"/>
      <x:c r="AS48" s="17"/>
      <x:c r="AT48" s="17"/>
      <x:c r="AU48" s="17"/>
      <x:c r="AV48" s="17"/>
      <x:c r="AW48" s="17"/>
      <x:c r="AX48" s="17"/>
      <x:c r="AY48" s="17"/>
      <x:c r="AZ48" s="17"/>
      <x:c r="BA48" s="17"/>
      <x:c r="BB48" s="17"/>
      <x:c r="BC48" s="17"/>
      <x:c r="BD48" s="17"/>
      <x:c r="BE48" s="17"/>
      <x:c r="BF48" s="17"/>
      <x:c r="BG48" s="17"/>
      <x:c r="BH48" s="17"/>
      <x:c r="BI48" s="17"/>
      <x:c r="BJ48" s="17"/>
    </x:row>
    <x:row r="49" ht="18" hidden="0" customHeight="1">
      <x:c r="B49" s="22"/>
      <x:c r="C49" s="22"/>
      <x:c r="D49" s="22"/>
      <x:c r="E49" s="22"/>
      <x:c r="F49" s="22"/>
      <x:c r="G49" s="22"/>
      <x:c r="H49" s="22"/>
      <x:c r="I49" s="22"/>
      <x:c r="J49" s="22"/>
      <x:c r="K49" s="16"/>
      <x:c r="L49" s="16"/>
      <x:c r="M49" s="16"/>
      <x:c r="N49" s="16"/>
      <x:c r="O49" s="16"/>
      <x:c r="P49" s="16"/>
      <x:c r="Q49" s="16"/>
      <x:c r="R49" s="16"/>
      <x:c r="S49" s="16"/>
      <x:c r="T49" s="16"/>
      <x:c r="U49" s="16"/>
      <x:c r="V49" s="16"/>
      <x:c r="W49" s="16"/>
      <x:c r="X49" s="16"/>
      <x:c r="Y49" s="16"/>
      <x:c r="Z49" s="16"/>
      <x:c r="AA49" s="16"/>
      <x:c r="AB49" s="16"/>
      <x:c r="AC49" s="16"/>
      <x:c r="AD49" s="16"/>
      <x:c r="AE49" s="16"/>
      <x:c r="AF49" s="16"/>
      <x:c r="AG49" s="16"/>
      <x:c r="AH49" s="16"/>
      <x:c r="AI49" s="16"/>
      <x:c r="AJ49" s="16"/>
      <x:c r="AK49" s="16"/>
      <x:c r="AL49" s="16"/>
      <x:c r="AM49" s="16"/>
      <x:c r="AN49" s="16"/>
      <x:c r="AO49" s="16"/>
      <x:c r="AP49" s="16"/>
      <x:c r="AQ49" s="16"/>
      <x:c r="AR49" s="16"/>
      <x:c r="AS49" s="16"/>
      <x:c r="AT49" s="16"/>
      <x:c r="AU49" s="16"/>
      <x:c r="AV49" s="16"/>
      <x:c r="AW49" s="16"/>
      <x:c r="AX49" s="16"/>
      <x:c r="AY49" s="16"/>
      <x:c r="AZ49" s="16"/>
      <x:c r="BA49" s="16"/>
      <x:c r="BB49" s="16"/>
      <x:c r="BC49" s="16"/>
      <x:c r="BD49" s="16"/>
      <x:c r="BE49" s="16"/>
      <x:c r="BF49" s="16"/>
      <x:c r="BG49" s="16"/>
      <x:c r="BH49" s="16"/>
      <x:c r="BI49" s="16"/>
      <x:c r="BJ49" s="16"/>
    </x:row>
    <x:row r="50" ht="18" hidden="0" customHeight="1">
      <x:c r="B50" s="22"/>
      <x:c r="C50" s="22"/>
      <x:c r="D50" s="22"/>
      <x:c r="E50" s="22"/>
      <x:c r="F50" s="22"/>
      <x:c r="G50" s="22"/>
      <x:c r="H50" s="22"/>
      <x:c r="I50" s="22"/>
      <x:c r="J50" s="22"/>
      <x:c r="K50" s="17"/>
      <x:c r="L50" s="17"/>
      <x:c r="M50" s="17"/>
      <x:c r="N50" s="17"/>
      <x:c r="O50" s="17"/>
      <x:c r="P50" s="17"/>
      <x:c r="Q50" s="17"/>
      <x:c r="R50" s="17"/>
      <x:c r="S50" s="17"/>
      <x:c r="T50" s="17"/>
      <x:c r="U50" s="17"/>
      <x:c r="V50" s="17"/>
      <x:c r="W50" s="17"/>
      <x:c r="X50" s="17"/>
      <x:c r="Y50" s="17"/>
      <x:c r="Z50" s="17"/>
      <x:c r="AA50" s="17"/>
      <x:c r="AB50" s="17"/>
      <x:c r="AC50" s="17"/>
      <x:c r="AD50" s="17"/>
      <x:c r="AE50" s="17"/>
      <x:c r="AF50" s="17"/>
      <x:c r="AG50" s="17"/>
      <x:c r="AH50" s="17"/>
      <x:c r="AI50" s="17"/>
      <x:c r="AJ50" s="17"/>
      <x:c r="AK50" s="17"/>
      <x:c r="AL50" s="17"/>
      <x:c r="AM50" s="17"/>
      <x:c r="AN50" s="17"/>
      <x:c r="AO50" s="17"/>
      <x:c r="AP50" s="17"/>
      <x:c r="AQ50" s="17"/>
      <x:c r="AR50" s="17"/>
      <x:c r="AS50" s="17"/>
      <x:c r="AT50" s="17"/>
      <x:c r="AU50" s="17"/>
      <x:c r="AV50" s="17"/>
      <x:c r="AW50" s="17"/>
      <x:c r="AX50" s="17"/>
      <x:c r="AY50" s="17"/>
      <x:c r="AZ50" s="17"/>
      <x:c r="BA50" s="17"/>
      <x:c r="BB50" s="17"/>
      <x:c r="BC50" s="17"/>
      <x:c r="BD50" s="17"/>
      <x:c r="BE50" s="17"/>
      <x:c r="BF50" s="17"/>
      <x:c r="BG50" s="17"/>
      <x:c r="BH50" s="17"/>
      <x:c r="BI50" s="17"/>
      <x:c r="BJ50" s="17"/>
    </x:row>
    <x:row r="51" ht="18" hidden="0" customHeight="1">
      <x:c r="B51" s="22"/>
      <x:c r="C51" s="22"/>
      <x:c r="D51" s="22"/>
      <x:c r="E51" s="22"/>
      <x:c r="F51" s="22"/>
      <x:c r="G51" s="22"/>
      <x:c r="H51" s="22"/>
      <x:c r="I51" s="22"/>
      <x:c r="J51" s="22"/>
      <x:c r="K51" s="16"/>
      <x:c r="L51" s="16"/>
      <x:c r="M51" s="16"/>
      <x:c r="N51" s="16"/>
      <x:c r="O51" s="16"/>
      <x:c r="P51" s="16"/>
      <x:c r="Q51" s="16"/>
      <x:c r="R51" s="16"/>
      <x:c r="S51" s="16"/>
      <x:c r="T51" s="16"/>
      <x:c r="U51" s="16"/>
      <x:c r="V51" s="16"/>
      <x:c r="W51" s="16"/>
      <x:c r="X51" s="16"/>
      <x:c r="Y51" s="16"/>
      <x:c r="Z51" s="16"/>
      <x:c r="AA51" s="16"/>
      <x:c r="AB51" s="16"/>
      <x:c r="AC51" s="16"/>
      <x:c r="AD51" s="16"/>
      <x:c r="AE51" s="16"/>
      <x:c r="AF51" s="16"/>
      <x:c r="AG51" s="16"/>
      <x:c r="AH51" s="16"/>
      <x:c r="AI51" s="16"/>
      <x:c r="AJ51" s="16"/>
      <x:c r="AK51" s="16"/>
      <x:c r="AL51" s="16"/>
      <x:c r="AM51" s="16"/>
      <x:c r="AN51" s="16"/>
      <x:c r="AO51" s="16"/>
      <x:c r="AP51" s="16"/>
      <x:c r="AQ51" s="16"/>
      <x:c r="AR51" s="16"/>
      <x:c r="AS51" s="16"/>
      <x:c r="AT51" s="16"/>
      <x:c r="AU51" s="16"/>
      <x:c r="AV51" s="16"/>
      <x:c r="AW51" s="16"/>
      <x:c r="AX51" s="16"/>
      <x:c r="AY51" s="16"/>
      <x:c r="AZ51" s="16"/>
      <x:c r="BA51" s="16"/>
      <x:c r="BB51" s="16"/>
      <x:c r="BC51" s="16"/>
      <x:c r="BD51" s="16"/>
      <x:c r="BE51" s="16"/>
      <x:c r="BF51" s="16"/>
      <x:c r="BG51" s="16"/>
      <x:c r="BH51" s="16"/>
      <x:c r="BI51" s="16"/>
      <x:c r="BJ51" s="16"/>
    </x:row>
    <x:row r="52" ht="18" hidden="0" customHeight="1">
      <x:c r="B52" s="22"/>
      <x:c r="C52" s="22"/>
      <x:c r="D52" s="22"/>
      <x:c r="E52" s="22"/>
      <x:c r="F52" s="22"/>
      <x:c r="G52" s="22"/>
      <x:c r="H52" s="22"/>
      <x:c r="I52" s="22"/>
      <x:c r="J52" s="22"/>
      <x:c r="K52" s="17"/>
      <x:c r="L52" s="17"/>
      <x:c r="M52" s="17"/>
      <x:c r="N52" s="17"/>
      <x:c r="O52" s="17"/>
      <x:c r="P52" s="17"/>
      <x:c r="Q52" s="17"/>
      <x:c r="R52" s="17"/>
      <x:c r="S52" s="17"/>
      <x:c r="T52" s="17"/>
      <x:c r="U52" s="17"/>
      <x:c r="V52" s="17"/>
      <x:c r="W52" s="17"/>
      <x:c r="X52" s="17"/>
      <x:c r="Y52" s="17"/>
      <x:c r="Z52" s="17"/>
      <x:c r="AA52" s="17"/>
      <x:c r="AB52" s="17"/>
      <x:c r="AC52" s="17"/>
      <x:c r="AD52" s="17"/>
      <x:c r="AE52" s="17"/>
      <x:c r="AF52" s="17"/>
      <x:c r="AG52" s="17"/>
      <x:c r="AH52" s="17"/>
      <x:c r="AI52" s="17"/>
      <x:c r="AJ52" s="17"/>
      <x:c r="AK52" s="17"/>
      <x:c r="AL52" s="17"/>
      <x:c r="AM52" s="17"/>
      <x:c r="AN52" s="17"/>
      <x:c r="AO52" s="17"/>
      <x:c r="AP52" s="17"/>
      <x:c r="AQ52" s="17"/>
      <x:c r="AR52" s="17"/>
      <x:c r="AS52" s="17"/>
      <x:c r="AT52" s="17"/>
      <x:c r="AU52" s="17"/>
      <x:c r="AV52" s="17"/>
      <x:c r="AW52" s="17"/>
      <x:c r="AX52" s="17"/>
      <x:c r="AY52" s="17"/>
      <x:c r="AZ52" s="17"/>
      <x:c r="BA52" s="17"/>
      <x:c r="BB52" s="17"/>
      <x:c r="BC52" s="17"/>
      <x:c r="BD52" s="17"/>
      <x:c r="BE52" s="17"/>
      <x:c r="BF52" s="17"/>
      <x:c r="BG52" s="17"/>
      <x:c r="BH52" s="17"/>
      <x:c r="BI52" s="17"/>
      <x:c r="BJ52" s="17"/>
    </x:row>
    <x:row r="53" ht="18" hidden="0" customHeight="1">
      <x:c r="B53" s="22"/>
      <x:c r="C53" s="22"/>
      <x:c r="D53" s="22"/>
      <x:c r="E53" s="22"/>
      <x:c r="F53" s="22"/>
      <x:c r="G53" s="22"/>
      <x:c r="H53" s="22"/>
      <x:c r="I53" s="22"/>
      <x:c r="J53" s="22"/>
      <x:c r="K53" s="16"/>
      <x:c r="L53" s="16"/>
      <x:c r="M53" s="16"/>
      <x:c r="N53" s="16"/>
      <x:c r="O53" s="16"/>
      <x:c r="P53" s="16"/>
      <x:c r="Q53" s="16"/>
      <x:c r="R53" s="16"/>
      <x:c r="S53" s="16"/>
      <x:c r="T53" s="16"/>
      <x:c r="U53" s="16"/>
      <x:c r="V53" s="16"/>
      <x:c r="W53" s="16"/>
      <x:c r="X53" s="16"/>
      <x:c r="Y53" s="16"/>
      <x:c r="Z53" s="16"/>
      <x:c r="AA53" s="16"/>
      <x:c r="AB53" s="16"/>
      <x:c r="AC53" s="16"/>
      <x:c r="AD53" s="16"/>
      <x:c r="AE53" s="16"/>
      <x:c r="AF53" s="16"/>
      <x:c r="AG53" s="16"/>
      <x:c r="AH53" s="16"/>
      <x:c r="AI53" s="16"/>
      <x:c r="AJ53" s="16"/>
      <x:c r="AK53" s="16"/>
      <x:c r="AL53" s="16"/>
      <x:c r="AM53" s="16"/>
      <x:c r="AN53" s="16"/>
      <x:c r="AO53" s="16"/>
      <x:c r="AP53" s="16"/>
      <x:c r="AQ53" s="16"/>
      <x:c r="AR53" s="16"/>
      <x:c r="AS53" s="16"/>
      <x:c r="AT53" s="16"/>
      <x:c r="AU53" s="16"/>
      <x:c r="AV53" s="16"/>
      <x:c r="AW53" s="16"/>
      <x:c r="AX53" s="16"/>
      <x:c r="AY53" s="16"/>
      <x:c r="AZ53" s="16"/>
      <x:c r="BA53" s="16"/>
      <x:c r="BB53" s="16"/>
      <x:c r="BC53" s="16"/>
      <x:c r="BD53" s="16"/>
      <x:c r="BE53" s="16"/>
      <x:c r="BF53" s="16"/>
      <x:c r="BG53" s="16"/>
      <x:c r="BH53" s="16"/>
      <x:c r="BI53" s="16"/>
      <x:c r="BJ53" s="16"/>
    </x:row>
    <x:row r="54" ht="18" hidden="0" customHeight="1">
      <x:c r="B54" s="22"/>
      <x:c r="C54" s="22"/>
      <x:c r="D54" s="22"/>
      <x:c r="E54" s="22"/>
      <x:c r="F54" s="22"/>
      <x:c r="G54" s="22"/>
      <x:c r="H54" s="22"/>
      <x:c r="I54" s="22"/>
      <x:c r="J54" s="22"/>
      <x:c r="K54" s="17"/>
      <x:c r="L54" s="17"/>
      <x:c r="M54" s="17"/>
      <x:c r="N54" s="17"/>
      <x:c r="O54" s="17"/>
      <x:c r="P54" s="17"/>
      <x:c r="Q54" s="17"/>
      <x:c r="R54" s="17"/>
      <x:c r="S54" s="17"/>
      <x:c r="T54" s="17"/>
      <x:c r="U54" s="17"/>
      <x:c r="V54" s="17"/>
      <x:c r="W54" s="17"/>
      <x:c r="X54" s="17"/>
      <x:c r="Y54" s="17"/>
      <x:c r="Z54" s="17"/>
      <x:c r="AA54" s="17"/>
      <x:c r="AB54" s="17"/>
      <x:c r="AC54" s="17"/>
      <x:c r="AD54" s="17"/>
      <x:c r="AE54" s="17"/>
      <x:c r="AF54" s="17"/>
      <x:c r="AG54" s="17"/>
      <x:c r="AH54" s="17"/>
      <x:c r="AI54" s="17"/>
      <x:c r="AJ54" s="17"/>
      <x:c r="AK54" s="17"/>
      <x:c r="AL54" s="17"/>
      <x:c r="AM54" s="17"/>
      <x:c r="AN54" s="17"/>
      <x:c r="AO54" s="17"/>
      <x:c r="AP54" s="17"/>
      <x:c r="AQ54" s="17"/>
      <x:c r="AR54" s="17"/>
      <x:c r="AS54" s="17"/>
      <x:c r="AT54" s="17"/>
      <x:c r="AU54" s="17"/>
      <x:c r="AV54" s="17"/>
      <x:c r="AW54" s="17"/>
      <x:c r="AX54" s="17"/>
      <x:c r="AY54" s="17"/>
      <x:c r="AZ54" s="17"/>
      <x:c r="BA54" s="17"/>
      <x:c r="BB54" s="17"/>
      <x:c r="BC54" s="17"/>
      <x:c r="BD54" s="17"/>
      <x:c r="BE54" s="17"/>
      <x:c r="BF54" s="17"/>
      <x:c r="BG54" s="17"/>
      <x:c r="BH54" s="17"/>
      <x:c r="BI54" s="17"/>
      <x:c r="BJ54" s="17"/>
    </x:row>
    <x:row r="56" ht="9.75" hidden="0" customHeight="1"/>
    <x:row r="57" ht="18" hidden="0" customHeight="1">
      <x:c r="B57" s="23" t="s">
        <x:v>106</x:v>
      </x:c>
      <x:c r="C57" s="24" t="s">
        <x:v>107</x:v>
      </x:c>
      <x:c r="D57" s="25" t="s">
        <x:v>108</x:v>
      </x:c>
      <x:c r="E57" s="26" t="s">
        <x:v>109</x:v>
      </x:c>
      <x:c r="F57" s="27" t="s">
        <x:v>110</x:v>
      </x:c>
      <x:c r="G57" s="28" t="s">
        <x:v>111</x:v>
      </x:c>
      <x:c r="H57" s="29" t="s">
        <x:v>112</x:v>
      </x:c>
      <x:c r="I57" s="30" t="s">
        <x:v>113</x:v>
      </x:c>
    </x:row>
  </x:sheetData>
  <x:mergeCells>
    <x:mergeCell ref="B2:BJ2"/>
    <x:mergeCell ref="K3:N3"/>
    <x:mergeCell ref="O3:R3"/>
    <x:mergeCell ref="S3:W3"/>
    <x:mergeCell ref="X3:AA3"/>
    <x:mergeCell ref="AB3:AE3"/>
    <x:mergeCell ref="AF3:AI3"/>
    <x:mergeCell ref="AJ3:AN3"/>
    <x:mergeCell ref="AO3:AR3"/>
    <x:mergeCell ref="AS3:AV3"/>
    <x:mergeCell ref="AW3:BA3"/>
    <x:mergeCell ref="BB3:BE3"/>
    <x:mergeCell ref="BF3:BJ3"/>
  </x:mergeCells>
  <x:dataValidations count="3">
    <x:dataValidation type="list" errorStyle="stop" operator="between" allowBlank="1" showDropDown="0" showInputMessage="0" showErrorMessage="0" sqref="E5:E104">
      <x:formula1>"PM,PdM,CBM,Overhaul,Inspection,Lubrication,Calibration"</x:formula1>
      <x:formula2>0</x:formula2>
    </x:dataValidation>
    <x:dataValidation type="list" errorStyle="stop" operator="between" allowBlank="1" showDropDown="0" showInputMessage="0" showErrorMessage="0" sqref="I5:I104">
      <x:formula1>"Planned,In Progress,Complete,Overdue,Cancelled"</x:formula1>
      <x:formula2>0</x:formula2>
    </x:dataValidation>
    <x:dataValidation type="list" errorStyle="stop" operator="between" allowBlank="1" showDropDown="0" showInputMessage="0" showErrorMessage="0" sqref="J5:J104">
      <x:formula1>"Critical,High,Medium,Low"</x:formula1>
      <x:formula2>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618D"/>
  </x:sheetPr>
  <x:sheetViews>
    <x:sheetView showGridLines="0" workbookViewId="0"/>
  </x:sheetViews>
  <x:sheetFormatPr defaultColWidth="8.6796875" defaultRowHeight="15"/>
  <x:cols>
    <x:col min="1" max="1" width="1" hidden="0" customWidth="1"/>
    <x:col min="2" max="2" width="10" hidden="0" customWidth="1"/>
    <x:col min="3" max="3" width="12" hidden="0" customWidth="1"/>
    <x:col min="4" max="4" width="24" hidden="0" customWidth="1"/>
    <x:col min="5" max="5" width="14" hidden="0" customWidth="1"/>
    <x:col min="6" max="8" width="12" hidden="0" customWidth="1"/>
    <x:col min="9" max="10" width="13" hidden="0" customWidth="1"/>
    <x:col min="11" max="12" width="14" hidden="0" customWidth="1"/>
    <x:col min="13" max="13" width="18" hidden="0" customWidth="1"/>
    <x:col min="14" max="14" width="1" hidden="0" customWidth="1"/>
  </x:cols>
  <x:sheetData>
    <x:row r="1" ht="7.5" hidden="0" customHeight="1"/>
    <x:row r="2" ht="36" hidden="0" customHeight="1">
      <x:c r="A2" s="10"/>
      <x:c r="B2" s="1" t="s">
        <x:v>114</x:v>
      </x:c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0"/>
    </x:row>
    <x:row r="3" ht="18" hidden="0" customHeight="1">
      <x:c r="B3" s="31" t="s">
        <x:v>115</x:v>
      </x:c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</x:row>
    <x:row r="4" ht="27.75" hidden="0" customHeight="1">
      <x:c r="B4" s="32" t="s">
        <x:v>116</x:v>
      </x:c>
      <x:c r="C4" s="32" t="s">
        <x:v>45</x:v>
      </x:c>
      <x:c r="D4" s="32" t="s">
        <x:v>46</x:v>
      </x:c>
      <x:c r="E4" s="32" t="s">
        <x:v>47</x:v>
      </x:c>
      <x:c r="F4" s="32" t="s">
        <x:v>53</x:v>
      </x:c>
      <x:c r="G4" s="32" t="s">
        <x:v>52</x:v>
      </x:c>
      <x:c r="H4" s="32" t="s">
        <x:v>117</x:v>
      </x:c>
      <x:c r="I4" s="32" t="s">
        <x:v>118</x:v>
      </x:c>
      <x:c r="J4" s="32" t="s">
        <x:v>119</x:v>
      </x:c>
      <x:c r="K4" s="32" t="s">
        <x:v>120</x:v>
      </x:c>
      <x:c r="L4" s="32" t="s">
        <x:v>121</x:v>
      </x:c>
      <x:c r="M4" s="32" t="s">
        <x:v>122</x:v>
      </x:c>
    </x:row>
    <x:row r="5" ht="18" hidden="0" customHeight="1">
      <x:c r="B5" s="7" t="s">
        <x:v>123</x:v>
      </x:c>
      <x:c r="C5" s="7" t="s">
        <x:v>54</x:v>
      </x:c>
      <x:c r="D5" s="8" t="s">
        <x:v>55</x:v>
      </x:c>
      <x:c r="E5" s="7" t="s">
        <x:v>56</x:v>
      </x:c>
      <x:c r="F5" s="7" t="s">
        <x:v>59</x:v>
      </x:c>
      <x:c r="G5" s="33" t="s">
        <x:v>58</x:v>
      </x:c>
      <x:c r="H5" s="8" t="s">
        <x:v>25</x:v>
      </x:c>
      <x:c r="I5" s="34"/>
      <x:c r="J5" s="34"/>
      <x:c r="K5" s="7" t="n">
        <x:v>8</x:v>
      </x:c>
      <x:c r="L5" s="35" t="n">
        <x:v>0</x:v>
      </x:c>
      <x:c r="M5" s="35" t="n">
        <x:v>3500</x:v>
      </x:c>
    </x:row>
    <x:row r="6" ht="18" hidden="0" customHeight="1">
      <x:c r="B6" s="7" t="s">
        <x:v>124</x:v>
      </x:c>
      <x:c r="C6" s="7" t="s">
        <x:v>61</x:v>
      </x:c>
      <x:c r="D6" s="8" t="s">
        <x:v>125</x:v>
      </x:c>
      <x:c r="E6" s="7" t="s">
        <x:v>63</x:v>
      </x:c>
      <x:c r="F6" s="7" t="s">
        <x:v>64</x:v>
      </x:c>
      <x:c r="G6" s="33" t="s">
        <x:v>58</x:v>
      </x:c>
      <x:c r="H6" s="8" t="s">
        <x:v>26</x:v>
      </x:c>
      <x:c r="I6" s="34"/>
      <x:c r="J6" s="34"/>
      <x:c r="K6" s="7" t="n">
        <x:v>4</x:v>
      </x:c>
      <x:c r="L6" s="35" t="n">
        <x:v>0</x:v>
      </x:c>
      <x:c r="M6" s="35" t="n">
        <x:v>800</x:v>
      </x:c>
    </x:row>
    <x:row r="7" ht="18" hidden="0" customHeight="1">
      <x:c r="B7" s="7" t="s">
        <x:v>126</x:v>
      </x:c>
      <x:c r="C7" s="7" t="s">
        <x:v>65</x:v>
      </x:c>
      <x:c r="D7" s="8" t="s">
        <x:v>127</x:v>
      </x:c>
      <x:c r="E7" s="7" t="s">
        <x:v>67</x:v>
      </x:c>
      <x:c r="F7" s="7" t="s">
        <x:v>59</x:v>
      </x:c>
      <x:c r="G7" s="33" t="s">
        <x:v>58</x:v>
      </x:c>
      <x:c r="H7" s="8" t="s">
        <x:v>27</x:v>
      </x:c>
      <x:c r="I7" s="34"/>
      <x:c r="J7" s="34"/>
      <x:c r="K7" s="7" t="n">
        <x:v>6</x:v>
      </x:c>
      <x:c r="L7" s="35" t="n">
        <x:v>0</x:v>
      </x:c>
      <x:c r="M7" s="35" t="n">
        <x:v>1200</x:v>
      </x:c>
    </x:row>
    <x:row r="8" ht="18" hidden="0" customHeight="1">
      <x:c r="B8" s="7" t="s">
        <x:v>128</x:v>
      </x:c>
      <x:c r="C8" s="7" t="s">
        <x:v>69</x:v>
      </x:c>
      <x:c r="D8" s="8" t="s">
        <x:v>129</x:v>
      </x:c>
      <x:c r="E8" s="7" t="s">
        <x:v>71</x:v>
      </x:c>
      <x:c r="F8" s="7" t="s">
        <x:v>59</x:v>
      </x:c>
      <x:c r="G8" s="33" t="s">
        <x:v>58</x:v>
      </x:c>
      <x:c r="H8" s="8" t="s">
        <x:v>28</x:v>
      </x:c>
      <x:c r="I8" s="34"/>
      <x:c r="J8" s="34"/>
      <x:c r="K8" s="7" t="n">
        <x:v>3</x:v>
      </x:c>
      <x:c r="L8" s="35" t="n">
        <x:v>0</x:v>
      </x:c>
      <x:c r="M8" s="35" t="n">
        <x:v>500</x:v>
      </x:c>
    </x:row>
    <x:row r="9" ht="18" hidden="0" customHeight="1">
      <x:c r="B9" s="7" t="s">
        <x:v>130</x:v>
      </x:c>
      <x:c r="C9" s="7" t="s">
        <x:v>73</x:v>
      </x:c>
      <x:c r="D9" s="8" t="s">
        <x:v>74</x:v>
      </x:c>
      <x:c r="E9" s="7" t="s">
        <x:v>71</x:v>
      </x:c>
      <x:c r="F9" s="7" t="s">
        <x:v>76</x:v>
      </x:c>
      <x:c r="G9" s="33" t="s">
        <x:v>58</x:v>
      </x:c>
      <x:c r="H9" s="8" t="s">
        <x:v>25</x:v>
      </x:c>
      <x:c r="I9" s="34"/>
      <x:c r="J9" s="34"/>
      <x:c r="K9" s="7" t="n">
        <x:v>80</x:v>
      </x:c>
      <x:c r="L9" s="35" t="n">
        <x:v>0</x:v>
      </x:c>
      <x:c r="M9" s="35" t="n">
        <x:v>45000</x:v>
      </x:c>
    </x:row>
    <x:row r="10" ht="18" hidden="0" customHeight="1">
      <x:c r="B10" s="7" t="s">
        <x:v>131</x:v>
      </x:c>
      <x:c r="C10" s="7" t="s">
        <x:v>77</x:v>
      </x:c>
      <x:c r="D10" s="8" t="s">
        <x:v>78</x:v>
      </x:c>
      <x:c r="E10" s="7" t="s">
        <x:v>56</x:v>
      </x:c>
      <x:c r="F10" s="7" t="s">
        <x:v>80</x:v>
      </x:c>
      <x:c r="G10" s="33" t="s">
        <x:v>58</x:v>
      </x:c>
      <x:c r="H10" s="8" t="s">
        <x:v>29</x:v>
      </x:c>
      <x:c r="I10" s="34"/>
      <x:c r="J10" s="34"/>
      <x:c r="K10" s="7" t="n">
        <x:v>4</x:v>
      </x:c>
      <x:c r="L10" s="35" t="n">
        <x:v>0</x:v>
      </x:c>
      <x:c r="M10" s="35" t="n">
        <x:v>300</x:v>
      </x:c>
    </x:row>
    <x:row r="11" ht="18" hidden="0" customHeight="1">
      <x:c r="B11" s="7" t="s">
        <x:v>132</x:v>
      </x:c>
      <x:c r="C11" s="7" t="s">
        <x:v>81</x:v>
      </x:c>
      <x:c r="D11" s="8" t="s">
        <x:v>82</x:v>
      </x:c>
      <x:c r="E11" s="7" t="s">
        <x:v>83</x:v>
      </x:c>
      <x:c r="F11" s="7" t="s">
        <x:v>76</x:v>
      </x:c>
      <x:c r="G11" s="33" t="s">
        <x:v>58</x:v>
      </x:c>
      <x:c r="H11" s="8" t="s">
        <x:v>30</x:v>
      </x:c>
      <x:c r="I11" s="34"/>
      <x:c r="J11" s="34"/>
      <x:c r="K11" s="7" t="n">
        <x:v>60</x:v>
      </x:c>
      <x:c r="L11" s="35" t="n">
        <x:v>0</x:v>
      </x:c>
      <x:c r="M11" s="35" t="n">
        <x:v>38000</x:v>
      </x:c>
    </x:row>
    <x:row r="12" ht="18" hidden="0" customHeight="1">
      <x:c r="B12" s="7" t="s">
        <x:v>133</x:v>
      </x:c>
      <x:c r="C12" s="7" t="s">
        <x:v>84</x:v>
      </x:c>
      <x:c r="D12" s="8" t="s">
        <x:v>85</x:v>
      </x:c>
      <x:c r="E12" s="7" t="s">
        <x:v>86</x:v>
      </x:c>
      <x:c r="F12" s="7" t="s">
        <x:v>64</x:v>
      </x:c>
      <x:c r="G12" s="33" t="s">
        <x:v>58</x:v>
      </x:c>
      <x:c r="H12" s="8" t="s">
        <x:v>27</x:v>
      </x:c>
      <x:c r="I12" s="34"/>
      <x:c r="J12" s="34"/>
      <x:c r="K12" s="7" t="n">
        <x:v>8</x:v>
      </x:c>
      <x:c r="L12" s="35" t="n">
        <x:v>0</x:v>
      </x:c>
      <x:c r="M12" s="35" t="n">
        <x:v>2200</x:v>
      </x:c>
    </x:row>
    <x:row r="13" ht="18" hidden="0" customHeight="1">
      <x:c r="B13" s="7" t="s">
        <x:v>134</x:v>
      </x:c>
      <x:c r="C13" s="7" t="s">
        <x:v>87</x:v>
      </x:c>
      <x:c r="D13" s="8" t="s">
        <x:v>88</x:v>
      </x:c>
      <x:c r="E13" s="7" t="s">
        <x:v>89</x:v>
      </x:c>
      <x:c r="F13" s="7" t="s">
        <x:v>59</x:v>
      </x:c>
      <x:c r="G13" s="33" t="s">
        <x:v>58</x:v>
      </x:c>
      <x:c r="H13" s="8" t="s">
        <x:v>26</x:v>
      </x:c>
      <x:c r="I13" s="34"/>
      <x:c r="J13" s="34"/>
      <x:c r="K13" s="7" t="n">
        <x:v>16</x:v>
      </x:c>
      <x:c r="L13" s="35" t="n">
        <x:v>0</x:v>
      </x:c>
      <x:c r="M13" s="35" t="n">
        <x:v>9500</x:v>
      </x:c>
    </x:row>
    <x:row r="14" ht="18" hidden="0" customHeight="1">
      <x:c r="B14" s="7" t="s">
        <x:v>135</x:v>
      </x:c>
      <x:c r="C14" s="7" t="s">
        <x:v>90</x:v>
      </x:c>
      <x:c r="D14" s="8" t="s">
        <x:v>91</x:v>
      </x:c>
      <x:c r="E14" s="7" t="s">
        <x:v>92</x:v>
      </x:c>
      <x:c r="F14" s="7" t="s">
        <x:v>64</x:v>
      </x:c>
      <x:c r="G14" s="33" t="s">
        <x:v>58</x:v>
      </x:c>
      <x:c r="H14" s="8" t="s">
        <x:v>28</x:v>
      </x:c>
      <x:c r="I14" s="34"/>
      <x:c r="J14" s="34"/>
      <x:c r="K14" s="7" t="n">
        <x:v>6</x:v>
      </x:c>
      <x:c r="L14" s="35" t="n">
        <x:v>0</x:v>
      </x:c>
      <x:c r="M14" s="35" t="n">
        <x:v>1800</x:v>
      </x:c>
    </x:row>
    <x:row r="15" ht="18" hidden="0" customHeight="1">
      <x:c r="B15" s="7"/>
      <x:c r="C15" s="7"/>
      <x:c r="D15" s="7"/>
      <x:c r="E15" s="7"/>
      <x:c r="F15" s="7"/>
      <x:c r="G15" s="7"/>
      <x:c r="H15" s="7"/>
      <x:c r="I15" s="7"/>
      <x:c r="J15" s="7"/>
      <x:c r="K15" s="7"/>
      <x:c r="L15" s="7"/>
      <x:c r="M15" s="7"/>
    </x:row>
    <x:row r="16" ht="18" hidden="0" customHeight="1">
      <x:c r="B16" s="7"/>
      <x:c r="C16" s="7"/>
      <x:c r="D16" s="7"/>
      <x:c r="E16" s="7"/>
      <x:c r="F16" s="7"/>
      <x:c r="G16" s="7"/>
      <x:c r="H16" s="7"/>
      <x:c r="I16" s="7"/>
      <x:c r="J16" s="7"/>
      <x:c r="K16" s="7"/>
      <x:c r="L16" s="7"/>
      <x:c r="M16" s="7"/>
    </x:row>
    <x:row r="17" ht="18" hidden="0" customHeight="1">
      <x:c r="B17" s="7"/>
      <x:c r="C17" s="7"/>
      <x:c r="D17" s="7"/>
      <x:c r="E17" s="7"/>
      <x:c r="F17" s="7"/>
      <x:c r="G17" s="7"/>
      <x:c r="H17" s="7"/>
      <x:c r="I17" s="7"/>
      <x:c r="J17" s="7"/>
      <x:c r="K17" s="7"/>
      <x:c r="L17" s="7"/>
      <x:c r="M17" s="7"/>
    </x:row>
    <x:row r="18" ht="18" hidden="0" customHeight="1">
      <x:c r="B18" s="7"/>
      <x:c r="C18" s="7"/>
      <x:c r="D18" s="7"/>
      <x:c r="E18" s="7"/>
      <x:c r="F18" s="7"/>
      <x:c r="G18" s="7"/>
      <x:c r="H18" s="7"/>
      <x:c r="I18" s="7"/>
      <x:c r="J18" s="7"/>
      <x:c r="K18" s="7"/>
      <x:c r="L18" s="7"/>
      <x:c r="M18" s="7"/>
    </x:row>
    <x:row r="19" ht="18" hidden="0" customHeight="1">
      <x:c r="B19" s="7"/>
      <x:c r="C19" s="7"/>
      <x:c r="D19" s="7"/>
      <x:c r="E19" s="7"/>
      <x:c r="F19" s="7"/>
      <x:c r="G19" s="7"/>
      <x:c r="H19" s="7"/>
      <x:c r="I19" s="7"/>
      <x:c r="J19" s="7"/>
      <x:c r="K19" s="7"/>
      <x:c r="L19" s="7"/>
      <x:c r="M19" s="7"/>
    </x:row>
    <x:row r="20" ht="18" hidden="0" customHeight="1">
      <x:c r="B20" s="7"/>
      <x:c r="C20" s="7"/>
      <x:c r="D20" s="7"/>
      <x:c r="E20" s="7"/>
      <x:c r="F20" s="7"/>
      <x:c r="G20" s="7"/>
      <x:c r="H20" s="7"/>
      <x:c r="I20" s="7"/>
      <x:c r="J20" s="7"/>
      <x:c r="K20" s="7"/>
      <x:c r="L20" s="7"/>
      <x:c r="M20" s="7"/>
    </x:row>
    <x:row r="21" ht="18" hidden="0" customHeight="1">
      <x:c r="B21" s="7"/>
      <x:c r="C21" s="7"/>
      <x:c r="D21" s="7"/>
      <x:c r="E21" s="7"/>
      <x:c r="F21" s="7"/>
      <x:c r="G21" s="7"/>
      <x:c r="H21" s="7"/>
      <x:c r="I21" s="7"/>
      <x:c r="J21" s="7"/>
      <x:c r="K21" s="7"/>
      <x:c r="L21" s="7"/>
      <x:c r="M21" s="7"/>
    </x:row>
    <x:row r="22" ht="18" hidden="0" customHeight="1">
      <x:c r="B22" s="7"/>
      <x:c r="C22" s="7"/>
      <x:c r="D22" s="7"/>
      <x:c r="E22" s="7"/>
      <x:c r="F22" s="7"/>
      <x:c r="G22" s="7"/>
      <x:c r="H22" s="7"/>
      <x:c r="I22" s="7"/>
      <x:c r="J22" s="7"/>
      <x:c r="K22" s="7"/>
      <x:c r="L22" s="7"/>
      <x:c r="M22" s="7"/>
    </x:row>
    <x:row r="23" ht="18" hidden="0" customHeight="1">
      <x:c r="B23" s="7"/>
      <x:c r="C23" s="7"/>
      <x:c r="D23" s="7"/>
      <x:c r="E23" s="7"/>
      <x:c r="F23" s="7"/>
      <x:c r="G23" s="7"/>
      <x:c r="H23" s="7"/>
      <x:c r="I23" s="7"/>
      <x:c r="J23" s="7"/>
      <x:c r="K23" s="7"/>
      <x:c r="L23" s="7"/>
      <x:c r="M23" s="7"/>
    </x:row>
    <x:row r="24" ht="18" hidden="0" customHeight="1">
      <x:c r="B24" s="7"/>
      <x:c r="C24" s="7"/>
      <x:c r="D24" s="7"/>
      <x:c r="E24" s="7"/>
      <x:c r="F24" s="7"/>
      <x:c r="G24" s="7"/>
      <x:c r="H24" s="7"/>
      <x:c r="I24" s="7"/>
      <x:c r="J24" s="7"/>
      <x:c r="K24" s="7"/>
      <x:c r="L24" s="7"/>
      <x:c r="M24" s="7"/>
    </x:row>
    <x:row r="25" ht="18" hidden="0" customHeight="1">
      <x:c r="B25" s="7"/>
      <x:c r="C25" s="7"/>
      <x:c r="D25" s="7"/>
      <x:c r="E25" s="7"/>
      <x:c r="F25" s="7"/>
      <x:c r="G25" s="7"/>
      <x:c r="H25" s="7"/>
      <x:c r="I25" s="7"/>
      <x:c r="J25" s="7"/>
      <x:c r="K25" s="7"/>
      <x:c r="L25" s="7"/>
      <x:c r="M25" s="7"/>
    </x:row>
    <x:row r="26" ht="18" hidden="0" customHeight="1">
      <x:c r="B26" s="7"/>
      <x:c r="C26" s="7"/>
      <x:c r="D26" s="7"/>
      <x:c r="E26" s="7"/>
      <x:c r="F26" s="7"/>
      <x:c r="G26" s="7"/>
      <x:c r="H26" s="7"/>
      <x:c r="I26" s="7"/>
      <x:c r="J26" s="7"/>
      <x:c r="K26" s="7"/>
      <x:c r="L26" s="7"/>
      <x:c r="M26" s="7"/>
    </x:row>
    <x:row r="27" ht="18" hidden="0" customHeight="1">
      <x:c r="B27" s="7"/>
      <x:c r="C27" s="7"/>
      <x:c r="D27" s="7"/>
      <x:c r="E27" s="7"/>
      <x:c r="F27" s="7"/>
      <x:c r="G27" s="7"/>
      <x:c r="H27" s="7"/>
      <x:c r="I27" s="7"/>
      <x:c r="J27" s="7"/>
      <x:c r="K27" s="7"/>
      <x:c r="L27" s="7"/>
      <x:c r="M27" s="7"/>
    </x:row>
    <x:row r="28" ht="18" hidden="0" customHeight="1">
      <x:c r="B28" s="7"/>
      <x:c r="C28" s="7"/>
      <x:c r="D28" s="7"/>
      <x:c r="E28" s="7"/>
      <x:c r="F28" s="7"/>
      <x:c r="G28" s="7"/>
      <x:c r="H28" s="7"/>
      <x:c r="I28" s="7"/>
      <x:c r="J28" s="7"/>
      <x:c r="K28" s="7"/>
      <x:c r="L28" s="7"/>
      <x:c r="M28" s="7"/>
    </x:row>
    <x:row r="29" ht="18" hidden="0" customHeight="1">
      <x:c r="B29" s="7"/>
      <x:c r="C29" s="7"/>
      <x:c r="D29" s="7"/>
      <x:c r="E29" s="7"/>
      <x:c r="F29" s="7"/>
      <x:c r="G29" s="7"/>
      <x:c r="H29" s="7"/>
      <x:c r="I29" s="7"/>
      <x:c r="J29" s="7"/>
      <x:c r="K29" s="7"/>
      <x:c r="L29" s="7"/>
      <x:c r="M29" s="7"/>
    </x:row>
    <x:row r="30" ht="18" hidden="0" customHeight="1">
      <x:c r="B30" s="7"/>
      <x:c r="C30" s="7"/>
      <x:c r="D30" s="7"/>
      <x:c r="E30" s="7"/>
      <x:c r="F30" s="7"/>
      <x:c r="G30" s="7"/>
      <x:c r="H30" s="7"/>
      <x:c r="I30" s="7"/>
      <x:c r="J30" s="7"/>
      <x:c r="K30" s="7"/>
      <x:c r="L30" s="7"/>
      <x:c r="M30" s="7"/>
    </x:row>
    <x:row r="31" ht="18" hidden="0" customHeight="1">
      <x:c r="B31" s="7"/>
      <x:c r="C31" s="7"/>
      <x:c r="D31" s="7"/>
      <x:c r="E31" s="7"/>
      <x:c r="F31" s="7"/>
      <x:c r="G31" s="7"/>
      <x:c r="H31" s="7"/>
      <x:c r="I31" s="7"/>
      <x:c r="J31" s="7"/>
      <x:c r="K31" s="7"/>
      <x:c r="L31" s="7"/>
      <x:c r="M31" s="7"/>
    </x:row>
    <x:row r="32" ht="18" hidden="0" customHeight="1"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  <x:c r="M32" s="7"/>
    </x:row>
    <x:row r="33" ht="18" hidden="0" customHeight="1">
      <x:c r="B33" s="7"/>
      <x:c r="C33" s="7"/>
      <x:c r="D33" s="7"/>
      <x:c r="E33" s="7"/>
      <x:c r="F33" s="7"/>
      <x:c r="G33" s="7"/>
      <x:c r="H33" s="7"/>
      <x:c r="I33" s="7"/>
      <x:c r="J33" s="7"/>
      <x:c r="K33" s="7"/>
      <x:c r="L33" s="7"/>
      <x:c r="M33" s="7"/>
    </x:row>
    <x:row r="34" ht="18" hidden="0" customHeight="1">
      <x:c r="B34" s="7"/>
      <x:c r="C34" s="7"/>
      <x:c r="D34" s="7"/>
      <x:c r="E34" s="7"/>
      <x:c r="F34" s="7"/>
      <x:c r="G34" s="7"/>
      <x:c r="H34" s="7"/>
      <x:c r="I34" s="7"/>
      <x:c r="J34" s="7"/>
      <x:c r="K34" s="7"/>
      <x:c r="L34" s="7"/>
      <x:c r="M34" s="7"/>
    </x:row>
    <x:row r="35" ht="18" hidden="0" customHeight="1">
      <x:c r="B35" s="7"/>
      <x:c r="C35" s="7"/>
      <x:c r="D35" s="7"/>
      <x:c r="E35" s="7"/>
      <x:c r="F35" s="7"/>
      <x:c r="G35" s="7"/>
      <x:c r="H35" s="7"/>
      <x:c r="I35" s="7"/>
      <x:c r="J35" s="7"/>
      <x:c r="K35" s="7"/>
      <x:c r="L35" s="7"/>
      <x:c r="M35" s="7"/>
    </x:row>
    <x:row r="36" ht="18" hidden="0" customHeight="1">
      <x:c r="B36" s="7"/>
      <x:c r="C36" s="7"/>
      <x:c r="D36" s="7"/>
      <x:c r="E36" s="7"/>
      <x:c r="F36" s="7"/>
      <x:c r="G36" s="7"/>
      <x:c r="H36" s="7"/>
      <x:c r="I36" s="7"/>
      <x:c r="J36" s="7"/>
      <x:c r="K36" s="7"/>
      <x:c r="L36" s="7"/>
      <x:c r="M36" s="7"/>
    </x:row>
    <x:row r="37" ht="18" hidden="0" customHeight="1">
      <x:c r="B37" s="7"/>
      <x:c r="C37" s="7"/>
      <x:c r="D37" s="7"/>
      <x:c r="E37" s="7"/>
      <x:c r="F37" s="7"/>
      <x:c r="G37" s="7"/>
      <x:c r="H37" s="7"/>
      <x:c r="I37" s="7"/>
      <x:c r="J37" s="7"/>
      <x:c r="K37" s="7"/>
      <x:c r="L37" s="7"/>
      <x:c r="M37" s="7"/>
    </x:row>
    <x:row r="38" ht="18" hidden="0" customHeight="1">
      <x:c r="B38" s="7"/>
      <x:c r="C38" s="7"/>
      <x:c r="D38" s="7"/>
      <x:c r="E38" s="7"/>
      <x:c r="F38" s="7"/>
      <x:c r="G38" s="7"/>
      <x:c r="H38" s="7"/>
      <x:c r="I38" s="7"/>
      <x:c r="J38" s="7"/>
      <x:c r="K38" s="7"/>
      <x:c r="L38" s="7"/>
      <x:c r="M38" s="7"/>
    </x:row>
    <x:row r="39" ht="18" hidden="0" customHeight="1">
      <x:c r="B39" s="7"/>
      <x:c r="C39" s="7"/>
      <x:c r="D39" s="7"/>
      <x:c r="E39" s="7"/>
      <x:c r="F39" s="7"/>
      <x:c r="G39" s="7"/>
      <x:c r="H39" s="7"/>
      <x:c r="I39" s="7"/>
      <x:c r="J39" s="7"/>
      <x:c r="K39" s="7"/>
      <x:c r="L39" s="7"/>
      <x:c r="M39" s="7"/>
    </x:row>
    <x:row r="40" ht="18" hidden="0" customHeight="1">
      <x:c r="B40" s="7"/>
      <x:c r="C40" s="7"/>
      <x:c r="D40" s="7"/>
      <x:c r="E40" s="7"/>
      <x:c r="F40" s="7"/>
      <x:c r="G40" s="7"/>
      <x:c r="H40" s="7"/>
      <x:c r="I40" s="7"/>
      <x:c r="J40" s="7"/>
      <x:c r="K40" s="7"/>
      <x:c r="L40" s="7"/>
      <x:c r="M40" s="7"/>
    </x:row>
    <x:row r="41" ht="18" hidden="0" customHeight="1">
      <x:c r="B41" s="7"/>
      <x:c r="C41" s="7"/>
      <x:c r="D41" s="7"/>
      <x:c r="E41" s="7"/>
      <x:c r="F41" s="7"/>
      <x:c r="G41" s="7"/>
      <x:c r="H41" s="7"/>
      <x:c r="I41" s="7"/>
      <x:c r="J41" s="7"/>
      <x:c r="K41" s="7"/>
      <x:c r="L41" s="7"/>
      <x:c r="M41" s="7"/>
    </x:row>
    <x:row r="42" ht="18" hidden="0" customHeight="1">
      <x:c r="B42" s="7"/>
      <x:c r="C42" s="7"/>
      <x:c r="D42" s="7"/>
      <x:c r="E42" s="7"/>
      <x:c r="F42" s="7"/>
      <x:c r="G42" s="7"/>
      <x:c r="H42" s="7"/>
      <x:c r="I42" s="7"/>
      <x:c r="J42" s="7"/>
      <x:c r="K42" s="7"/>
      <x:c r="L42" s="7"/>
      <x:c r="M42" s="7"/>
    </x:row>
    <x:row r="43" ht="18" hidden="0" customHeight="1">
      <x:c r="B43" s="7"/>
      <x:c r="C43" s="7"/>
      <x:c r="D43" s="7"/>
      <x:c r="E43" s="7"/>
      <x:c r="F43" s="7"/>
      <x:c r="G43" s="7"/>
      <x:c r="H43" s="7"/>
      <x:c r="I43" s="7"/>
      <x:c r="J43" s="7"/>
      <x:c r="K43" s="7"/>
      <x:c r="L43" s="7"/>
      <x:c r="M43" s="7"/>
    </x:row>
    <x:row r="44" ht="18" hidden="0" customHeight="1">
      <x:c r="B44" s="7"/>
      <x:c r="C44" s="7"/>
      <x:c r="D44" s="7"/>
      <x:c r="E44" s="7"/>
      <x:c r="F44" s="7"/>
      <x:c r="G44" s="7"/>
      <x:c r="H44" s="7"/>
      <x:c r="I44" s="7"/>
      <x:c r="J44" s="7"/>
      <x:c r="K44" s="7"/>
      <x:c r="L44" s="7"/>
      <x:c r="M44" s="7"/>
    </x:row>
    <x:row r="45" ht="18" hidden="0" customHeight="1">
      <x:c r="B45" s="7"/>
      <x:c r="C45" s="7"/>
      <x:c r="D45" s="7"/>
      <x:c r="E45" s="7"/>
      <x:c r="F45" s="7"/>
      <x:c r="G45" s="7"/>
      <x:c r="H45" s="7"/>
      <x:c r="I45" s="7"/>
      <x:c r="J45" s="7"/>
      <x:c r="K45" s="7"/>
      <x:c r="L45" s="7"/>
      <x:c r="M45" s="7"/>
    </x:row>
    <x:row r="46" ht="18" hidden="0" customHeight="1">
      <x:c r="B46" s="7"/>
      <x:c r="C46" s="7"/>
      <x:c r="D46" s="7"/>
      <x:c r="E46" s="7"/>
      <x:c r="F46" s="7"/>
      <x:c r="G46" s="7"/>
      <x:c r="H46" s="7"/>
      <x:c r="I46" s="7"/>
      <x:c r="J46" s="7"/>
      <x:c r="K46" s="7"/>
      <x:c r="L46" s="7"/>
      <x:c r="M46" s="7"/>
    </x:row>
    <x:row r="47" ht="18" hidden="0" customHeight="1">
      <x:c r="B47" s="7"/>
      <x:c r="C47" s="7"/>
      <x:c r="D47" s="7"/>
      <x:c r="E47" s="7"/>
      <x:c r="F47" s="7"/>
      <x:c r="G47" s="7"/>
      <x:c r="H47" s="7"/>
      <x:c r="I47" s="7"/>
      <x:c r="J47" s="7"/>
      <x:c r="K47" s="7"/>
      <x:c r="L47" s="7"/>
      <x:c r="M47" s="7"/>
    </x:row>
    <x:row r="48" ht="18" hidden="0" customHeight="1">
      <x:c r="B48" s="7"/>
      <x:c r="C48" s="7"/>
      <x:c r="D48" s="7"/>
      <x:c r="E48" s="7"/>
      <x:c r="F48" s="7"/>
      <x:c r="G48" s="7"/>
      <x:c r="H48" s="7"/>
      <x:c r="I48" s="7"/>
      <x:c r="J48" s="7"/>
      <x:c r="K48" s="7"/>
      <x:c r="L48" s="7"/>
      <x:c r="M48" s="7"/>
    </x:row>
    <x:row r="49" ht="18" hidden="0" customHeight="1">
      <x:c r="B49" s="7"/>
      <x:c r="C49" s="7"/>
      <x:c r="D49" s="7"/>
      <x:c r="E49" s="7"/>
      <x:c r="F49" s="7"/>
      <x:c r="G49" s="7"/>
      <x:c r="H49" s="7"/>
      <x:c r="I49" s="7"/>
      <x:c r="J49" s="7"/>
      <x:c r="K49" s="7"/>
      <x:c r="L49" s="7"/>
      <x:c r="M49" s="7"/>
    </x:row>
    <x:row r="50" ht="18" hidden="0" customHeight="1">
      <x:c r="B50" s="7"/>
      <x:c r="C50" s="7"/>
      <x:c r="D50" s="7"/>
      <x:c r="E50" s="7"/>
      <x:c r="F50" s="7"/>
      <x:c r="G50" s="7"/>
      <x:c r="H50" s="7"/>
      <x:c r="I50" s="7"/>
      <x:c r="J50" s="7"/>
      <x:c r="K50" s="7"/>
      <x:c r="L50" s="7"/>
      <x:c r="M50" s="7"/>
    </x:row>
    <x:row r="51" ht="18" hidden="0" customHeight="1">
      <x:c r="B51" s="7"/>
      <x:c r="C51" s="7"/>
      <x:c r="D51" s="7"/>
      <x:c r="E51" s="7"/>
      <x:c r="F51" s="7"/>
      <x:c r="G51" s="7"/>
      <x:c r="H51" s="7"/>
      <x:c r="I51" s="7"/>
      <x:c r="J51" s="7"/>
      <x:c r="K51" s="7"/>
      <x:c r="L51" s="7"/>
      <x:c r="M51" s="7"/>
    </x:row>
    <x:row r="52" ht="18" hidden="0" customHeight="1">
      <x:c r="B52" s="7"/>
      <x:c r="C52" s="7"/>
      <x:c r="D52" s="7"/>
      <x:c r="E52" s="7"/>
      <x:c r="F52" s="7"/>
      <x:c r="G52" s="7"/>
      <x:c r="H52" s="7"/>
      <x:c r="I52" s="7"/>
      <x:c r="J52" s="7"/>
      <x:c r="K52" s="7"/>
      <x:c r="L52" s="7"/>
      <x:c r="M52" s="7"/>
    </x:row>
    <x:row r="53" ht="18" hidden="0" customHeight="1">
      <x:c r="B53" s="7"/>
      <x:c r="C53" s="7"/>
      <x:c r="D53" s="7"/>
      <x:c r="E53" s="7"/>
      <x:c r="F53" s="7"/>
      <x:c r="G53" s="7"/>
      <x:c r="H53" s="7"/>
      <x:c r="I53" s="7"/>
      <x:c r="J53" s="7"/>
      <x:c r="K53" s="7"/>
      <x:c r="L53" s="7"/>
      <x:c r="M53" s="7"/>
    </x:row>
    <x:row r="54" ht="18" hidden="0" customHeight="1">
      <x:c r="B54" s="7"/>
      <x:c r="C54" s="7"/>
      <x:c r="D54" s="7"/>
      <x:c r="E54" s="7"/>
      <x:c r="F54" s="7"/>
      <x:c r="G54" s="7"/>
      <x:c r="H54" s="7"/>
      <x:c r="I54" s="7"/>
      <x:c r="J54" s="7"/>
      <x:c r="K54" s="7"/>
      <x:c r="L54" s="7"/>
      <x:c r="M54" s="7"/>
    </x:row>
    <x:row r="55" ht="18" hidden="0" customHeight="1">
      <x:c r="B55" s="7"/>
      <x:c r="C55" s="7"/>
      <x:c r="D55" s="7"/>
      <x:c r="E55" s="7"/>
      <x:c r="F55" s="7"/>
      <x:c r="G55" s="7"/>
      <x:c r="H55" s="7"/>
      <x:c r="I55" s="7"/>
      <x:c r="J55" s="7"/>
      <x:c r="K55" s="7"/>
      <x:c r="L55" s="7"/>
      <x:c r="M55" s="7"/>
    </x:row>
    <x:row r="56" ht="18" hidden="0" customHeight="1">
      <x:c r="B56" s="7"/>
      <x:c r="C56" s="7"/>
      <x:c r="D56" s="7"/>
      <x:c r="E56" s="7"/>
      <x:c r="F56" s="7"/>
      <x:c r="G56" s="7"/>
      <x:c r="H56" s="7"/>
      <x:c r="I56" s="7"/>
      <x:c r="J56" s="7"/>
      <x:c r="K56" s="7"/>
      <x:c r="L56" s="7"/>
      <x:c r="M56" s="7"/>
    </x:row>
    <x:row r="57" ht="18" hidden="0" customHeight="1">
      <x:c r="B57" s="7"/>
      <x:c r="C57" s="7"/>
      <x:c r="D57" s="7"/>
      <x:c r="E57" s="7"/>
      <x:c r="F57" s="7"/>
      <x:c r="G57" s="7"/>
      <x:c r="H57" s="7"/>
      <x:c r="I57" s="7"/>
      <x:c r="J57" s="7"/>
      <x:c r="K57" s="7"/>
      <x:c r="L57" s="7"/>
      <x:c r="M57" s="7"/>
    </x:row>
    <x:row r="58" ht="18" hidden="0" customHeight="1">
      <x:c r="B58" s="7"/>
      <x:c r="C58" s="7"/>
      <x:c r="D58" s="7"/>
      <x:c r="E58" s="7"/>
      <x:c r="F58" s="7"/>
      <x:c r="G58" s="7"/>
      <x:c r="H58" s="7"/>
      <x:c r="I58" s="7"/>
      <x:c r="J58" s="7"/>
      <x:c r="K58" s="7"/>
      <x:c r="L58" s="7"/>
      <x:c r="M58" s="7"/>
    </x:row>
    <x:row r="59" ht="18" hidden="0" customHeight="1">
      <x:c r="B59" s="7"/>
      <x:c r="C59" s="7"/>
      <x:c r="D59" s="7"/>
      <x:c r="E59" s="7"/>
      <x:c r="F59" s="7"/>
      <x:c r="G59" s="7"/>
      <x:c r="H59" s="7"/>
      <x:c r="I59" s="7"/>
      <x:c r="J59" s="7"/>
      <x:c r="K59" s="7"/>
      <x:c r="L59" s="7"/>
      <x:c r="M59" s="7"/>
    </x:row>
    <x:row r="60" ht="18" hidden="0" customHeight="1">
      <x:c r="B60" s="7"/>
      <x:c r="C60" s="7"/>
      <x:c r="D60" s="7"/>
      <x:c r="E60" s="7"/>
      <x:c r="F60" s="7"/>
      <x:c r="G60" s="7"/>
      <x:c r="H60" s="7"/>
      <x:c r="I60" s="7"/>
      <x:c r="J60" s="7"/>
      <x:c r="K60" s="7"/>
      <x:c r="L60" s="7"/>
      <x:c r="M60" s="7"/>
    </x:row>
    <x:row r="61" ht="18" hidden="0" customHeight="1">
      <x:c r="B61" s="7"/>
      <x:c r="C61" s="7"/>
      <x:c r="D61" s="7"/>
      <x:c r="E61" s="7"/>
      <x:c r="F61" s="7"/>
      <x:c r="G61" s="7"/>
      <x:c r="H61" s="7"/>
      <x:c r="I61" s="7"/>
      <x:c r="J61" s="7"/>
      <x:c r="K61" s="7"/>
      <x:c r="L61" s="7"/>
      <x:c r="M61" s="7"/>
    </x:row>
    <x:row r="62" ht="18" hidden="0" customHeight="1">
      <x:c r="B62" s="7"/>
      <x:c r="C62" s="7"/>
      <x:c r="D62" s="7"/>
      <x:c r="E62" s="7"/>
      <x:c r="F62" s="7"/>
      <x:c r="G62" s="7"/>
      <x:c r="H62" s="7"/>
      <x:c r="I62" s="7"/>
      <x:c r="J62" s="7"/>
      <x:c r="K62" s="7"/>
      <x:c r="L62" s="7"/>
      <x:c r="M62" s="7"/>
    </x:row>
    <x:row r="63" ht="18" hidden="0" customHeight="1">
      <x:c r="B63" s="7"/>
      <x:c r="C63" s="7"/>
      <x:c r="D63" s="7"/>
      <x:c r="E63" s="7"/>
      <x:c r="F63" s="7"/>
      <x:c r="G63" s="7"/>
      <x:c r="H63" s="7"/>
      <x:c r="I63" s="7"/>
      <x:c r="J63" s="7"/>
      <x:c r="K63" s="7"/>
      <x:c r="L63" s="7"/>
      <x:c r="M63" s="7"/>
    </x:row>
    <x:row r="64" ht="18" hidden="0" customHeight="1">
      <x:c r="B64" s="7"/>
      <x:c r="C64" s="7"/>
      <x:c r="D64" s="7"/>
      <x:c r="E64" s="7"/>
      <x:c r="F64" s="7"/>
      <x:c r="G64" s="7"/>
      <x:c r="H64" s="7"/>
      <x:c r="I64" s="7"/>
      <x:c r="J64" s="7"/>
      <x:c r="K64" s="7"/>
      <x:c r="L64" s="7"/>
      <x:c r="M64" s="7"/>
    </x:row>
    <x:row r="65" ht="18" hidden="0" customHeight="1">
      <x:c r="B65" s="7"/>
      <x:c r="C65" s="7"/>
      <x:c r="D65" s="7"/>
      <x:c r="E65" s="7"/>
      <x:c r="F65" s="7"/>
      <x:c r="G65" s="7"/>
      <x:c r="H65" s="7"/>
      <x:c r="I65" s="7"/>
      <x:c r="J65" s="7"/>
      <x:c r="K65" s="7"/>
      <x:c r="L65" s="7"/>
      <x:c r="M65" s="7"/>
    </x:row>
    <x:row r="66" ht="18" hidden="0" customHeight="1">
      <x:c r="B66" s="7"/>
      <x:c r="C66" s="7"/>
      <x:c r="D66" s="7"/>
      <x:c r="E66" s="7"/>
      <x:c r="F66" s="7"/>
      <x:c r="G66" s="7"/>
      <x:c r="H66" s="7"/>
      <x:c r="I66" s="7"/>
      <x:c r="J66" s="7"/>
      <x:c r="K66" s="7"/>
      <x:c r="L66" s="7"/>
      <x:c r="M66" s="7"/>
    </x:row>
    <x:row r="67" ht="18" hidden="0" customHeight="1">
      <x:c r="B67" s="7"/>
      <x:c r="C67" s="7"/>
      <x:c r="D67" s="7"/>
      <x:c r="E67" s="7"/>
      <x:c r="F67" s="7"/>
      <x:c r="G67" s="7"/>
      <x:c r="H67" s="7"/>
      <x:c r="I67" s="7"/>
      <x:c r="J67" s="7"/>
      <x:c r="K67" s="7"/>
      <x:c r="L67" s="7"/>
      <x:c r="M67" s="7"/>
    </x:row>
    <x:row r="68" ht="18" hidden="0" customHeight="1">
      <x:c r="B68" s="7"/>
      <x:c r="C68" s="7"/>
      <x:c r="D68" s="7"/>
      <x:c r="E68" s="7"/>
      <x:c r="F68" s="7"/>
      <x:c r="G68" s="7"/>
      <x:c r="H68" s="7"/>
      <x:c r="I68" s="7"/>
      <x:c r="J68" s="7"/>
      <x:c r="K68" s="7"/>
      <x:c r="L68" s="7"/>
      <x:c r="M68" s="7"/>
    </x:row>
    <x:row r="69" ht="18" hidden="0" customHeight="1">
      <x:c r="B69" s="7"/>
      <x:c r="C69" s="7"/>
      <x:c r="D69" s="7"/>
      <x:c r="E69" s="7"/>
      <x:c r="F69" s="7"/>
      <x:c r="G69" s="7"/>
      <x:c r="H69" s="7"/>
      <x:c r="I69" s="7"/>
      <x:c r="J69" s="7"/>
      <x:c r="K69" s="7"/>
      <x:c r="L69" s="7"/>
      <x:c r="M69" s="7"/>
    </x:row>
    <x:row r="70" ht="18" hidden="0" customHeight="1">
      <x:c r="B70" s="7"/>
      <x:c r="C70" s="7"/>
      <x:c r="D70" s="7"/>
      <x:c r="E70" s="7"/>
      <x:c r="F70" s="7"/>
      <x:c r="G70" s="7"/>
      <x:c r="H70" s="7"/>
      <x:c r="I70" s="7"/>
      <x:c r="J70" s="7"/>
      <x:c r="K70" s="7"/>
      <x:c r="L70" s="7"/>
      <x:c r="M70" s="7"/>
    </x:row>
    <x:row r="71" ht="18" hidden="0" customHeight="1">
      <x:c r="B71" s="7"/>
      <x:c r="C71" s="7"/>
      <x:c r="D71" s="7"/>
      <x:c r="E71" s="7"/>
      <x:c r="F71" s="7"/>
      <x:c r="G71" s="7"/>
      <x:c r="H71" s="7"/>
      <x:c r="I71" s="7"/>
      <x:c r="J71" s="7"/>
      <x:c r="K71" s="7"/>
      <x:c r="L71" s="7"/>
      <x:c r="M71" s="7"/>
    </x:row>
    <x:row r="72" ht="18" hidden="0" customHeight="1">
      <x:c r="B72" s="7"/>
      <x:c r="C72" s="7"/>
      <x:c r="D72" s="7"/>
      <x:c r="E72" s="7"/>
      <x:c r="F72" s="7"/>
      <x:c r="G72" s="7"/>
      <x:c r="H72" s="7"/>
      <x:c r="I72" s="7"/>
      <x:c r="J72" s="7"/>
      <x:c r="K72" s="7"/>
      <x:c r="L72" s="7"/>
      <x:c r="M72" s="7"/>
    </x:row>
    <x:row r="73" ht="18" hidden="0" customHeight="1">
      <x:c r="B73" s="7"/>
      <x:c r="C73" s="7"/>
      <x:c r="D73" s="7"/>
      <x:c r="E73" s="7"/>
      <x:c r="F73" s="7"/>
      <x:c r="G73" s="7"/>
      <x:c r="H73" s="7"/>
      <x:c r="I73" s="7"/>
      <x:c r="J73" s="7"/>
      <x:c r="K73" s="7"/>
      <x:c r="L73" s="7"/>
      <x:c r="M73" s="7"/>
    </x:row>
    <x:row r="74" ht="18" hidden="0" customHeight="1">
      <x:c r="B74" s="7"/>
      <x:c r="C74" s="7"/>
      <x:c r="D74" s="7"/>
      <x:c r="E74" s="7"/>
      <x:c r="F74" s="7"/>
      <x:c r="G74" s="7"/>
      <x:c r="H74" s="7"/>
      <x:c r="I74" s="7"/>
      <x:c r="J74" s="7"/>
      <x:c r="K74" s="7"/>
      <x:c r="L74" s="7"/>
      <x:c r="M74" s="7"/>
    </x:row>
    <x:row r="75" ht="18" hidden="0" customHeight="1">
      <x:c r="B75" s="7"/>
      <x:c r="C75" s="7"/>
      <x:c r="D75" s="7"/>
      <x:c r="E75" s="7"/>
      <x:c r="F75" s="7"/>
      <x:c r="G75" s="7"/>
      <x:c r="H75" s="7"/>
      <x:c r="I75" s="7"/>
      <x:c r="J75" s="7"/>
      <x:c r="K75" s="7"/>
      <x:c r="L75" s="7"/>
      <x:c r="M75" s="7"/>
    </x:row>
    <x:row r="76" ht="18" hidden="0" customHeight="1">
      <x:c r="B76" s="7"/>
      <x:c r="C76" s="7"/>
      <x:c r="D76" s="7"/>
      <x:c r="E76" s="7"/>
      <x:c r="F76" s="7"/>
      <x:c r="G76" s="7"/>
      <x:c r="H76" s="7"/>
      <x:c r="I76" s="7"/>
      <x:c r="J76" s="7"/>
      <x:c r="K76" s="7"/>
      <x:c r="L76" s="7"/>
      <x:c r="M76" s="7"/>
    </x:row>
    <x:row r="77" ht="18" hidden="0" customHeight="1">
      <x:c r="B77" s="7"/>
      <x:c r="C77" s="7"/>
      <x:c r="D77" s="7"/>
      <x:c r="E77" s="7"/>
      <x:c r="F77" s="7"/>
      <x:c r="G77" s="7"/>
      <x:c r="H77" s="7"/>
      <x:c r="I77" s="7"/>
      <x:c r="J77" s="7"/>
      <x:c r="K77" s="7"/>
      <x:c r="L77" s="7"/>
      <x:c r="M77" s="7"/>
    </x:row>
    <x:row r="78" ht="18" hidden="0" customHeight="1">
      <x:c r="B78" s="7"/>
      <x:c r="C78" s="7"/>
      <x:c r="D78" s="7"/>
      <x:c r="E78" s="7"/>
      <x:c r="F78" s="7"/>
      <x:c r="G78" s="7"/>
      <x:c r="H78" s="7"/>
      <x:c r="I78" s="7"/>
      <x:c r="J78" s="7"/>
      <x:c r="K78" s="7"/>
      <x:c r="L78" s="7"/>
      <x:c r="M78" s="7"/>
    </x:row>
    <x:row r="79" ht="18" hidden="0" customHeight="1">
      <x:c r="B79" s="7"/>
      <x:c r="C79" s="7"/>
      <x:c r="D79" s="7"/>
      <x:c r="E79" s="7"/>
      <x:c r="F79" s="7"/>
      <x:c r="G79" s="7"/>
      <x:c r="H79" s="7"/>
      <x:c r="I79" s="7"/>
      <x:c r="J79" s="7"/>
      <x:c r="K79" s="7"/>
      <x:c r="L79" s="7"/>
      <x:c r="M79" s="7"/>
    </x:row>
    <x:row r="80" ht="18" hidden="0" customHeight="1">
      <x:c r="B80" s="7"/>
      <x:c r="C80" s="7"/>
      <x:c r="D80" s="7"/>
      <x:c r="E80" s="7"/>
      <x:c r="F80" s="7"/>
      <x:c r="G80" s="7"/>
      <x:c r="H80" s="7"/>
      <x:c r="I80" s="7"/>
      <x:c r="J80" s="7"/>
      <x:c r="K80" s="7"/>
      <x:c r="L80" s="7"/>
      <x:c r="M80" s="7"/>
    </x:row>
    <x:row r="81" ht="18" hidden="0" customHeight="1">
      <x:c r="B81" s="7"/>
      <x:c r="C81" s="7"/>
      <x:c r="D81" s="7"/>
      <x:c r="E81" s="7"/>
      <x:c r="F81" s="7"/>
      <x:c r="G81" s="7"/>
      <x:c r="H81" s="7"/>
      <x:c r="I81" s="7"/>
      <x:c r="J81" s="7"/>
      <x:c r="K81" s="7"/>
      <x:c r="L81" s="7"/>
      <x:c r="M81" s="7"/>
    </x:row>
    <x:row r="82" ht="18" hidden="0" customHeight="1">
      <x:c r="B82" s="7"/>
      <x:c r="C82" s="7"/>
      <x:c r="D82" s="7"/>
      <x:c r="E82" s="7"/>
      <x:c r="F82" s="7"/>
      <x:c r="G82" s="7"/>
      <x:c r="H82" s="7"/>
      <x:c r="I82" s="7"/>
      <x:c r="J82" s="7"/>
      <x:c r="K82" s="7"/>
      <x:c r="L82" s="7"/>
      <x:c r="M82" s="7"/>
    </x:row>
    <x:row r="83" ht="18" hidden="0" customHeight="1">
      <x:c r="B83" s="7"/>
      <x:c r="C83" s="7"/>
      <x:c r="D83" s="7"/>
      <x:c r="E83" s="7"/>
      <x:c r="F83" s="7"/>
      <x:c r="G83" s="7"/>
      <x:c r="H83" s="7"/>
      <x:c r="I83" s="7"/>
      <x:c r="J83" s="7"/>
      <x:c r="K83" s="7"/>
      <x:c r="L83" s="7"/>
      <x:c r="M83" s="7"/>
    </x:row>
    <x:row r="84" ht="18" hidden="0" customHeight="1">
      <x:c r="B84" s="7"/>
      <x:c r="C84" s="7"/>
      <x:c r="D84" s="7"/>
      <x:c r="E84" s="7"/>
      <x:c r="F84" s="7"/>
      <x:c r="G84" s="7"/>
      <x:c r="H84" s="7"/>
      <x:c r="I84" s="7"/>
      <x:c r="J84" s="7"/>
      <x:c r="K84" s="7"/>
      <x:c r="L84" s="7"/>
      <x:c r="M84" s="7"/>
    </x:row>
    <x:row r="85" ht="18" hidden="0" customHeight="1">
      <x:c r="B85" s="7"/>
      <x:c r="C85" s="7"/>
      <x:c r="D85" s="7"/>
      <x:c r="E85" s="7"/>
      <x:c r="F85" s="7"/>
      <x:c r="G85" s="7"/>
      <x:c r="H85" s="7"/>
      <x:c r="I85" s="7"/>
      <x:c r="J85" s="7"/>
      <x:c r="K85" s="7"/>
      <x:c r="L85" s="7"/>
      <x:c r="M85" s="7"/>
    </x:row>
    <x:row r="86" ht="18" hidden="0" customHeight="1">
      <x:c r="B86" s="7"/>
      <x:c r="C86" s="7"/>
      <x:c r="D86" s="7"/>
      <x:c r="E86" s="7"/>
      <x:c r="F86" s="7"/>
      <x:c r="G86" s="7"/>
      <x:c r="H86" s="7"/>
      <x:c r="I86" s="7"/>
      <x:c r="J86" s="7"/>
      <x:c r="K86" s="7"/>
      <x:c r="L86" s="7"/>
      <x:c r="M86" s="7"/>
    </x:row>
    <x:row r="87" ht="18" hidden="0" customHeight="1">
      <x:c r="B87" s="7"/>
      <x:c r="C87" s="7"/>
      <x:c r="D87" s="7"/>
      <x:c r="E87" s="7"/>
      <x:c r="F87" s="7"/>
      <x:c r="G87" s="7"/>
      <x:c r="H87" s="7"/>
      <x:c r="I87" s="7"/>
      <x:c r="J87" s="7"/>
      <x:c r="K87" s="7"/>
      <x:c r="L87" s="7"/>
      <x:c r="M87" s="7"/>
    </x:row>
    <x:row r="88" ht="18" hidden="0" customHeight="1">
      <x:c r="B88" s="7"/>
      <x:c r="C88" s="7"/>
      <x:c r="D88" s="7"/>
      <x:c r="E88" s="7"/>
      <x:c r="F88" s="7"/>
      <x:c r="G88" s="7"/>
      <x:c r="H88" s="7"/>
      <x:c r="I88" s="7"/>
      <x:c r="J88" s="7"/>
      <x:c r="K88" s="7"/>
      <x:c r="L88" s="7"/>
      <x:c r="M88" s="7"/>
    </x:row>
    <x:row r="89" ht="18" hidden="0" customHeight="1">
      <x:c r="B89" s="7"/>
      <x:c r="C89" s="7"/>
      <x:c r="D89" s="7"/>
      <x:c r="E89" s="7"/>
      <x:c r="F89" s="7"/>
      <x:c r="G89" s="7"/>
      <x:c r="H89" s="7"/>
      <x:c r="I89" s="7"/>
      <x:c r="J89" s="7"/>
      <x:c r="K89" s="7"/>
      <x:c r="L89" s="7"/>
      <x:c r="M89" s="7"/>
    </x:row>
    <x:row r="90" ht="18" hidden="0" customHeight="1">
      <x:c r="B90" s="7"/>
      <x:c r="C90" s="7"/>
      <x:c r="D90" s="7"/>
      <x:c r="E90" s="7"/>
      <x:c r="F90" s="7"/>
      <x:c r="G90" s="7"/>
      <x:c r="H90" s="7"/>
      <x:c r="I90" s="7"/>
      <x:c r="J90" s="7"/>
      <x:c r="K90" s="7"/>
      <x:c r="L90" s="7"/>
      <x:c r="M90" s="7"/>
    </x:row>
    <x:row r="91" ht="18" hidden="0" customHeight="1">
      <x:c r="B91" s="7"/>
      <x:c r="C91" s="7"/>
      <x:c r="D91" s="7"/>
      <x:c r="E91" s="7"/>
      <x:c r="F91" s="7"/>
      <x:c r="G91" s="7"/>
      <x:c r="H91" s="7"/>
      <x:c r="I91" s="7"/>
      <x:c r="J91" s="7"/>
      <x:c r="K91" s="7"/>
      <x:c r="L91" s="7"/>
      <x:c r="M91" s="7"/>
    </x:row>
    <x:row r="92" ht="18" hidden="0" customHeight="1">
      <x:c r="B92" s="7"/>
      <x:c r="C92" s="7"/>
      <x:c r="D92" s="7"/>
      <x:c r="E92" s="7"/>
      <x:c r="F92" s="7"/>
      <x:c r="G92" s="7"/>
      <x:c r="H92" s="7"/>
      <x:c r="I92" s="7"/>
      <x:c r="J92" s="7"/>
      <x:c r="K92" s="7"/>
      <x:c r="L92" s="7"/>
      <x:c r="M92" s="7"/>
    </x:row>
    <x:row r="93" ht="18" hidden="0" customHeight="1">
      <x:c r="B93" s="7"/>
      <x:c r="C93" s="7"/>
      <x:c r="D93" s="7"/>
      <x:c r="E93" s="7"/>
      <x:c r="F93" s="7"/>
      <x:c r="G93" s="7"/>
      <x:c r="H93" s="7"/>
      <x:c r="I93" s="7"/>
      <x:c r="J93" s="7"/>
      <x:c r="K93" s="7"/>
      <x:c r="L93" s="7"/>
      <x:c r="M93" s="7"/>
    </x:row>
    <x:row r="94" ht="18" hidden="0" customHeight="1">
      <x:c r="B94" s="7"/>
      <x:c r="C94" s="7"/>
      <x:c r="D94" s="7"/>
      <x:c r="E94" s="7"/>
      <x:c r="F94" s="7"/>
      <x:c r="G94" s="7"/>
      <x:c r="H94" s="7"/>
      <x:c r="I94" s="7"/>
      <x:c r="J94" s="7"/>
      <x:c r="K94" s="7"/>
      <x:c r="L94" s="7"/>
      <x:c r="M94" s="7"/>
    </x:row>
    <x:row r="95" ht="18" hidden="0" customHeight="1">
      <x:c r="B95" s="7"/>
      <x:c r="C95" s="7"/>
      <x:c r="D95" s="7"/>
      <x:c r="E95" s="7"/>
      <x:c r="F95" s="7"/>
      <x:c r="G95" s="7"/>
      <x:c r="H95" s="7"/>
      <x:c r="I95" s="7"/>
      <x:c r="J95" s="7"/>
      <x:c r="K95" s="7"/>
      <x:c r="L95" s="7"/>
      <x:c r="M95" s="7"/>
    </x:row>
    <x:row r="96" ht="18" hidden="0" customHeight="1">
      <x:c r="B96" s="7"/>
      <x:c r="C96" s="7"/>
      <x:c r="D96" s="7"/>
      <x:c r="E96" s="7"/>
      <x:c r="F96" s="7"/>
      <x:c r="G96" s="7"/>
      <x:c r="H96" s="7"/>
      <x:c r="I96" s="7"/>
      <x:c r="J96" s="7"/>
      <x:c r="K96" s="7"/>
      <x:c r="L96" s="7"/>
      <x:c r="M96" s="7"/>
    </x:row>
    <x:row r="97" ht="18" hidden="0" customHeight="1">
      <x:c r="B97" s="7"/>
      <x:c r="C97" s="7"/>
      <x:c r="D97" s="7"/>
      <x:c r="E97" s="7"/>
      <x:c r="F97" s="7"/>
      <x:c r="G97" s="7"/>
      <x:c r="H97" s="7"/>
      <x:c r="I97" s="7"/>
      <x:c r="J97" s="7"/>
      <x:c r="K97" s="7"/>
      <x:c r="L97" s="7"/>
      <x:c r="M97" s="7"/>
    </x:row>
    <x:row r="98" ht="18" hidden="0" customHeight="1">
      <x:c r="B98" s="7"/>
      <x:c r="C98" s="7"/>
      <x:c r="D98" s="7"/>
      <x:c r="E98" s="7"/>
      <x:c r="F98" s="7"/>
      <x:c r="G98" s="7"/>
      <x:c r="H98" s="7"/>
      <x:c r="I98" s="7"/>
      <x:c r="J98" s="7"/>
      <x:c r="K98" s="7"/>
      <x:c r="L98" s="7"/>
      <x:c r="M98" s="7"/>
    </x:row>
    <x:row r="99" ht="18" hidden="0" customHeight="1">
      <x:c r="B99" s="7"/>
      <x:c r="C99" s="7"/>
      <x:c r="D99" s="7"/>
      <x:c r="E99" s="7"/>
      <x:c r="F99" s="7"/>
      <x:c r="G99" s="7"/>
      <x:c r="H99" s="7"/>
      <x:c r="I99" s="7"/>
      <x:c r="J99" s="7"/>
      <x:c r="K99" s="7"/>
      <x:c r="L99" s="7"/>
      <x:c r="M99" s="7"/>
    </x:row>
    <x:row r="100" ht="18" hidden="0" customHeight="1">
      <x:c r="B100" s="7"/>
      <x:c r="C100" s="7"/>
      <x:c r="D100" s="7"/>
      <x:c r="E100" s="7"/>
      <x:c r="F100" s="7"/>
      <x:c r="G100" s="7"/>
      <x:c r="H100" s="7"/>
      <x:c r="I100" s="7"/>
      <x:c r="J100" s="7"/>
      <x:c r="K100" s="7"/>
      <x:c r="L100" s="7"/>
      <x:c r="M100" s="7"/>
    </x:row>
    <x:row r="101" ht="18" hidden="0" customHeight="1">
      <x:c r="B101" s="7"/>
      <x:c r="C101" s="7"/>
      <x:c r="D101" s="7"/>
      <x:c r="E101" s="7"/>
      <x:c r="F101" s="7"/>
      <x:c r="G101" s="7"/>
      <x:c r="H101" s="7"/>
      <x:c r="I101" s="7"/>
      <x:c r="J101" s="7"/>
      <x:c r="K101" s="7"/>
      <x:c r="L101" s="7"/>
      <x:c r="M101" s="7"/>
    </x:row>
    <x:row r="102" ht="18" hidden="0" customHeight="1">
      <x:c r="B102" s="7"/>
      <x:c r="C102" s="7"/>
      <x:c r="D102" s="7"/>
      <x:c r="E102" s="7"/>
      <x:c r="F102" s="7"/>
      <x:c r="G102" s="7"/>
      <x:c r="H102" s="7"/>
      <x:c r="I102" s="7"/>
      <x:c r="J102" s="7"/>
      <x:c r="K102" s="7"/>
      <x:c r="L102" s="7"/>
      <x:c r="M102" s="7"/>
    </x:row>
    <x:row r="103" ht="18" hidden="0" customHeight="1">
      <x:c r="B103" s="7"/>
      <x:c r="C103" s="7"/>
      <x:c r="D103" s="7"/>
      <x:c r="E103" s="7"/>
      <x:c r="F103" s="7"/>
      <x:c r="G103" s="7"/>
      <x:c r="H103" s="7"/>
      <x:c r="I103" s="7"/>
      <x:c r="J103" s="7"/>
      <x:c r="K103" s="7"/>
      <x:c r="L103" s="7"/>
      <x:c r="M103" s="7"/>
    </x:row>
    <x:row r="104" ht="18" hidden="0" customHeight="1">
      <x:c r="B104" s="7"/>
      <x:c r="C104" s="7"/>
      <x:c r="D104" s="7"/>
      <x:c r="E104" s="7"/>
      <x:c r="F104" s="7"/>
      <x:c r="G104" s="7"/>
      <x:c r="H104" s="7"/>
      <x:c r="I104" s="7"/>
      <x:c r="J104" s="7"/>
      <x:c r="K104" s="7"/>
      <x:c r="L104" s="7"/>
      <x:c r="M104" s="7"/>
    </x:row>
    <x:row r="105" ht="21.75" hidden="0" customHeight="1">
      <x:c r="B105" s="36" t="s">
        <x:v>136</x:v>
      </x:c>
      <x:c r="C105" s="36"/>
      <x:c r="D105" s="36"/>
      <x:c r="E105" s="36"/>
      <x:c r="F105" s="36"/>
      <x:c r="G105" s="36"/>
      <x:c r="H105" s="36"/>
      <x:c r="I105" s="36"/>
      <x:c r="J105" s="36"/>
      <x:c r="K105" s="37" t="n">
        <x:f aca="0">SUM(K5:K104)</x:f>
        <x:v>195</x:v>
      </x:c>
      <x:c r="L105" s="37" t="n">
        <x:f aca="0">SUM(L5:L104)</x:f>
        <x:v>0</x:v>
      </x:c>
      <x:c r="M105" s="37" t="n">
        <x:f aca="0">SUM(M5:M104)</x:f>
        <x:v>102800</x:v>
      </x:c>
    </x:row>
  </x:sheetData>
  <x:mergeCells>
    <x:mergeCell ref="B2:M2"/>
    <x:mergeCell ref="B3:M3"/>
    <x:mergeCell ref="B105:J105"/>
  </x:mergeCells>
  <x:dataValidations count="2">
    <x:dataValidation type="list" errorStyle="stop" operator="between" allowBlank="1" showDropDown="0" showInputMessage="0" showErrorMessage="0" sqref="G5:G104">
      <x:formula1>"Planned,In Progress,Complete,Overdue,Cancelled"</x:formula1>
      <x:formula2>0</x:formula2>
    </x:dataValidation>
    <x:dataValidation type="list" errorStyle="stop" operator="between" allowBlank="1" showDropDown="0" showInputMessage="0" showErrorMessage="0" sqref="F5:F104">
      <x:formula1>"Critical,High,Medium,Low"</x:formula1>
      <x:formula2>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E8449"/>
  </x:sheetPr>
  <x:sheetViews>
    <x:sheetView showGridLines="0" workbookViewId="0"/>
  </x:sheetViews>
  <x:sheetFormatPr defaultColWidth="8.6796875" defaultRowHeight="15"/>
  <x:cols>
    <x:col min="1" max="1" width="3" hidden="0" customWidth="1"/>
    <x:col min="2" max="2" width="22" hidden="0" customWidth="1"/>
    <x:col min="3" max="14" width="9" hidden="0" customWidth="1"/>
    <x:col min="15" max="15" width="11" hidden="0" customWidth="1"/>
    <x:col min="16" max="16" width="3" hidden="0" customWidth="1"/>
  </x:cols>
  <x:sheetData>
    <x:row r="2" ht="36" hidden="0" customHeight="1">
      <x:c r="A2" s="10"/>
      <x:c r="B2" s="38" t="s">
        <x:v>137</x:v>
      </x:c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</x:row>
    <x:row r="3" ht="7.5" hidden="0" customHeight="1"/>
    <x:row r="4" ht="21.75" hidden="0" customHeight="1">
      <x:c r="B4" s="13" t="s">
        <x:v>138</x:v>
      </x:c>
      <x:c r="C4" s="13" t="s">
        <x:v>139</x:v>
      </x:c>
      <x:c r="D4" s="13" t="s">
        <x:v>140</x:v>
      </x:c>
      <x:c r="E4" s="13" t="s">
        <x:v>141</x:v>
      </x:c>
      <x:c r="F4" s="13" t="s">
        <x:v>142</x:v>
      </x:c>
      <x:c r="G4" s="13" t="s">
        <x:v>143</x:v>
      </x:c>
      <x:c r="H4" s="13" t="s">
        <x:v>144</x:v>
      </x:c>
      <x:c r="I4" s="13" t="s">
        <x:v>145</x:v>
      </x:c>
      <x:c r="J4" s="13" t="s">
        <x:v>146</x:v>
      </x:c>
      <x:c r="K4" s="13" t="s">
        <x:v>147</x:v>
      </x:c>
      <x:c r="L4" s="13" t="s">
        <x:v>148</x:v>
      </x:c>
      <x:c r="M4" s="13" t="s">
        <x:v>149</x:v>
      </x:c>
      <x:c r="N4" s="13" t="s">
        <x:v>150</x:v>
      </x:c>
      <x:c r="O4" s="13" t="s">
        <x:v>151</x:v>
      </x:c>
    </x:row>
    <x:row r="5" ht="18" hidden="0" customHeight="1">
      <x:c r="B5" s="6" t="s">
        <x:v>25</x:v>
      </x:c>
      <x:c r="C5" s="39" t="n">
        <x:v>0</x:v>
      </x:c>
      <x:c r="D5" s="39" t="n">
        <x:v>0</x:v>
      </x:c>
      <x:c r="E5" s="39" t="n">
        <x:v>0</x:v>
      </x:c>
      <x:c r="F5" s="39" t="n">
        <x:v>0</x:v>
      </x:c>
      <x:c r="G5" s="39" t="n">
        <x:v>0</x:v>
      </x:c>
      <x:c r="H5" s="39" t="n">
        <x:v>0</x:v>
      </x:c>
      <x:c r="I5" s="39" t="n">
        <x:v>0</x:v>
      </x:c>
      <x:c r="J5" s="39" t="n">
        <x:v>0</x:v>
      </x:c>
      <x:c r="K5" s="39" t="n">
        <x:v>0</x:v>
      </x:c>
      <x:c r="L5" s="39" t="n">
        <x:v>0</x:v>
      </x:c>
      <x:c r="M5" s="39" t="n">
        <x:v>0</x:v>
      </x:c>
      <x:c r="N5" s="39" t="n">
        <x:v>0</x:v>
      </x:c>
      <x:c r="O5" s="40" t="n">
        <x:f aca="0">SUM(C5:N5)</x:f>
        <x:v>0</x:v>
      </x:c>
    </x:row>
    <x:row r="6" ht="18" hidden="0" customHeight="1">
      <x:c r="B6" s="41" t="s">
        <x:v>152</x:v>
      </x:c>
      <x:c r="C6" s="42" t="n">
        <x:v>176</x:v>
      </x:c>
      <x:c r="D6" s="42" t="n">
        <x:v>176</x:v>
      </x:c>
      <x:c r="E6" s="42" t="n">
        <x:v>176</x:v>
      </x:c>
      <x:c r="F6" s="42" t="n">
        <x:v>176</x:v>
      </x:c>
      <x:c r="G6" s="42" t="n">
        <x:v>176</x:v>
      </x:c>
      <x:c r="H6" s="42" t="n">
        <x:v>176</x:v>
      </x:c>
      <x:c r="I6" s="42" t="n">
        <x:v>176</x:v>
      </x:c>
      <x:c r="J6" s="42" t="n">
        <x:v>176</x:v>
      </x:c>
      <x:c r="K6" s="42" t="n">
        <x:v>176</x:v>
      </x:c>
      <x:c r="L6" s="42" t="n">
        <x:v>176</x:v>
      </x:c>
      <x:c r="M6" s="42" t="n">
        <x:v>176</x:v>
      </x:c>
      <x:c r="N6" s="42" t="n">
        <x:v>176</x:v>
      </x:c>
      <x:c r="O6" s="43" t="n">
        <x:f aca="0">176*12</x:f>
        <x:v>2112</x:v>
      </x:c>
    </x:row>
    <x:row r="7" ht="7.5" hidden="0" customHeight="1"/>
    <x:row r="8" ht="18" hidden="0" customHeight="1">
      <x:c r="B8" s="44" t="s">
        <x:v>26</x:v>
      </x:c>
      <x:c r="C8" s="39" t="n">
        <x:v>0</x:v>
      </x:c>
      <x:c r="D8" s="39" t="n">
        <x:v>0</x:v>
      </x:c>
      <x:c r="E8" s="39" t="n">
        <x:v>0</x:v>
      </x:c>
      <x:c r="F8" s="39" t="n">
        <x:v>0</x:v>
      </x:c>
      <x:c r="G8" s="39" t="n">
        <x:v>0</x:v>
      </x:c>
      <x:c r="H8" s="39" t="n">
        <x:v>0</x:v>
      </x:c>
      <x:c r="I8" s="39" t="n">
        <x:v>0</x:v>
      </x:c>
      <x:c r="J8" s="39" t="n">
        <x:v>0</x:v>
      </x:c>
      <x:c r="K8" s="39" t="n">
        <x:v>0</x:v>
      </x:c>
      <x:c r="L8" s="39" t="n">
        <x:v>0</x:v>
      </x:c>
      <x:c r="M8" s="39" t="n">
        <x:v>0</x:v>
      </x:c>
      <x:c r="N8" s="39" t="n">
        <x:v>0</x:v>
      </x:c>
      <x:c r="O8" s="40" t="n">
        <x:f aca="0">SUM(C8:N8)</x:f>
        <x:v>0</x:v>
      </x:c>
    </x:row>
    <x:row r="9" ht="18" hidden="0" customHeight="1">
      <x:c r="B9" s="41" t="s">
        <x:v>152</x:v>
      </x:c>
      <x:c r="C9" s="42" t="n">
        <x:v>176</x:v>
      </x:c>
      <x:c r="D9" s="42" t="n">
        <x:v>176</x:v>
      </x:c>
      <x:c r="E9" s="42" t="n">
        <x:v>176</x:v>
      </x:c>
      <x:c r="F9" s="42" t="n">
        <x:v>176</x:v>
      </x:c>
      <x:c r="G9" s="42" t="n">
        <x:v>176</x:v>
      </x:c>
      <x:c r="H9" s="42" t="n">
        <x:v>176</x:v>
      </x:c>
      <x:c r="I9" s="42" t="n">
        <x:v>176</x:v>
      </x:c>
      <x:c r="J9" s="42" t="n">
        <x:v>176</x:v>
      </x:c>
      <x:c r="K9" s="42" t="n">
        <x:v>176</x:v>
      </x:c>
      <x:c r="L9" s="42" t="n">
        <x:v>176</x:v>
      </x:c>
      <x:c r="M9" s="42" t="n">
        <x:v>176</x:v>
      </x:c>
      <x:c r="N9" s="42" t="n">
        <x:v>176</x:v>
      </x:c>
      <x:c r="O9" s="43" t="n">
        <x:f aca="0">176*12</x:f>
        <x:v>2112</x:v>
      </x:c>
    </x:row>
    <x:row r="10" ht="7.5" hidden="0" customHeight="1"/>
    <x:row r="11" ht="18" hidden="0" customHeight="1">
      <x:c r="B11" s="6" t="s">
        <x:v>27</x:v>
      </x:c>
      <x:c r="C11" s="39" t="n">
        <x:v>0</x:v>
      </x:c>
      <x:c r="D11" s="39" t="n">
        <x:v>0</x:v>
      </x:c>
      <x:c r="E11" s="39" t="n">
        <x:v>0</x:v>
      </x:c>
      <x:c r="F11" s="39" t="n">
        <x:v>0</x:v>
      </x:c>
      <x:c r="G11" s="39" t="n">
        <x:v>0</x:v>
      </x:c>
      <x:c r="H11" s="39" t="n">
        <x:v>0</x:v>
      </x:c>
      <x:c r="I11" s="39" t="n">
        <x:v>0</x:v>
      </x:c>
      <x:c r="J11" s="39" t="n">
        <x:v>0</x:v>
      </x:c>
      <x:c r="K11" s="39" t="n">
        <x:v>0</x:v>
      </x:c>
      <x:c r="L11" s="39" t="n">
        <x:v>0</x:v>
      </x:c>
      <x:c r="M11" s="39" t="n">
        <x:v>0</x:v>
      </x:c>
      <x:c r="N11" s="39" t="n">
        <x:v>0</x:v>
      </x:c>
      <x:c r="O11" s="40" t="n">
        <x:f aca="0">SUM(C11:N11)</x:f>
        <x:v>0</x:v>
      </x:c>
    </x:row>
    <x:row r="12" ht="18" hidden="0" customHeight="1">
      <x:c r="B12" s="41" t="s">
        <x:v>152</x:v>
      </x:c>
      <x:c r="C12" s="42" t="n">
        <x:v>176</x:v>
      </x:c>
      <x:c r="D12" s="42" t="n">
        <x:v>176</x:v>
      </x:c>
      <x:c r="E12" s="42" t="n">
        <x:v>176</x:v>
      </x:c>
      <x:c r="F12" s="42" t="n">
        <x:v>176</x:v>
      </x:c>
      <x:c r="G12" s="42" t="n">
        <x:v>176</x:v>
      </x:c>
      <x:c r="H12" s="42" t="n">
        <x:v>176</x:v>
      </x:c>
      <x:c r="I12" s="42" t="n">
        <x:v>176</x:v>
      </x:c>
      <x:c r="J12" s="42" t="n">
        <x:v>176</x:v>
      </x:c>
      <x:c r="K12" s="42" t="n">
        <x:v>176</x:v>
      </x:c>
      <x:c r="L12" s="42" t="n">
        <x:v>176</x:v>
      </x:c>
      <x:c r="M12" s="42" t="n">
        <x:v>176</x:v>
      </x:c>
      <x:c r="N12" s="42" t="n">
        <x:v>176</x:v>
      </x:c>
      <x:c r="O12" s="43" t="n">
        <x:f aca="0">176*12</x:f>
        <x:v>2112</x:v>
      </x:c>
    </x:row>
    <x:row r="13" ht="7.5" hidden="0" customHeight="1"/>
    <x:row r="14" ht="18" hidden="0" customHeight="1">
      <x:c r="B14" s="44" t="s">
        <x:v>28</x:v>
      </x:c>
      <x:c r="C14" s="39" t="n">
        <x:v>0</x:v>
      </x:c>
      <x:c r="D14" s="39" t="n">
        <x:v>0</x:v>
      </x:c>
      <x:c r="E14" s="39" t="n">
        <x:v>0</x:v>
      </x:c>
      <x:c r="F14" s="39" t="n">
        <x:v>0</x:v>
      </x:c>
      <x:c r="G14" s="39" t="n">
        <x:v>0</x:v>
      </x:c>
      <x:c r="H14" s="39" t="n">
        <x:v>0</x:v>
      </x:c>
      <x:c r="I14" s="39" t="n">
        <x:v>0</x:v>
      </x:c>
      <x:c r="J14" s="39" t="n">
        <x:v>0</x:v>
      </x:c>
      <x:c r="K14" s="39" t="n">
        <x:v>0</x:v>
      </x:c>
      <x:c r="L14" s="39" t="n">
        <x:v>0</x:v>
      </x:c>
      <x:c r="M14" s="39" t="n">
        <x:v>0</x:v>
      </x:c>
      <x:c r="N14" s="39" t="n">
        <x:v>0</x:v>
      </x:c>
      <x:c r="O14" s="40" t="n">
        <x:f aca="0">SUM(C14:N14)</x:f>
        <x:v>0</x:v>
      </x:c>
    </x:row>
    <x:row r="15" ht="18" hidden="0" customHeight="1">
      <x:c r="B15" s="41" t="s">
        <x:v>152</x:v>
      </x:c>
      <x:c r="C15" s="42" t="n">
        <x:v>176</x:v>
      </x:c>
      <x:c r="D15" s="42" t="n">
        <x:v>176</x:v>
      </x:c>
      <x:c r="E15" s="42" t="n">
        <x:v>176</x:v>
      </x:c>
      <x:c r="F15" s="42" t="n">
        <x:v>176</x:v>
      </x:c>
      <x:c r="G15" s="42" t="n">
        <x:v>176</x:v>
      </x:c>
      <x:c r="H15" s="42" t="n">
        <x:v>176</x:v>
      </x:c>
      <x:c r="I15" s="42" t="n">
        <x:v>176</x:v>
      </x:c>
      <x:c r="J15" s="42" t="n">
        <x:v>176</x:v>
      </x:c>
      <x:c r="K15" s="42" t="n">
        <x:v>176</x:v>
      </x:c>
      <x:c r="L15" s="42" t="n">
        <x:v>176</x:v>
      </x:c>
      <x:c r="M15" s="42" t="n">
        <x:v>176</x:v>
      </x:c>
      <x:c r="N15" s="42" t="n">
        <x:v>176</x:v>
      </x:c>
      <x:c r="O15" s="43" t="n">
        <x:f aca="0">176*12</x:f>
        <x:v>2112</x:v>
      </x:c>
    </x:row>
    <x:row r="16" ht="7.5" hidden="0" customHeight="1"/>
    <x:row r="17" ht="18" hidden="0" customHeight="1">
      <x:c r="B17" s="6" t="s">
        <x:v>29</x:v>
      </x:c>
      <x:c r="C17" s="39" t="n">
        <x:v>0</x:v>
      </x:c>
      <x:c r="D17" s="39" t="n">
        <x:v>0</x:v>
      </x:c>
      <x:c r="E17" s="39" t="n">
        <x:v>0</x:v>
      </x:c>
      <x:c r="F17" s="39" t="n">
        <x:v>0</x:v>
      </x:c>
      <x:c r="G17" s="39" t="n">
        <x:v>0</x:v>
      </x:c>
      <x:c r="H17" s="39" t="n">
        <x:v>0</x:v>
      </x:c>
      <x:c r="I17" s="39" t="n">
        <x:v>0</x:v>
      </x:c>
      <x:c r="J17" s="39" t="n">
        <x:v>0</x:v>
      </x:c>
      <x:c r="K17" s="39" t="n">
        <x:v>0</x:v>
      </x:c>
      <x:c r="L17" s="39" t="n">
        <x:v>0</x:v>
      </x:c>
      <x:c r="M17" s="39" t="n">
        <x:v>0</x:v>
      </x:c>
      <x:c r="N17" s="39" t="n">
        <x:v>0</x:v>
      </x:c>
      <x:c r="O17" s="40" t="n">
        <x:f aca="0">SUM(C17:N17)</x:f>
        <x:v>0</x:v>
      </x:c>
    </x:row>
    <x:row r="18" ht="18" hidden="0" customHeight="1">
      <x:c r="B18" s="41" t="s">
        <x:v>152</x:v>
      </x:c>
      <x:c r="C18" s="42" t="n">
        <x:v>176</x:v>
      </x:c>
      <x:c r="D18" s="42" t="n">
        <x:v>176</x:v>
      </x:c>
      <x:c r="E18" s="42" t="n">
        <x:v>176</x:v>
      </x:c>
      <x:c r="F18" s="42" t="n">
        <x:v>176</x:v>
      </x:c>
      <x:c r="G18" s="42" t="n">
        <x:v>176</x:v>
      </x:c>
      <x:c r="H18" s="42" t="n">
        <x:v>176</x:v>
      </x:c>
      <x:c r="I18" s="42" t="n">
        <x:v>176</x:v>
      </x:c>
      <x:c r="J18" s="42" t="n">
        <x:v>176</x:v>
      </x:c>
      <x:c r="K18" s="42" t="n">
        <x:v>176</x:v>
      </x:c>
      <x:c r="L18" s="42" t="n">
        <x:v>176</x:v>
      </x:c>
      <x:c r="M18" s="42" t="n">
        <x:v>176</x:v>
      </x:c>
      <x:c r="N18" s="42" t="n">
        <x:v>176</x:v>
      </x:c>
      <x:c r="O18" s="43" t="n">
        <x:f aca="0">176*12</x:f>
        <x:v>2112</x:v>
      </x:c>
    </x:row>
    <x:row r="19" ht="7.5" hidden="0" customHeight="1"/>
    <x:row r="20" ht="18" hidden="0" customHeight="1">
      <x:c r="B20" s="44" t="s">
        <x:v>30</x:v>
      </x:c>
      <x:c r="C20" s="39" t="n">
        <x:v>0</x:v>
      </x:c>
      <x:c r="D20" s="39" t="n">
        <x:v>0</x:v>
      </x:c>
      <x:c r="E20" s="39" t="n">
        <x:v>0</x:v>
      </x:c>
      <x:c r="F20" s="39" t="n">
        <x:v>0</x:v>
      </x:c>
      <x:c r="G20" s="39" t="n">
        <x:v>0</x:v>
      </x:c>
      <x:c r="H20" s="39" t="n">
        <x:v>0</x:v>
      </x:c>
      <x:c r="I20" s="39" t="n">
        <x:v>0</x:v>
      </x:c>
      <x:c r="J20" s="39" t="n">
        <x:v>0</x:v>
      </x:c>
      <x:c r="K20" s="39" t="n">
        <x:v>0</x:v>
      </x:c>
      <x:c r="L20" s="39" t="n">
        <x:v>0</x:v>
      </x:c>
      <x:c r="M20" s="39" t="n">
        <x:v>0</x:v>
      </x:c>
      <x:c r="N20" s="39" t="n">
        <x:v>0</x:v>
      </x:c>
      <x:c r="O20" s="40" t="n">
        <x:f aca="0">SUM(C20:N20)</x:f>
        <x:v>0</x:v>
      </x:c>
    </x:row>
    <x:row r="21" ht="18" hidden="0" customHeight="1">
      <x:c r="B21" s="41" t="s">
        <x:v>152</x:v>
      </x:c>
      <x:c r="C21" s="42" t="n">
        <x:v>176</x:v>
      </x:c>
      <x:c r="D21" s="42" t="n">
        <x:v>176</x:v>
      </x:c>
      <x:c r="E21" s="42" t="n">
        <x:v>176</x:v>
      </x:c>
      <x:c r="F21" s="42" t="n">
        <x:v>176</x:v>
      </x:c>
      <x:c r="G21" s="42" t="n">
        <x:v>176</x:v>
      </x:c>
      <x:c r="H21" s="42" t="n">
        <x:v>176</x:v>
      </x:c>
      <x:c r="I21" s="42" t="n">
        <x:v>176</x:v>
      </x:c>
      <x:c r="J21" s="42" t="n">
        <x:v>176</x:v>
      </x:c>
      <x:c r="K21" s="42" t="n">
        <x:v>176</x:v>
      </x:c>
      <x:c r="L21" s="42" t="n">
        <x:v>176</x:v>
      </x:c>
      <x:c r="M21" s="42" t="n">
        <x:v>176</x:v>
      </x:c>
      <x:c r="N21" s="42" t="n">
        <x:v>176</x:v>
      </x:c>
      <x:c r="O21" s="43" t="n">
        <x:f aca="0">176*12</x:f>
        <x:v>2112</x:v>
      </x:c>
    </x:row>
    <x:row r="22" ht="7.5" hidden="0" customHeight="1"/>
  </x:sheetData>
  <x:mergeCells>
    <x:mergeCell ref="B2:P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6C3483"/>
  </x:sheetPr>
  <x:sheetViews>
    <x:sheetView showGridLines="0" workbookViewId="0"/>
  </x:sheetViews>
  <x:sheetFormatPr defaultColWidth="8.6796875" defaultRowHeight="15"/>
  <x:cols>
    <x:col min="1" max="1" width="3" hidden="0" customWidth="1"/>
    <x:col min="2" max="2" width="30" hidden="0" customWidth="1"/>
    <x:col min="3" max="5" width="18" hidden="0" customWidth="1"/>
    <x:col min="6" max="6" width="3" hidden="0" customWidth="1"/>
  </x:cols>
  <x:sheetData>
    <x:row r="2" ht="36" hidden="0" customHeight="1">
      <x:c r="A2" s="10"/>
      <x:c r="B2" s="38" t="s">
        <x:v>153</x:v>
      </x:c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</x:row>
    <x:row r="3" ht="9.75" hidden="0" customHeight="1"/>
    <x:row r="4" ht="9.75" hidden="0" customHeight="1"/>
    <x:row r="5" ht="21.75" hidden="0" customHeight="1">
      <x:c r="B5" s="45" t="s">
        <x:v>154</x:v>
      </x:c>
      <x:c r="C5" s="46" t="s">
        <x:v>155</x:v>
      </x:c>
      <x:c r="D5" s="47" t="n">
        <x:f aca="0">IFERROR(COUNTIFS('📋 Work Orders'!G5:G104,"Complete")/COUNTA('📋 Work Orders'!B5:B104),0)</x:f>
        <x:v>0</x:v>
      </x:c>
      <x:c r="E5" s="48" t="s">
        <x:v>156</x:v>
      </x:c>
    </x:row>
    <x:row r="6" ht="9.75" hidden="0" customHeight="1"/>
    <x:row r="7" ht="21.75" hidden="0" customHeight="1">
      <x:c r="B7" s="45" t="s">
        <x:v>157</x:v>
      </x:c>
      <x:c r="C7" s="46" t="s">
        <x:v>158</x:v>
      </x:c>
      <x:c r="D7" s="47" t="n">
        <x:f aca="0">IFERROR(COUNTIF('📋 Work Orders'!G5:G104,"Complete")/COUNTA('📋 Work Orders'!B5:B104),0)</x:f>
        <x:v>0</x:v>
      </x:c>
      <x:c r="E7" s="48" t="s">
        <x:v>159</x:v>
      </x:c>
    </x:row>
    <x:row r="8" ht="9.75" hidden="0" customHeight="1"/>
    <x:row r="9" ht="21.75" hidden="0" customHeight="1">
      <x:c r="B9" s="45" t="s">
        <x:v>160</x:v>
      </x:c>
      <x:c r="C9" s="46" t="s">
        <x:v>161</x:v>
      </x:c>
      <x:c r="D9" s="49" t="n">
        <x:f aca="0">COUNTA('📋 Work Orders'!B5:B104)</x:f>
        <x:v>10</x:v>
      </x:c>
      <x:c r="E9" s="48"/>
    </x:row>
    <x:row r="10" ht="9.75" hidden="0" customHeight="1"/>
    <x:row r="11" ht="21.75" hidden="0" customHeight="1">
      <x:c r="B11" s="45" t="s">
        <x:v>162</x:v>
      </x:c>
      <x:c r="C11" s="46" t="s">
        <x:v>163</x:v>
      </x:c>
      <x:c r="D11" s="49" t="n">
        <x:f aca="0">COUNTIFS('📋 Work Orders'!G5:G104,"Planned")+COUNTIFS('📋 Work Orders'!G5:G104,"In Progress")</x:f>
        <x:v>10</x:v>
      </x:c>
      <x:c r="E11" s="48"/>
    </x:row>
    <x:row r="12" ht="9.75" hidden="0" customHeight="1"/>
    <x:row r="13" ht="21.75" hidden="0" customHeight="1">
      <x:c r="B13" s="45" t="s">
        <x:v>164</x:v>
      </x:c>
      <x:c r="C13" s="46" t="s">
        <x:v>165</x:v>
      </x:c>
      <x:c r="D13" s="49" t="n">
        <x:f aca="0">COUNTIF('📋 Work Orders'!G5:G104,"Overdue")</x:f>
        <x:v>0</x:v>
      </x:c>
      <x:c r="E13" s="48" t="s">
        <x:v>166</x:v>
      </x:c>
    </x:row>
    <x:row r="14" ht="9.75" hidden="0" customHeight="1"/>
    <x:row r="15" ht="21.75" hidden="0" customHeight="1">
      <x:c r="B15" s="45" t="s">
        <x:v>167</x:v>
      </x:c>
      <x:c r="C15" s="46" t="s">
        <x:v>168</x:v>
      </x:c>
      <x:c r="D15" s="50" t="n">
        <x:f aca="0">SUMPRODUCT((('📋 Work Orders'!G5:G104="Planned")+('📋 Work Orders'!G5:G104="Overdue")&gt;0)*'📋 Work Orders'!K5:K104)</x:f>
        <x:v>195</x:v>
      </x:c>
      <x:c r="E15" s="48"/>
    </x:row>
    <x:row r="16" ht="9.75" hidden="0" customHeight="1"/>
    <x:row r="17" ht="21.75" hidden="0" customHeight="1">
      <x:c r="B17" s="45" t="s">
        <x:v>169</x:v>
      </x:c>
      <x:c r="C17" s="46" t="s">
        <x:v>170</x:v>
      </x:c>
      <x:c r="D17" s="51" t="n">
        <x:f aca="0">'📋 Work Orders'!M105</x:f>
        <x:v>102800</x:v>
      </x:c>
      <x:c r="E17" s="48"/>
    </x:row>
    <x:row r="18" ht="9.75" hidden="0" customHeight="1"/>
    <x:row r="19" ht="21.75" hidden="0" customHeight="1">
      <x:c r="B19" s="45" t="s">
        <x:v>171</x:v>
      </x:c>
      <x:c r="C19" s="46" t="s">
        <x:v>172</x:v>
      </x:c>
      <x:c r="D19" s="49" t="n">
        <x:f aca="0">COUNTIFS('📋 Work Orders'!F5:F104,"Critical",'📋 Work Orders'!G5:G104,"&lt;&gt;Complete")</x:f>
        <x:v>2</x:v>
      </x:c>
      <x:c r="E19" s="48" t="s">
        <x:v>166</x:v>
      </x:c>
    </x:row>
  </x:sheetData>
  <x:mergeCells>
    <x:mergeCell ref="B2:M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80" hidden="0" customWidth="1"/>
  </x:cols>
  <x:sheetData>
    <x:row r="1" ht="30" customHeight="1">
      <x:c r="A1" s="106" t="str">
        <x:v>Maintenance Planning Excel — PREMIUM UPGRADE GUIDE</x:v>
      </x:c>
      <x:c r="B1" s="106"/>
      <x:c r="C1" s="106"/>
      <x:c r="D1" s="106"/>
      <x:c r="E1" s="106"/>
      <x:c r="F1" s="106"/>
      <x:c r="G1" s="106"/>
      <x:c r="H1" s="106"/>
      <x:c r="I1" s="106"/>
      <x:c r="J1" s="106"/>
      <x:c r="K1" s="106"/>
    </x:row>
    <x:row r="2" ht="32" customHeight="1">
      <x:c r="A2" s="113" t="str">
        <x:v>Original template preserved. Added premium sheets turn the file into a semi-automated maintenance management tool.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13"/>
    </x:row>
    <x:row r="4" ht="26" customHeight="1">
      <x:c r="A4" s="121" t="str">
        <x:v>Step</x:v>
      </x:c>
      <x:c r="B4" s="121" t="str">
        <x:v>What to do</x:v>
      </x:c>
      <x:c r="C4" s="121" t="str">
        <x:v>Outcome</x:v>
      </x:c>
    </x:row>
    <x:row r="5">
      <x:c r="A5" s="129" t="str">
        <x:v>1</x:v>
      </x:c>
      <x:c r="B5" s="129" t="str">
        <x:v>Enter field data</x:v>
      </x:c>
      <x:c r="C5" s="129" t="str">
        <x:v>Complete the original inspection/report sheet. Yellow cells and result columns are input fields.</x:v>
      </x:c>
    </x:row>
    <x:row r="6">
      <x:c r="A6" s="129" t="str">
        <x:v>2</x:v>
      </x:c>
      <x:c r="B6" s="129" t="str">
        <x:v>Use dropdowns</x:v>
      </x:c>
      <x:c r="C6" s="129" t="str">
        <x:v>Use standardised results, priority, status, criticality and RCA decision fields to keep data clean.</x:v>
      </x:c>
    </x:row>
    <x:row r="7">
      <x:c r="A7" s="129" t="str">
        <x:v>3</x:v>
      </x:c>
      <x:c r="B7" s="129" t="str">
        <x:v>Review dashboard</x:v>
      </x:c>
      <x:c r="C7" s="129" t="str">
        <x:v>Open the dashboard/summary sheet to view compliance, open actions, overdue actions and management risk indicators.</x:v>
      </x:c>
    </x:row>
    <x:row r="8">
      <x:c r="A8" s="129" t="str">
        <x:v>4</x:v>
      </x:c>
      <x:c r="B8" s="129" t="str">
        <x:v>Close actions</x:v>
      </x:c>
      <x:c r="C8" s="129" t="str">
        <x:v>Transfer defects/recommendations to the Action Tracker with owner, due date, status and verification evidence.</x:v>
      </x:c>
    </x:row>
    <x:row r="9">
      <x:c r="A9" s="129" t="str">
        <x:v>5</x:v>
      </x:c>
      <x:c r="B9" s="129" t="str">
        <x:v>Issue report</x:v>
      </x:c>
      <x:c r="C9" s="129" t="str">
        <x:v>Use the original form for site records and the added registers for meetings, audits and maintenance planning.</x:v>
      </x:c>
    </x:row>
    <x:row r="12">
      <x:c r="A12" s="133" t="str">
        <x:v>Upgrades Implemented</x:v>
      </x:c>
      <x:c r="B12" s="133"/>
      <x:c r="C12" s="133"/>
      <x:c r="D12" s="133"/>
      <x:c r="E12" s="133"/>
      <x:c r="F12" s="133"/>
      <x:c r="G12" s="133"/>
      <x:c r="H12" s="133"/>
      <x:c r="I12" s="133"/>
      <x:c r="J12" s="133"/>
      <x:c r="K12" s="133"/>
    </x:row>
    <x:row r="13">
      <x:c r="A13" s="137" t="str">
        <x:v>• PM frequency engine added to generate next due dates from daily/weekly/monthly/quarterly/annual frequencies.</x:v>
      </x:c>
      <x:c r="B13" s="137" t="str"/>
      <x:c r="C13" s="137" t="str"/>
      <x:c r="D13" s="137" t="str"/>
      <x:c r="E13" s="137" t="str"/>
      <x:c r="F13" s="137" t="str"/>
      <x:c r="G13" s="137" t="str"/>
      <x:c r="H13" s="137" t="str"/>
      <x:c r="I13" s="137" t="str"/>
      <x:c r="J13" s="137" t="str"/>
      <x:c r="K13" s="137" t="str"/>
    </x:row>
    <x:row r="14">
      <x:c r="A14" s="137" t="str">
        <x:v>• Backlog ageing matrix added for open work by 0–7, 8–30, 31–60 and 60+ days.</x:v>
      </x:c>
      <x:c r="B14" s="137" t="str"/>
      <x:c r="C14" s="137" t="str"/>
      <x:c r="D14" s="137" t="str"/>
      <x:c r="E14" s="137" t="str"/>
      <x:c r="F14" s="137" t="str"/>
      <x:c r="G14" s="137" t="str"/>
      <x:c r="H14" s="137" t="str"/>
      <x:c r="I14" s="137" t="str"/>
      <x:c r="J14" s="137" t="str"/>
      <x:c r="K14" s="137" t="str"/>
    </x:row>
    <x:row r="15">
      <x:c r="A15" s="137" t="str">
        <x:v>• Shutdown planner added for tasks, dependencies, permits, spares, resources and readiness.</x:v>
      </x:c>
      <x:c r="B15" s="137" t="str"/>
      <x:c r="C15" s="137" t="str"/>
      <x:c r="D15" s="137" t="str"/>
      <x:c r="E15" s="137" t="str"/>
      <x:c r="F15" s="137" t="str"/>
      <x:c r="G15" s="137" t="str"/>
      <x:c r="H15" s="137" t="str"/>
      <x:c r="I15" s="137" t="str"/>
      <x:c r="J15" s="137" t="str"/>
      <x:c r="K15" s="137" t="str"/>
    </x:row>
    <x:row r="16">
      <x:c r="A16" s="137" t="str">
        <x:v>• Cost variance tracker added for budget vs actual cost control.</x:v>
      </x:c>
      <x:c r="B16" s="137" t="str"/>
      <x:c r="C16" s="137" t="str"/>
      <x:c r="D16" s="137" t="str"/>
      <x:c r="E16" s="137" t="str"/>
      <x:c r="F16" s="137" t="str"/>
      <x:c r="G16" s="137" t="str"/>
      <x:c r="H16" s="137" t="str"/>
      <x:c r="I16" s="137" t="str"/>
      <x:c r="J16" s="137" t="str"/>
      <x:c r="K16" s="137" t="str"/>
    </x:row>
    <x:row r="17">
      <x:c r="A17" s="137" t="str">
        <x:v>• Premium executive dashboard added for PM compliance, schedule compliance, backlog and action status.</x:v>
      </x:c>
      <x:c r="B17" s="137" t="str"/>
      <x:c r="C17" s="137" t="str"/>
      <x:c r="D17" s="137" t="str"/>
      <x:c r="E17" s="137" t="str"/>
      <x:c r="F17" s="137" t="str"/>
      <x:c r="G17" s="137" t="str"/>
      <x:c r="H17" s="137" t="str"/>
      <x:c r="I17" s="137" t="str"/>
      <x:c r="J17" s="137" t="str"/>
      <x:c r="K17" s="137" t="str"/>
    </x:row>
  </x:sheetData>
  <x:mergeCells>
    <x:mergeCell ref="A1:K1"/>
    <x:mergeCell ref="A2:K2"/>
    <x:mergeCell ref="A13:K13"/>
    <x:mergeCell ref="A14:K14"/>
    <x:mergeCell ref="A15:K15"/>
    <x:mergeCell ref="A16:K16"/>
    <x:mergeCell ref="A17:K1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59.5" hidden="0" customWidth="1"/>
    <x:col min="2" max="2" width="6.880000114440918" hidden="0" customWidth="1"/>
    <x:col min="3" max="3" width="6.630000114440918" hidden="0" customWidth="1"/>
    <x:col min="4" max="4" width="6.75" hidden="0" customWidth="1"/>
    <x:col min="5" max="5" width="12.630000114440918" hidden="0" customWidth="1"/>
    <x:col min="6" max="6" width="10.5" hidden="0" customWidth="1"/>
    <x:col min="7" max="7" width="4.630000114440918" hidden="0" customWidth="1"/>
    <x:col min="8" max="8" width="11" hidden="0" customWidth="1"/>
  </x:cols>
  <x:sheetData>
    <x:row r="1" ht="30" customHeight="1">
      <x:c r="A1" s="106" t="str">
        <x:v>CONTROL LISTS / DROPDOWNS</x:v>
      </x:c>
      <x:c r="B1" s="106"/>
      <x:c r="C1" s="106"/>
      <x:c r="D1" s="106"/>
      <x:c r="E1" s="106"/>
      <x:c r="F1" s="106"/>
      <x:c r="G1" s="106"/>
      <x:c r="H1" s="106"/>
    </x:row>
    <x:row r="2" ht="32" customHeight="1">
      <x:c r="A2" s="113" t="str">
        <x:v>Edit these lists if your site uses different status, priority, failure mode or criticality labels.</x:v>
      </x:c>
      <x:c r="B2" s="113"/>
      <x:c r="C2" s="113"/>
      <x:c r="D2" s="113"/>
      <x:c r="E2" s="113"/>
      <x:c r="F2" s="113"/>
      <x:c r="G2" s="113"/>
      <x:c r="H2" s="113"/>
    </x:row>
    <x:row r="4">
      <x:c r="A4" s="140" t="str">
        <x:v>Status</x:v>
      </x:c>
      <x:c r="B4" s="140" t="str">
        <x:v>Priority</x:v>
      </x:c>
      <x:c r="C4" s="140" t="str">
        <x:v>Result</x:v>
      </x:c>
      <x:c r="D4" s="140" t="str">
        <x:v>Severity</x:v>
      </x:c>
      <x:c r="E4" s="140" t="str">
        <x:v>Failure Mode</x:v>
      </x:c>
      <x:c r="F4" s="140" t="str">
        <x:v>Criticality</x:v>
      </x:c>
      <x:c r="G4" s="140" t="str">
        <x:v>Shift</x:v>
      </x:c>
      <x:c r="H4" s="140" t="str">
        <x:v>RCA Required</x:v>
      </x:c>
    </x:row>
    <x:row r="5">
      <x:c r="A5" t="str">
        <x:v>Open</x:v>
      </x:c>
      <x:c r="B5" t="str">
        <x:v>Critical</x:v>
      </x:c>
      <x:c r="C5" t="str">
        <x:v>✓</x:v>
      </x:c>
      <x:c r="D5" t="n">
        <x:v>1</x:v>
      </x:c>
      <x:c r="E5" t="str">
        <x:v>Mechanical</x:v>
      </x:c>
      <x:c r="F5" t="str">
        <x:v>A - Critical</x:v>
      </x:c>
      <x:c r="G5" t="str">
        <x:v>Day</x:v>
      </x:c>
      <x:c r="H5" t="str">
        <x:v>Yes</x:v>
      </x:c>
    </x:row>
    <x:row r="6">
      <x:c r="A6" t="str">
        <x:v>In Progress</x:v>
      </x:c>
      <x:c r="B6" t="str">
        <x:v>High</x:v>
      </x:c>
      <x:c r="C6" t="str">
        <x:v>✗</x:v>
      </x:c>
      <x:c r="D6" t="n">
        <x:v>2</x:v>
      </x:c>
      <x:c r="E6" t="str">
        <x:v>Electrical</x:v>
      </x:c>
      <x:c r="F6" t="str">
        <x:v>B - Important</x:v>
      </x:c>
      <x:c r="G6" t="str">
        <x:v>Night</x:v>
      </x:c>
      <x:c r="H6" t="str">
        <x:v>No</x:v>
      </x:c>
    </x:row>
    <x:row r="7">
      <x:c r="A7" t="str">
        <x:v>Complete</x:v>
      </x:c>
      <x:c r="B7" t="str">
        <x:v>Medium</x:v>
      </x:c>
      <x:c r="C7" t="str">
        <x:v>N/A</x:v>
      </x:c>
      <x:c r="D7" t="n">
        <x:v>3</x:v>
      </x:c>
      <x:c r="E7" t="str">
        <x:v>Lubrication</x:v>
      </x:c>
      <x:c r="F7" t="str">
        <x:v>C - General</x:v>
      </x:c>
      <x:c r="G7" t="str">
        <x:v>A</x:v>
      </x:c>
      <x:c r="H7" t="str">
        <x:v>TBC</x:v>
      </x:c>
    </x:row>
    <x:row r="8">
      <x:c r="A8" t="str">
        <x:v>Overdue</x:v>
      </x:c>
      <x:c r="B8" t="str">
        <x:v>Low</x:v>
      </x:c>
      <x:c r="C8" t="str">
        <x:v>Monitor</x:v>
      </x:c>
      <x:c r="D8" t="n">
        <x:v>4</x:v>
      </x:c>
      <x:c r="E8" t="str">
        <x:v>Hydraulic</x:v>
      </x:c>
      <x:c r="G8" t="str">
        <x:v>B</x:v>
      </x:c>
    </x:row>
    <x:row r="9">
      <x:c r="A9" t="str">
        <x:v>Deferred</x:v>
      </x:c>
      <x:c r="B9" t="str">
        <x:v>Monitor</x:v>
      </x:c>
      <x:c r="D9" t="n">
        <x:v>5</x:v>
      </x:c>
      <x:c r="E9" t="str">
        <x:v>Pneumatic</x:v>
      </x:c>
      <x:c r="G9" t="str">
        <x:v>C</x:v>
      </x:c>
    </x:row>
    <x:row r="10">
      <x:c r="A10" t="str">
        <x:v>Cancelled</x:v>
      </x:c>
      <x:c r="E10" t="str">
        <x:v>Instrumentation</x:v>
      </x:c>
      <x:c r="G10" t="str">
        <x:v>D</x:v>
      </x:c>
    </x:row>
    <x:row r="11">
      <x:c r="A11" t="str">
        <x:v>Verified</x:v>
      </x:c>
      <x:c r="E11" t="str">
        <x:v>Process</x:v>
      </x:c>
    </x:row>
    <x:row r="12">
      <x:c r="E12" t="str">
        <x:v>Operator</x:v>
      </x:c>
    </x:row>
    <x:row r="13">
      <x:c r="E13" t="str">
        <x:v>Design</x:v>
      </x:c>
    </x:row>
    <x:row r="14">
      <x:c r="E14" t="str">
        <x:v>Unknown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34" hidden="0" customWidth="1"/>
    <x:col min="4" max="4" width="26" hidden="0" customWidth="1"/>
    <x:col min="5" max="5" width="13" hidden="0" customWidth="1"/>
    <x:col min="6" max="6" width="18" hidden="0" customWidth="1"/>
    <x:col min="7" max="7" width="13" hidden="0" customWidth="1"/>
    <x:col min="8" max="8" width="14" hidden="0" customWidth="1"/>
    <x:col min="9" max="9" width="13" hidden="0" customWidth="1"/>
    <x:col min="10" max="10" width="32" hidden="0" customWidth="1"/>
    <x:col min="11" max="11" width="12" hidden="0" customWidth="1"/>
  </x:cols>
  <x:sheetData>
    <x:row r="1" ht="30" customHeight="1">
      <x:c r="A1" s="106" t="str">
        <x:v>ACTION TRACKER</x:v>
      </x:c>
      <x:c r="B1" s="106"/>
      <x:c r="C1" s="106"/>
      <x:c r="D1" s="106"/>
      <x:c r="E1" s="106"/>
      <x:c r="F1" s="106"/>
      <x:c r="G1" s="106"/>
      <x:c r="H1" s="106"/>
      <x:c r="I1" s="106"/>
      <x:c r="J1" s="106"/>
      <x:c r="K1" s="106"/>
    </x:row>
    <x:row r="2" ht="32" customHeight="1">
      <x:c r="A2" s="113" t="str">
        <x:v>Central register for defects, recommendations, close-out dates, and verification.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13"/>
    </x:row>
    <x:row r="4" ht="26" customHeight="1">
      <x:c r="A4" s="121" t="str">
        <x:v>Source/Sheet</x:v>
      </x:c>
      <x:c r="B4" s="121" t="str">
        <x:v>Asset / Equipment</x:v>
      </x:c>
      <x:c r="C4" s="121" t="str">
        <x:v>Finding / Defect</x:v>
      </x:c>
      <x:c r="D4" s="121" t="str">
        <x:v>Risk / Impact</x:v>
      </x:c>
      <x:c r="E4" s="121" t="str">
        <x:v>Priority</x:v>
      </x:c>
      <x:c r="F4" s="121" t="str">
        <x:v>Responsible Person</x:v>
      </x:c>
      <x:c r="G4" s="121" t="str">
        <x:v>Due Date</x:v>
      </x:c>
      <x:c r="H4" s="121" t="str">
        <x:v>Status</x:v>
      </x:c>
      <x:c r="I4" s="121" t="str">
        <x:v>Close-out Date</x:v>
      </x:c>
      <x:c r="J4" s="121" t="str">
        <x:v>Verification / Evidence</x:v>
      </x:c>
      <x:c r="K4" s="121" t="str">
        <x:v>Days Overdue</x:v>
      </x:c>
    </x:row>
    <x:row r="5">
      <x:c r="A5" s="129" t="str"/>
      <x:c r="B5" s="129" t="str"/>
      <x:c r="C5" s="129" t="str"/>
      <x:c r="D5" s="129" t="str"/>
      <x:c r="E5" s="129" t="str"/>
      <x:c r="F5" s="129" t="str"/>
      <x:c r="G5" s="142" t="str"/>
      <x:c r="H5" s="129" t="str">
        <x:v>Open</x:v>
      </x:c>
      <x:c r="I5" s="142" t="str"/>
      <x:c r="J5" s="129" t="str"/>
      <x:c r="K5" s="129" t="n">
        <x:f>IF(AND(G5&lt;&gt;"",H5&lt;&gt;"Complete",H5&lt;&gt;"Verified"),MAX(0,TODAY()-G5),0)</x:f>
        <x:v>0</x:v>
      </x:c>
    </x:row>
    <x:row r="6">
      <x:c r="A6" s="129" t="str"/>
      <x:c r="B6" s="129" t="str"/>
      <x:c r="C6" s="129" t="str"/>
      <x:c r="D6" s="129" t="str"/>
      <x:c r="E6" s="129" t="str"/>
      <x:c r="F6" s="129" t="str"/>
      <x:c r="G6" s="142" t="str"/>
      <x:c r="H6" s="129" t="str">
        <x:v>Open</x:v>
      </x:c>
      <x:c r="I6" s="142" t="str"/>
      <x:c r="J6" s="129" t="str"/>
      <x:c r="K6" s="129" t="n">
        <x:f>IF(AND(G6&lt;&gt;"",H6&lt;&gt;"Complete",H6&lt;&gt;"Verified"),MAX(0,TODAY()-G6),0)</x:f>
        <x:v>0</x:v>
      </x:c>
    </x:row>
    <x:row r="7">
      <x:c r="A7" s="129" t="str"/>
      <x:c r="B7" s="129" t="str"/>
      <x:c r="C7" s="129" t="str"/>
      <x:c r="D7" s="129" t="str"/>
      <x:c r="E7" s="129" t="str"/>
      <x:c r="F7" s="129" t="str"/>
      <x:c r="G7" s="142" t="str"/>
      <x:c r="H7" s="129" t="str">
        <x:v>Open</x:v>
      </x:c>
      <x:c r="I7" s="142" t="str"/>
      <x:c r="J7" s="129" t="str"/>
      <x:c r="K7" s="129" t="n">
        <x:f>IF(AND(G7&lt;&gt;"",H7&lt;&gt;"Complete",H7&lt;&gt;"Verified"),MAX(0,TODAY()-G7),0)</x:f>
        <x:v>0</x:v>
      </x:c>
    </x:row>
    <x:row r="8">
      <x:c r="A8" s="129" t="str"/>
      <x:c r="B8" s="129" t="str"/>
      <x:c r="C8" s="129" t="str"/>
      <x:c r="D8" s="129" t="str"/>
      <x:c r="E8" s="129" t="str"/>
      <x:c r="F8" s="129" t="str"/>
      <x:c r="G8" s="142" t="str"/>
      <x:c r="H8" s="129" t="str">
        <x:v>Open</x:v>
      </x:c>
      <x:c r="I8" s="142" t="str"/>
      <x:c r="J8" s="129" t="str"/>
      <x:c r="K8" s="129" t="n">
        <x:f>IF(AND(G8&lt;&gt;"",H8&lt;&gt;"Complete",H8&lt;&gt;"Verified"),MAX(0,TODAY()-G8),0)</x:f>
        <x:v>0</x:v>
      </x:c>
    </x:row>
    <x:row r="9">
      <x:c r="A9" s="129" t="str"/>
      <x:c r="B9" s="129" t="str"/>
      <x:c r="C9" s="129" t="str"/>
      <x:c r="D9" s="129" t="str"/>
      <x:c r="E9" s="129" t="str"/>
      <x:c r="F9" s="129" t="str"/>
      <x:c r="G9" s="142" t="str"/>
      <x:c r="H9" s="129" t="str">
        <x:v>Open</x:v>
      </x:c>
      <x:c r="I9" s="142" t="str"/>
      <x:c r="J9" s="129" t="str"/>
      <x:c r="K9" s="129" t="n">
        <x:f>IF(AND(G9&lt;&gt;"",H9&lt;&gt;"Complete",H9&lt;&gt;"Verified"),MAX(0,TODAY()-G9),0)</x:f>
        <x:v>0</x:v>
      </x:c>
    </x:row>
    <x:row r="10">
      <x:c r="A10" s="129" t="str"/>
      <x:c r="B10" s="129" t="str"/>
      <x:c r="C10" s="129" t="str"/>
      <x:c r="D10" s="129" t="str"/>
      <x:c r="E10" s="129" t="str"/>
      <x:c r="F10" s="129" t="str"/>
      <x:c r="G10" s="142" t="str"/>
      <x:c r="H10" s="129" t="str">
        <x:v>Open</x:v>
      </x:c>
      <x:c r="I10" s="142" t="str"/>
      <x:c r="J10" s="129" t="str"/>
      <x:c r="K10" s="129" t="n">
        <x:f>IF(AND(G10&lt;&gt;"",H10&lt;&gt;"Complete",H10&lt;&gt;"Verified"),MAX(0,TODAY()-G10),0)</x:f>
        <x:v>0</x:v>
      </x:c>
    </x:row>
    <x:row r="11">
      <x:c r="A11" s="129" t="str"/>
      <x:c r="B11" s="129" t="str"/>
      <x:c r="C11" s="129" t="str"/>
      <x:c r="D11" s="129" t="str"/>
      <x:c r="E11" s="129" t="str"/>
      <x:c r="F11" s="129" t="str"/>
      <x:c r="G11" s="142" t="str"/>
      <x:c r="H11" s="129" t="str">
        <x:v>Open</x:v>
      </x:c>
      <x:c r="I11" s="142" t="str"/>
      <x:c r="J11" s="129" t="str"/>
      <x:c r="K11" s="129" t="n">
        <x:f>IF(AND(G11&lt;&gt;"",H11&lt;&gt;"Complete",H11&lt;&gt;"Verified"),MAX(0,TODAY()-G11),0)</x:f>
        <x:v>0</x:v>
      </x:c>
    </x:row>
    <x:row r="12">
      <x:c r="A12" s="129" t="str"/>
      <x:c r="B12" s="129" t="str"/>
      <x:c r="C12" s="129" t="str"/>
      <x:c r="D12" s="129" t="str"/>
      <x:c r="E12" s="129" t="str"/>
      <x:c r="F12" s="129" t="str"/>
      <x:c r="G12" s="142" t="str"/>
      <x:c r="H12" s="129" t="str">
        <x:v>Open</x:v>
      </x:c>
      <x:c r="I12" s="142" t="str"/>
      <x:c r="J12" s="129" t="str"/>
      <x:c r="K12" s="129" t="n">
        <x:f>IF(AND(G12&lt;&gt;"",H12&lt;&gt;"Complete",H12&lt;&gt;"Verified"),MAX(0,TODAY()-G12),0)</x:f>
        <x:v>0</x:v>
      </x:c>
    </x:row>
    <x:row r="13">
      <x:c r="A13" s="129" t="str"/>
      <x:c r="B13" s="129" t="str"/>
      <x:c r="C13" s="129" t="str"/>
      <x:c r="D13" s="129" t="str"/>
      <x:c r="E13" s="129" t="str"/>
      <x:c r="F13" s="129" t="str"/>
      <x:c r="G13" s="142" t="str"/>
      <x:c r="H13" s="129" t="str">
        <x:v>Open</x:v>
      </x:c>
      <x:c r="I13" s="142" t="str"/>
      <x:c r="J13" s="129" t="str"/>
      <x:c r="K13" s="129" t="n">
        <x:f>IF(AND(G13&lt;&gt;"",H13&lt;&gt;"Complete",H13&lt;&gt;"Verified"),MAX(0,TODAY()-G13),0)</x:f>
        <x:v>0</x:v>
      </x:c>
    </x:row>
    <x:row r="14">
      <x:c r="A14" s="129" t="str"/>
      <x:c r="B14" s="129" t="str"/>
      <x:c r="C14" s="129" t="str"/>
      <x:c r="D14" s="129" t="str"/>
      <x:c r="E14" s="129" t="str"/>
      <x:c r="F14" s="129" t="str"/>
      <x:c r="G14" s="142" t="str"/>
      <x:c r="H14" s="129" t="str">
        <x:v>Open</x:v>
      </x:c>
      <x:c r="I14" s="142" t="str"/>
      <x:c r="J14" s="129" t="str"/>
      <x:c r="K14" s="129" t="n">
        <x:f>IF(AND(G14&lt;&gt;"",H14&lt;&gt;"Complete",H14&lt;&gt;"Verified"),MAX(0,TODAY()-G14),0)</x:f>
        <x:v>0</x:v>
      </x:c>
    </x:row>
    <x:row r="15">
      <x:c r="A15" s="129" t="str"/>
      <x:c r="B15" s="129" t="str"/>
      <x:c r="C15" s="129" t="str"/>
      <x:c r="D15" s="129" t="str"/>
      <x:c r="E15" s="129" t="str"/>
      <x:c r="F15" s="129" t="str"/>
      <x:c r="G15" s="142" t="str"/>
      <x:c r="H15" s="129" t="str">
        <x:v>Open</x:v>
      </x:c>
      <x:c r="I15" s="142" t="str"/>
      <x:c r="J15" s="129" t="str"/>
      <x:c r="K15" s="129" t="n">
        <x:f>IF(AND(G15&lt;&gt;"",H15&lt;&gt;"Complete",H15&lt;&gt;"Verified"),MAX(0,TODAY()-G15),0)</x:f>
        <x:v>0</x:v>
      </x:c>
    </x:row>
    <x:row r="16">
      <x:c r="A16" s="129" t="str"/>
      <x:c r="B16" s="129" t="str"/>
      <x:c r="C16" s="129" t="str"/>
      <x:c r="D16" s="129" t="str"/>
      <x:c r="E16" s="129" t="str"/>
      <x:c r="F16" s="129" t="str"/>
      <x:c r="G16" s="142" t="str"/>
      <x:c r="H16" s="129" t="str">
        <x:v>Open</x:v>
      </x:c>
      <x:c r="I16" s="142" t="str"/>
      <x:c r="J16" s="129" t="str"/>
      <x:c r="K16" s="129" t="n">
        <x:f>IF(AND(G16&lt;&gt;"",H16&lt;&gt;"Complete",H16&lt;&gt;"Verified"),MAX(0,TODAY()-G16),0)</x:f>
        <x:v>0</x:v>
      </x:c>
    </x:row>
    <x:row r="17">
      <x:c r="A17" s="129" t="str"/>
      <x:c r="B17" s="129" t="str"/>
      <x:c r="C17" s="129" t="str"/>
      <x:c r="D17" s="129" t="str"/>
      <x:c r="E17" s="129" t="str"/>
      <x:c r="F17" s="129" t="str"/>
      <x:c r="G17" s="142" t="str"/>
      <x:c r="H17" s="129" t="str">
        <x:v>Open</x:v>
      </x:c>
      <x:c r="I17" s="142" t="str"/>
      <x:c r="J17" s="129" t="str"/>
      <x:c r="K17" s="129" t="n">
        <x:f>IF(AND(G17&lt;&gt;"",H17&lt;&gt;"Complete",H17&lt;&gt;"Verified"),MAX(0,TODAY()-G17),0)</x:f>
        <x:v>0</x:v>
      </x:c>
    </x:row>
    <x:row r="18">
      <x:c r="A18" s="129" t="str"/>
      <x:c r="B18" s="129" t="str"/>
      <x:c r="C18" s="129" t="str"/>
      <x:c r="D18" s="129" t="str"/>
      <x:c r="E18" s="129" t="str"/>
      <x:c r="F18" s="129" t="str"/>
      <x:c r="G18" s="142" t="str"/>
      <x:c r="H18" s="129" t="str">
        <x:v>Open</x:v>
      </x:c>
      <x:c r="I18" s="142" t="str"/>
      <x:c r="J18" s="129" t="str"/>
      <x:c r="K18" s="129" t="n">
        <x:f>IF(AND(G18&lt;&gt;"",H18&lt;&gt;"Complete",H18&lt;&gt;"Verified"),MAX(0,TODAY()-G18),0)</x:f>
        <x:v>0</x:v>
      </x:c>
    </x:row>
    <x:row r="19">
      <x:c r="A19" s="129" t="str"/>
      <x:c r="B19" s="129" t="str"/>
      <x:c r="C19" s="129" t="str"/>
      <x:c r="D19" s="129" t="str"/>
      <x:c r="E19" s="129" t="str"/>
      <x:c r="F19" s="129" t="str"/>
      <x:c r="G19" s="142" t="str"/>
      <x:c r="H19" s="129" t="str">
        <x:v>Open</x:v>
      </x:c>
      <x:c r="I19" s="142" t="str"/>
      <x:c r="J19" s="129" t="str"/>
      <x:c r="K19" s="129" t="n">
        <x:f>IF(AND(G19&lt;&gt;"",H19&lt;&gt;"Complete",H19&lt;&gt;"Verified"),MAX(0,TODAY()-G19),0)</x:f>
        <x:v>0</x:v>
      </x:c>
    </x:row>
    <x:row r="20">
      <x:c r="A20" s="129" t="str"/>
      <x:c r="B20" s="129" t="str"/>
      <x:c r="C20" s="129" t="str"/>
      <x:c r="D20" s="129" t="str"/>
      <x:c r="E20" s="129" t="str"/>
      <x:c r="F20" s="129" t="str"/>
      <x:c r="G20" s="142" t="str"/>
      <x:c r="H20" s="129" t="str">
        <x:v>Open</x:v>
      </x:c>
      <x:c r="I20" s="142" t="str"/>
      <x:c r="J20" s="129" t="str"/>
      <x:c r="K20" s="129" t="n">
        <x:f>IF(AND(G20&lt;&gt;"",H20&lt;&gt;"Complete",H20&lt;&gt;"Verified"),MAX(0,TODAY()-G20),0)</x:f>
        <x:v>0</x:v>
      </x:c>
    </x:row>
    <x:row r="21">
      <x:c r="A21" s="129" t="str"/>
      <x:c r="B21" s="129" t="str"/>
      <x:c r="C21" s="129" t="str"/>
      <x:c r="D21" s="129" t="str"/>
      <x:c r="E21" s="129" t="str"/>
      <x:c r="F21" s="129" t="str"/>
      <x:c r="G21" s="142" t="str"/>
      <x:c r="H21" s="129" t="str">
        <x:v>Open</x:v>
      </x:c>
      <x:c r="I21" s="142" t="str"/>
      <x:c r="J21" s="129" t="str"/>
      <x:c r="K21" s="129" t="n">
        <x:f>IF(AND(G21&lt;&gt;"",H21&lt;&gt;"Complete",H21&lt;&gt;"Verified"),MAX(0,TODAY()-G21),0)</x:f>
        <x:v>0</x:v>
      </x:c>
    </x:row>
    <x:row r="22">
      <x:c r="A22" s="129" t="str"/>
      <x:c r="B22" s="129" t="str"/>
      <x:c r="C22" s="129" t="str"/>
      <x:c r="D22" s="129" t="str"/>
      <x:c r="E22" s="129" t="str"/>
      <x:c r="F22" s="129" t="str"/>
      <x:c r="G22" s="142" t="str"/>
      <x:c r="H22" s="129" t="str">
        <x:v>Open</x:v>
      </x:c>
      <x:c r="I22" s="142" t="str"/>
      <x:c r="J22" s="129" t="str"/>
      <x:c r="K22" s="129" t="n">
        <x:f>IF(AND(G22&lt;&gt;"",H22&lt;&gt;"Complete",H22&lt;&gt;"Verified"),MAX(0,TODAY()-G22),0)</x:f>
        <x:v>0</x:v>
      </x:c>
    </x:row>
    <x:row r="23">
      <x:c r="A23" s="129" t="str"/>
      <x:c r="B23" s="129" t="str"/>
      <x:c r="C23" s="129" t="str"/>
      <x:c r="D23" s="129" t="str"/>
      <x:c r="E23" s="129" t="str"/>
      <x:c r="F23" s="129" t="str"/>
      <x:c r="G23" s="142" t="str"/>
      <x:c r="H23" s="129" t="str">
        <x:v>Open</x:v>
      </x:c>
      <x:c r="I23" s="142" t="str"/>
      <x:c r="J23" s="129" t="str"/>
      <x:c r="K23" s="129" t="n">
        <x:f>IF(AND(G23&lt;&gt;"",H23&lt;&gt;"Complete",H23&lt;&gt;"Verified"),MAX(0,TODAY()-G23),0)</x:f>
        <x:v>0</x:v>
      </x:c>
    </x:row>
    <x:row r="24">
      <x:c r="A24" s="129" t="str"/>
      <x:c r="B24" s="129" t="str"/>
      <x:c r="C24" s="129" t="str"/>
      <x:c r="D24" s="129" t="str"/>
      <x:c r="E24" s="129" t="str"/>
      <x:c r="F24" s="129" t="str"/>
      <x:c r="G24" s="142" t="str"/>
      <x:c r="H24" s="129" t="str">
        <x:v>Open</x:v>
      </x:c>
      <x:c r="I24" s="142" t="str"/>
      <x:c r="J24" s="129" t="str"/>
      <x:c r="K24" s="129" t="n">
        <x:f>IF(AND(G24&lt;&gt;"",H24&lt;&gt;"Complete",H24&lt;&gt;"Verified"),MAX(0,TODAY()-G24),0)</x:f>
        <x:v>0</x:v>
      </x:c>
    </x:row>
    <x:row r="25">
      <x:c r="A25" s="129" t="str"/>
      <x:c r="B25" s="129" t="str"/>
      <x:c r="C25" s="129" t="str"/>
      <x:c r="D25" s="129" t="str"/>
      <x:c r="E25" s="129" t="str"/>
      <x:c r="F25" s="129" t="str"/>
      <x:c r="G25" s="142" t="str"/>
      <x:c r="H25" s="129" t="str">
        <x:v>Open</x:v>
      </x:c>
      <x:c r="I25" s="142" t="str"/>
      <x:c r="J25" s="129" t="str"/>
      <x:c r="K25" s="129" t="n">
        <x:f>IF(AND(G25&lt;&gt;"",H25&lt;&gt;"Complete",H25&lt;&gt;"Verified"),MAX(0,TODAY()-G25),0)</x:f>
        <x:v>0</x:v>
      </x:c>
    </x:row>
    <x:row r="26">
      <x:c r="A26" s="129" t="str"/>
      <x:c r="B26" s="129" t="str"/>
      <x:c r="C26" s="129" t="str"/>
      <x:c r="D26" s="129" t="str"/>
      <x:c r="E26" s="129" t="str"/>
      <x:c r="F26" s="129" t="str"/>
      <x:c r="G26" s="142" t="str"/>
      <x:c r="H26" s="129" t="str">
        <x:v>Open</x:v>
      </x:c>
      <x:c r="I26" s="142" t="str"/>
      <x:c r="J26" s="129" t="str"/>
      <x:c r="K26" s="129" t="n">
        <x:f>IF(AND(G26&lt;&gt;"",H26&lt;&gt;"Complete",H26&lt;&gt;"Verified"),MAX(0,TODAY()-G26),0)</x:f>
        <x:v>0</x:v>
      </x:c>
    </x:row>
    <x:row r="27">
      <x:c r="A27" s="129" t="str"/>
      <x:c r="B27" s="129" t="str"/>
      <x:c r="C27" s="129" t="str"/>
      <x:c r="D27" s="129" t="str"/>
      <x:c r="E27" s="129" t="str"/>
      <x:c r="F27" s="129" t="str"/>
      <x:c r="G27" s="142" t="str"/>
      <x:c r="H27" s="129" t="str">
        <x:v>Open</x:v>
      </x:c>
      <x:c r="I27" s="142" t="str"/>
      <x:c r="J27" s="129" t="str"/>
      <x:c r="K27" s="129" t="n">
        <x:f>IF(AND(G27&lt;&gt;"",H27&lt;&gt;"Complete",H27&lt;&gt;"Verified"),MAX(0,TODAY()-G27),0)</x:f>
        <x:v>0</x:v>
      </x:c>
    </x:row>
    <x:row r="28">
      <x:c r="A28" s="129" t="str"/>
      <x:c r="B28" s="129" t="str"/>
      <x:c r="C28" s="129" t="str"/>
      <x:c r="D28" s="129" t="str"/>
      <x:c r="E28" s="129" t="str"/>
      <x:c r="F28" s="129" t="str"/>
      <x:c r="G28" s="142" t="str"/>
      <x:c r="H28" s="129" t="str">
        <x:v>Open</x:v>
      </x:c>
      <x:c r="I28" s="142" t="str"/>
      <x:c r="J28" s="129" t="str"/>
      <x:c r="K28" s="129" t="n">
        <x:f>IF(AND(G28&lt;&gt;"",H28&lt;&gt;"Complete",H28&lt;&gt;"Verified"),MAX(0,TODAY()-G28),0)</x:f>
        <x:v>0</x:v>
      </x:c>
    </x:row>
    <x:row r="29">
      <x:c r="A29" s="129" t="str"/>
      <x:c r="B29" s="129" t="str"/>
      <x:c r="C29" s="129" t="str"/>
      <x:c r="D29" s="129" t="str"/>
      <x:c r="E29" s="129" t="str"/>
      <x:c r="F29" s="129" t="str"/>
      <x:c r="G29" s="142" t="str"/>
      <x:c r="H29" s="129" t="str">
        <x:v>Open</x:v>
      </x:c>
      <x:c r="I29" s="142" t="str"/>
      <x:c r="J29" s="129" t="str"/>
      <x:c r="K29" s="129" t="n">
        <x:f>IF(AND(G29&lt;&gt;"",H29&lt;&gt;"Complete",H29&lt;&gt;"Verified"),MAX(0,TODAY()-G29),0)</x:f>
        <x:v>0</x:v>
      </x:c>
    </x:row>
    <x:row r="30">
      <x:c r="A30" s="129" t="str"/>
      <x:c r="B30" s="129" t="str"/>
      <x:c r="C30" s="129" t="str"/>
      <x:c r="D30" s="129" t="str"/>
      <x:c r="E30" s="129" t="str"/>
      <x:c r="F30" s="129" t="str"/>
      <x:c r="G30" s="142" t="str"/>
      <x:c r="H30" s="129" t="str">
        <x:v>Open</x:v>
      </x:c>
      <x:c r="I30" s="142" t="str"/>
      <x:c r="J30" s="129" t="str"/>
      <x:c r="K30" s="129" t="n">
        <x:f>IF(AND(G30&lt;&gt;"",H30&lt;&gt;"Complete",H30&lt;&gt;"Verified"),MAX(0,TODAY()-G30),0)</x:f>
        <x:v>0</x:v>
      </x:c>
    </x:row>
    <x:row r="31">
      <x:c r="A31" s="129" t="str"/>
      <x:c r="B31" s="129" t="str"/>
      <x:c r="C31" s="129" t="str"/>
      <x:c r="D31" s="129" t="str"/>
      <x:c r="E31" s="129" t="str"/>
      <x:c r="F31" s="129" t="str"/>
      <x:c r="G31" s="142" t="str"/>
      <x:c r="H31" s="129" t="str">
        <x:v>Open</x:v>
      </x:c>
      <x:c r="I31" s="142" t="str"/>
      <x:c r="J31" s="129" t="str"/>
      <x:c r="K31" s="129" t="n">
        <x:f>IF(AND(G31&lt;&gt;"",H31&lt;&gt;"Complete",H31&lt;&gt;"Verified"),MAX(0,TODAY()-G31),0)</x:f>
        <x:v>0</x:v>
      </x:c>
    </x:row>
    <x:row r="32">
      <x:c r="A32" s="129" t="str"/>
      <x:c r="B32" s="129" t="str"/>
      <x:c r="C32" s="129" t="str"/>
      <x:c r="D32" s="129" t="str"/>
      <x:c r="E32" s="129" t="str"/>
      <x:c r="F32" s="129" t="str"/>
      <x:c r="G32" s="142" t="str"/>
      <x:c r="H32" s="129" t="str">
        <x:v>Open</x:v>
      </x:c>
      <x:c r="I32" s="142" t="str"/>
      <x:c r="J32" s="129" t="str"/>
      <x:c r="K32" s="129" t="n">
        <x:f>IF(AND(G32&lt;&gt;"",H32&lt;&gt;"Complete",H32&lt;&gt;"Verified"),MAX(0,TODAY()-G32),0)</x:f>
        <x:v>0</x:v>
      </x:c>
    </x:row>
    <x:row r="33">
      <x:c r="A33" s="129" t="str"/>
      <x:c r="B33" s="129" t="str"/>
      <x:c r="C33" s="129" t="str"/>
      <x:c r="D33" s="129" t="str"/>
      <x:c r="E33" s="129" t="str"/>
      <x:c r="F33" s="129" t="str"/>
      <x:c r="G33" s="142" t="str"/>
      <x:c r="H33" s="129" t="str">
        <x:v>Open</x:v>
      </x:c>
      <x:c r="I33" s="142" t="str"/>
      <x:c r="J33" s="129" t="str"/>
      <x:c r="K33" s="129" t="n">
        <x:f>IF(AND(G33&lt;&gt;"",H33&lt;&gt;"Complete",H33&lt;&gt;"Verified"),MAX(0,TODAY()-G33),0)</x:f>
        <x:v>0</x:v>
      </x:c>
    </x:row>
    <x:row r="34">
      <x:c r="A34" s="129" t="str"/>
      <x:c r="B34" s="129" t="str"/>
      <x:c r="C34" s="129" t="str"/>
      <x:c r="D34" s="129" t="str"/>
      <x:c r="E34" s="129" t="str"/>
      <x:c r="F34" s="129" t="str"/>
      <x:c r="G34" s="142" t="str"/>
      <x:c r="H34" s="129" t="str">
        <x:v>Open</x:v>
      </x:c>
      <x:c r="I34" s="142" t="str"/>
      <x:c r="J34" s="129" t="str"/>
      <x:c r="K34" s="129" t="n">
        <x:f>IF(AND(G34&lt;&gt;"",H34&lt;&gt;"Complete",H34&lt;&gt;"Verified"),MAX(0,TODAY()-G34),0)</x:f>
        <x:v>0</x:v>
      </x:c>
    </x:row>
  </x:sheetData>
  <x:mergeCells>
    <x:mergeCell ref="A1:K1"/>
    <x:mergeCell ref="A2:K2"/>
  </x:mergeCells>
  <x:conditionalFormatting sqref="H5:H34">
    <x:cfRule type="cellIs" dxfId="0" priority="1">
      <x:formula>"Complete"</x:formula>
    </x:cfRule>
    <x:cfRule type="cellIs" dxfId="1" priority="2">
      <x:formula>"Verified"</x:formula>
    </x:cfRule>
    <x:cfRule type="cellIs" dxfId="2" priority="3">
      <x:formula>"Overdue"</x:formula>
    </x:cfRule>
    <x:cfRule type="cellIs" dxfId="3" priority="4">
      <x:formula>"Open"</x:formula>
    </x:cfRule>
  </x:conditionalFormatting>
  <x:conditionalFormatting sqref="K5:K34">
    <x:cfRule type="cellIs" dxfId="4" priority="5" operator="greaterThan">
      <x:formula>0</x:formula>
    </x:cfRule>
  </x:conditionalFormatting>
  <x:dataValidations count="2">
    <x:dataValidation type="list" sqref="E5:E34">
      <x:formula1>"Critical,High,Medium,Low,Monitor"</x:formula1>
    </x:dataValidation>
    <x:dataValidation type="list" sqref="H5:H34">
      <x:formula1>"Open,In Progress,Complete,Overdue,Deferred,Cancelled,Verified"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a8178c2ea14a6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7.25" hidden="0" customWidth="1"/>
    <x:col min="2" max="2" width="13.25" hidden="0" customWidth="1"/>
    <x:col min="3" max="3" width="14.380000114440918" hidden="0" customWidth="1"/>
    <x:col min="4" max="4" width="10.25" hidden="0" customWidth="1"/>
    <x:col min="5" max="5" width="9.880000114440918" hidden="0" customWidth="1"/>
    <x:col min="6" max="6" width="9.5" hidden="0" customWidth="1"/>
    <x:col min="7" max="7" width="9.630000114440918" hidden="0" customWidth="1"/>
    <x:col min="8" max="8" width="11.380000114440918" hidden="0" customWidth="1"/>
    <x:col min="9" max="9" width="12.5" hidden="0" customWidth="1"/>
    <x:col min="10" max="10" width="7.380000114440918" hidden="0" customWidth="1"/>
    <x:col min="11" max="11" width="14.130000114440918" hidden="0" customWidth="1"/>
    <x:col min="12" max="12" width="7.130000114440918" hidden="0" customWidth="1"/>
    <x:col min="13" max="13" width="17.1299991607666" hidden="0" customWidth="1"/>
  </x:cols>
  <x:sheetData>
    <x:row r="1" ht="30" customHeight="1">
      <x:c r="A1" s="106" t="str">
        <x:v>PM FREQUENCY ENGINE</x:v>
      </x:c>
      <x:c r="B1" s="106"/>
      <x:c r="C1" s="106"/>
      <x:c r="D1" s="106"/>
      <x:c r="E1" s="106"/>
      <x:c r="F1" s="106"/>
      <x:c r="G1" s="106"/>
      <x:c r="H1" s="106"/>
      <x:c r="I1" s="106"/>
      <x:c r="J1" s="106"/>
      <x:c r="K1" s="106"/>
      <x:c r="L1" s="106"/>
      <x:c r="M1" s="106"/>
    </x:row>
    <x:row r="2" ht="32" customHeight="1">
      <x:c r="A2" s="113" t="str">
        <x:v>Build a master PM register and calculate next due dates automatically.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13"/>
      <x:c r="L2" s="113"/>
      <x:c r="M2" s="113"/>
    </x:row>
    <x:row r="4" ht="26" customHeight="1">
      <x:c r="A4" s="121" t="str">
        <x:v>PM ID</x:v>
      </x:c>
      <x:c r="B4" s="121" t="str">
        <x:v>Equipment Tag</x:v>
      </x:c>
      <x:c r="C4" s="121" t="str">
        <x:v>Task Description</x:v>
      </x:c>
      <x:c r="D4" s="121" t="str">
        <x:v>Frequency</x:v>
      </x:c>
      <x:c r="E4" s="121" t="str">
        <x:v>Last Done</x:v>
      </x:c>
      <x:c r="F4" s="121" t="str">
        <x:v>Next Due</x:v>
      </x:c>
      <x:c r="G4" s="121" t="str">
        <x:v>Criticality</x:v>
      </x:c>
      <x:c r="H4" s="121" t="str">
        <x:v>Responsible</x:v>
      </x:c>
      <x:c r="I4" s="121" t="str">
        <x:v>WO Template</x:v>
      </x:c>
      <x:c r="J4" s="121" t="str">
        <x:v>Status</x:v>
      </x:c>
      <x:c r="K4" s="121" t="str">
        <x:v>Action Required</x:v>
      </x:c>
      <x:c r="L4" s="121" t="str">
        <x:v>Notes</x:v>
      </x:c>
      <x:c r="M4" s="121" t="str">
        <x:v>Running Hours Basis</x:v>
      </x:c>
    </x:row>
    <x:row r="5">
      <x:c r="A5" s="129" t="str">
        <x:v>PM-001</x:v>
      </x:c>
      <x:c r="B5" s="129" t="str"/>
      <x:c r="C5" s="129" t="str"/>
      <x:c r="D5" s="129" t="str">
        <x:v>M</x:v>
      </x:c>
      <x:c r="E5" s="142" t="str"/>
      <x:c r="F5" s="142" t="str">
        <x:f>IF(E5="","",E5+IF(D5="D",1,IF(D5="W",7,IF(D5="M",30,IF(D5="Q",91,IF(D5="A",365,IF(D5="6M",182,30)))))))</x:f>
      </x:c>
      <x:c r="G5" s="129" t="str"/>
      <x:c r="H5" s="129" t="str"/>
      <x:c r="I5" s="129" t="str"/>
      <x:c r="J5" s="129" t="str">
        <x:v>Open</x:v>
      </x:c>
      <x:c r="K5" s="129" t="str"/>
      <x:c r="L5" s="129" t="str"/>
      <x:c r="M5" s="129" t="str"/>
    </x:row>
    <x:row r="6">
      <x:c r="A6" s="129" t="str">
        <x:v>PM-002</x:v>
      </x:c>
      <x:c r="B6" s="129" t="str"/>
      <x:c r="C6" s="129" t="str"/>
      <x:c r="D6" s="129" t="str"/>
      <x:c r="E6" s="142" t="str"/>
      <x:c r="F6" s="142" t="str">
        <x:f>IF(E6="","",E6+IF(D6="D",1,IF(D6="W",7,IF(D6="M",30,IF(D6="Q",91,IF(D6="A",365,IF(D6="6M",182,30)))))))</x:f>
      </x:c>
      <x:c r="G6" s="129" t="str"/>
      <x:c r="H6" s="129" t="str"/>
      <x:c r="I6" s="129" t="str"/>
      <x:c r="J6" s="129" t="str">
        <x:v>Open</x:v>
      </x:c>
      <x:c r="K6" s="129" t="str"/>
      <x:c r="L6" s="129" t="str"/>
      <x:c r="M6" s="129" t="str"/>
    </x:row>
    <x:row r="7">
      <x:c r="A7" s="129" t="str">
        <x:v>PM-003</x:v>
      </x:c>
      <x:c r="B7" s="129" t="str"/>
      <x:c r="C7" s="129" t="str"/>
      <x:c r="D7" s="129" t="str"/>
      <x:c r="E7" s="142" t="str"/>
      <x:c r="F7" s="142" t="str">
        <x:f>IF(E7="","",E7+IF(D7="D",1,IF(D7="W",7,IF(D7="M",30,IF(D7="Q",91,IF(D7="A",365,IF(D7="6M",182,30)))))))</x:f>
      </x:c>
      <x:c r="G7" s="129" t="str"/>
      <x:c r="H7" s="129" t="str"/>
      <x:c r="I7" s="129" t="str"/>
      <x:c r="J7" s="129" t="str">
        <x:v>Open</x:v>
      </x:c>
      <x:c r="K7" s="129" t="str"/>
      <x:c r="L7" s="129" t="str"/>
      <x:c r="M7" s="129" t="str"/>
    </x:row>
    <x:row r="8">
      <x:c r="A8" s="129" t="str">
        <x:v>PM-004</x:v>
      </x:c>
      <x:c r="B8" s="129" t="str"/>
      <x:c r="C8" s="129" t="str"/>
      <x:c r="D8" s="129" t="str"/>
      <x:c r="E8" s="142" t="str"/>
      <x:c r="F8" s="142" t="str">
        <x:f>IF(E8="","",E8+IF(D8="D",1,IF(D8="W",7,IF(D8="M",30,IF(D8="Q",91,IF(D8="A",365,IF(D8="6M",182,30)))))))</x:f>
      </x:c>
      <x:c r="G8" s="129" t="str"/>
      <x:c r="H8" s="129" t="str"/>
      <x:c r="I8" s="129" t="str"/>
      <x:c r="J8" s="129" t="str">
        <x:v>Open</x:v>
      </x:c>
      <x:c r="K8" s="129" t="str"/>
      <x:c r="L8" s="129" t="str"/>
      <x:c r="M8" s="129" t="str"/>
    </x:row>
    <x:row r="9">
      <x:c r="A9" s="129" t="str">
        <x:v>PM-005</x:v>
      </x:c>
      <x:c r="B9" s="129" t="str"/>
      <x:c r="C9" s="129" t="str"/>
      <x:c r="D9" s="129" t="str"/>
      <x:c r="E9" s="142" t="str"/>
      <x:c r="F9" s="142" t="str">
        <x:f>IF(E9="","",E9+IF(D9="D",1,IF(D9="W",7,IF(D9="M",30,IF(D9="Q",91,IF(D9="A",365,IF(D9="6M",182,30)))))))</x:f>
      </x:c>
      <x:c r="G9" s="129" t="str"/>
      <x:c r="H9" s="129" t="str"/>
      <x:c r="I9" s="129" t="str"/>
      <x:c r="J9" s="129" t="str">
        <x:v>Open</x:v>
      </x:c>
      <x:c r="K9" s="129" t="str"/>
      <x:c r="L9" s="129" t="str"/>
      <x:c r="M9" s="129" t="str"/>
    </x:row>
    <x:row r="10">
      <x:c r="A10" s="129" t="str">
        <x:v>PM-006</x:v>
      </x:c>
      <x:c r="B10" s="129" t="str"/>
      <x:c r="C10" s="129" t="str"/>
      <x:c r="D10" s="129" t="str"/>
      <x:c r="E10" s="142" t="str"/>
      <x:c r="F10" s="142" t="str">
        <x:f>IF(E10="","",E10+IF(D10="D",1,IF(D10="W",7,IF(D10="M",30,IF(D10="Q",91,IF(D10="A",365,IF(D10="6M",182,30)))))))</x:f>
      </x:c>
      <x:c r="G10" s="129" t="str"/>
      <x:c r="H10" s="129" t="str"/>
      <x:c r="I10" s="129" t="str"/>
      <x:c r="J10" s="129" t="str">
        <x:v>Open</x:v>
      </x:c>
      <x:c r="K10" s="129" t="str"/>
      <x:c r="L10" s="129" t="str"/>
      <x:c r="M10" s="129" t="str"/>
    </x:row>
    <x:row r="11">
      <x:c r="A11" s="129" t="str">
        <x:v>PM-007</x:v>
      </x:c>
      <x:c r="B11" s="129" t="str"/>
      <x:c r="C11" s="129" t="str"/>
      <x:c r="D11" s="129" t="str"/>
      <x:c r="E11" s="142" t="str"/>
      <x:c r="F11" s="142" t="str">
        <x:f>IF(E11="","",E11+IF(D11="D",1,IF(D11="W",7,IF(D11="M",30,IF(D11="Q",91,IF(D11="A",365,IF(D11="6M",182,30)))))))</x:f>
      </x:c>
      <x:c r="G11" s="129" t="str"/>
      <x:c r="H11" s="129" t="str"/>
      <x:c r="I11" s="129" t="str"/>
      <x:c r="J11" s="129" t="str">
        <x:v>Open</x:v>
      </x:c>
      <x:c r="K11" s="129" t="str"/>
      <x:c r="L11" s="129" t="str"/>
      <x:c r="M11" s="129" t="str"/>
    </x:row>
    <x:row r="12">
      <x:c r="A12" s="129" t="str">
        <x:v>PM-008</x:v>
      </x:c>
      <x:c r="B12" s="129" t="str"/>
      <x:c r="C12" s="129" t="str"/>
      <x:c r="D12" s="129" t="str"/>
      <x:c r="E12" s="142" t="str"/>
      <x:c r="F12" s="142" t="str">
        <x:f>IF(E12="","",E12+IF(D12="D",1,IF(D12="W",7,IF(D12="M",30,IF(D12="Q",91,IF(D12="A",365,IF(D12="6M",182,30)))))))</x:f>
      </x:c>
      <x:c r="G12" s="129" t="str"/>
      <x:c r="H12" s="129" t="str"/>
      <x:c r="I12" s="129" t="str"/>
      <x:c r="J12" s="129" t="str">
        <x:v>Open</x:v>
      </x:c>
      <x:c r="K12" s="129" t="str"/>
      <x:c r="L12" s="129" t="str"/>
      <x:c r="M12" s="129" t="str"/>
    </x:row>
    <x:row r="13">
      <x:c r="A13" s="129" t="str">
        <x:v>PM-009</x:v>
      </x:c>
      <x:c r="B13" s="129" t="str"/>
      <x:c r="C13" s="129" t="str"/>
      <x:c r="D13" s="129" t="str"/>
      <x:c r="E13" s="142" t="str"/>
      <x:c r="F13" s="142" t="str">
        <x:f>IF(E13="","",E13+IF(D13="D",1,IF(D13="W",7,IF(D13="M",30,IF(D13="Q",91,IF(D13="A",365,IF(D13="6M",182,30)))))))</x:f>
      </x:c>
      <x:c r="G13" s="129" t="str"/>
      <x:c r="H13" s="129" t="str"/>
      <x:c r="I13" s="129" t="str"/>
      <x:c r="J13" s="129" t="str">
        <x:v>Open</x:v>
      </x:c>
      <x:c r="K13" s="129" t="str"/>
      <x:c r="L13" s="129" t="str"/>
      <x:c r="M13" s="129" t="str"/>
    </x:row>
    <x:row r="14">
      <x:c r="A14" s="129" t="str">
        <x:v>PM-010</x:v>
      </x:c>
      <x:c r="B14" s="129" t="str"/>
      <x:c r="C14" s="129" t="str"/>
      <x:c r="D14" s="129" t="str"/>
      <x:c r="E14" s="142" t="str"/>
      <x:c r="F14" s="142" t="str">
        <x:f>IF(E14="","",E14+IF(D14="D",1,IF(D14="W",7,IF(D14="M",30,IF(D14="Q",91,IF(D14="A",365,IF(D14="6M",182,30)))))))</x:f>
      </x:c>
      <x:c r="G14" s="129" t="str"/>
      <x:c r="H14" s="129" t="str"/>
      <x:c r="I14" s="129" t="str"/>
      <x:c r="J14" s="129" t="str">
        <x:v>Open</x:v>
      </x:c>
      <x:c r="K14" s="129" t="str"/>
      <x:c r="L14" s="129" t="str"/>
      <x:c r="M14" s="129" t="str"/>
    </x:row>
    <x:row r="15">
      <x:c r="A15" s="129" t="str">
        <x:v>PM-011</x:v>
      </x:c>
      <x:c r="B15" s="129" t="str"/>
      <x:c r="C15" s="129" t="str"/>
      <x:c r="D15" s="129" t="str"/>
      <x:c r="E15" s="142" t="str"/>
      <x:c r="F15" s="142" t="str">
        <x:f>IF(E15="","",E15+IF(D15="D",1,IF(D15="W",7,IF(D15="M",30,IF(D15="Q",91,IF(D15="A",365,IF(D15="6M",182,30)))))))</x:f>
      </x:c>
      <x:c r="G15" s="129" t="str"/>
      <x:c r="H15" s="129" t="str"/>
      <x:c r="I15" s="129" t="str"/>
      <x:c r="J15" s="129" t="str">
        <x:v>Open</x:v>
      </x:c>
      <x:c r="K15" s="129" t="str"/>
      <x:c r="L15" s="129" t="str"/>
      <x:c r="M15" s="129" t="str"/>
    </x:row>
    <x:row r="16">
      <x:c r="A16" s="129" t="str">
        <x:v>PM-012</x:v>
      </x:c>
      <x:c r="B16" s="129" t="str"/>
      <x:c r="C16" s="129" t="str"/>
      <x:c r="D16" s="129" t="str"/>
      <x:c r="E16" s="142" t="str"/>
      <x:c r="F16" s="142" t="str">
        <x:f>IF(E16="","",E16+IF(D16="D",1,IF(D16="W",7,IF(D16="M",30,IF(D16="Q",91,IF(D16="A",365,IF(D16="6M",182,30)))))))</x:f>
      </x:c>
      <x:c r="G16" s="129" t="str"/>
      <x:c r="H16" s="129" t="str"/>
      <x:c r="I16" s="129" t="str"/>
      <x:c r="J16" s="129" t="str">
        <x:v>Open</x:v>
      </x:c>
      <x:c r="K16" s="129" t="str"/>
      <x:c r="L16" s="129" t="str"/>
      <x:c r="M16" s="129" t="str"/>
    </x:row>
    <x:row r="17">
      <x:c r="A17" s="129" t="str">
        <x:v>PM-013</x:v>
      </x:c>
      <x:c r="B17" s="129" t="str"/>
      <x:c r="C17" s="129" t="str"/>
      <x:c r="D17" s="129" t="str"/>
      <x:c r="E17" s="142" t="str"/>
      <x:c r="F17" s="142" t="str">
        <x:f>IF(E17="","",E17+IF(D17="D",1,IF(D17="W",7,IF(D17="M",30,IF(D17="Q",91,IF(D17="A",365,IF(D17="6M",182,30)))))))</x:f>
      </x:c>
      <x:c r="G17" s="129" t="str"/>
      <x:c r="H17" s="129" t="str"/>
      <x:c r="I17" s="129" t="str"/>
      <x:c r="J17" s="129" t="str">
        <x:v>Open</x:v>
      </x:c>
      <x:c r="K17" s="129" t="str"/>
      <x:c r="L17" s="129" t="str"/>
      <x:c r="M17" s="129" t="str"/>
    </x:row>
    <x:row r="18">
      <x:c r="A18" s="129" t="str">
        <x:v>PM-014</x:v>
      </x:c>
      <x:c r="B18" s="129" t="str"/>
      <x:c r="C18" s="129" t="str"/>
      <x:c r="D18" s="129" t="str"/>
      <x:c r="E18" s="142" t="str"/>
      <x:c r="F18" s="142" t="str">
        <x:f>IF(E18="","",E18+IF(D18="D",1,IF(D18="W",7,IF(D18="M",30,IF(D18="Q",91,IF(D18="A",365,IF(D18="6M",182,30)))))))</x:f>
      </x:c>
      <x:c r="G18" s="129" t="str"/>
      <x:c r="H18" s="129" t="str"/>
      <x:c r="I18" s="129" t="str"/>
      <x:c r="J18" s="129" t="str">
        <x:v>Open</x:v>
      </x:c>
      <x:c r="K18" s="129" t="str"/>
      <x:c r="L18" s="129" t="str"/>
      <x:c r="M18" s="129" t="str"/>
    </x:row>
    <x:row r="19">
      <x:c r="A19" s="129" t="str">
        <x:v>PM-015</x:v>
      </x:c>
      <x:c r="B19" s="129" t="str"/>
      <x:c r="C19" s="129" t="str"/>
      <x:c r="D19" s="129" t="str"/>
      <x:c r="E19" s="142" t="str"/>
      <x:c r="F19" s="142" t="str">
        <x:f>IF(E19="","",E19+IF(D19="D",1,IF(D19="W",7,IF(D19="M",30,IF(D19="Q",91,IF(D19="A",365,IF(D19="6M",182,30)))))))</x:f>
      </x:c>
      <x:c r="G19" s="129" t="str"/>
      <x:c r="H19" s="129" t="str"/>
      <x:c r="I19" s="129" t="str"/>
      <x:c r="J19" s="129" t="str">
        <x:v>Open</x:v>
      </x:c>
      <x:c r="K19" s="129" t="str"/>
      <x:c r="L19" s="129" t="str"/>
      <x:c r="M19" s="129" t="str"/>
    </x:row>
    <x:row r="20">
      <x:c r="A20" s="129" t="str">
        <x:v>PM-016</x:v>
      </x:c>
      <x:c r="B20" s="129" t="str"/>
      <x:c r="C20" s="129" t="str"/>
      <x:c r="D20" s="129" t="str"/>
      <x:c r="E20" s="142" t="str"/>
      <x:c r="F20" s="142" t="str">
        <x:f>IF(E20="","",E20+IF(D20="D",1,IF(D20="W",7,IF(D20="M",30,IF(D20="Q",91,IF(D20="A",365,IF(D20="6M",182,30)))))))</x:f>
      </x:c>
      <x:c r="G20" s="129" t="str"/>
      <x:c r="H20" s="129" t="str"/>
      <x:c r="I20" s="129" t="str"/>
      <x:c r="J20" s="129" t="str">
        <x:v>Open</x:v>
      </x:c>
      <x:c r="K20" s="129" t="str"/>
      <x:c r="L20" s="129" t="str"/>
      <x:c r="M20" s="129" t="str"/>
    </x:row>
    <x:row r="21">
      <x:c r="A21" s="129" t="str">
        <x:v>PM-017</x:v>
      </x:c>
      <x:c r="B21" s="129" t="str"/>
      <x:c r="C21" s="129" t="str"/>
      <x:c r="D21" s="129" t="str"/>
      <x:c r="E21" s="142" t="str"/>
      <x:c r="F21" s="142" t="str">
        <x:f>IF(E21="","",E21+IF(D21="D",1,IF(D21="W",7,IF(D21="M",30,IF(D21="Q",91,IF(D21="A",365,IF(D21="6M",182,30)))))))</x:f>
      </x:c>
      <x:c r="G21" s="129" t="str"/>
      <x:c r="H21" s="129" t="str"/>
      <x:c r="I21" s="129" t="str"/>
      <x:c r="J21" s="129" t="str">
        <x:v>Open</x:v>
      </x:c>
      <x:c r="K21" s="129" t="str"/>
      <x:c r="L21" s="129" t="str"/>
      <x:c r="M21" s="129" t="str"/>
    </x:row>
    <x:row r="22">
      <x:c r="A22" s="129" t="str">
        <x:v>PM-018</x:v>
      </x:c>
      <x:c r="B22" s="129" t="str"/>
      <x:c r="C22" s="129" t="str"/>
      <x:c r="D22" s="129" t="str"/>
      <x:c r="E22" s="142" t="str"/>
      <x:c r="F22" s="142" t="str">
        <x:f>IF(E22="","",E22+IF(D22="D",1,IF(D22="W",7,IF(D22="M",30,IF(D22="Q",91,IF(D22="A",365,IF(D22="6M",182,30)))))))</x:f>
      </x:c>
      <x:c r="G22" s="129" t="str"/>
      <x:c r="H22" s="129" t="str"/>
      <x:c r="I22" s="129" t="str"/>
      <x:c r="J22" s="129" t="str">
        <x:v>Open</x:v>
      </x:c>
      <x:c r="K22" s="129" t="str"/>
      <x:c r="L22" s="129" t="str"/>
      <x:c r="M22" s="129" t="str"/>
    </x:row>
    <x:row r="23">
      <x:c r="A23" s="129" t="str">
        <x:v>PM-019</x:v>
      </x:c>
      <x:c r="B23" s="129" t="str"/>
      <x:c r="C23" s="129" t="str"/>
      <x:c r="D23" s="129" t="str"/>
      <x:c r="E23" s="142" t="str"/>
      <x:c r="F23" s="142" t="str">
        <x:f>IF(E23="","",E23+IF(D23="D",1,IF(D23="W",7,IF(D23="M",30,IF(D23="Q",91,IF(D23="A",365,IF(D23="6M",182,30)))))))</x:f>
      </x:c>
      <x:c r="G23" s="129" t="str"/>
      <x:c r="H23" s="129" t="str"/>
      <x:c r="I23" s="129" t="str"/>
      <x:c r="J23" s="129" t="str">
        <x:v>Open</x:v>
      </x:c>
      <x:c r="K23" s="129" t="str"/>
      <x:c r="L23" s="129" t="str"/>
      <x:c r="M23" s="129" t="str"/>
    </x:row>
    <x:row r="24">
      <x:c r="A24" s="129" t="str">
        <x:v>PM-020</x:v>
      </x:c>
      <x:c r="B24" s="129" t="str"/>
      <x:c r="C24" s="129" t="str"/>
      <x:c r="D24" s="129" t="str"/>
      <x:c r="E24" s="142" t="str"/>
      <x:c r="F24" s="142" t="str">
        <x:f>IF(E24="","",E24+IF(D24="D",1,IF(D24="W",7,IF(D24="M",30,IF(D24="Q",91,IF(D24="A",365,IF(D24="6M",182,30)))))))</x:f>
      </x:c>
      <x:c r="G24" s="129" t="str"/>
      <x:c r="H24" s="129" t="str"/>
      <x:c r="I24" s="129" t="str"/>
      <x:c r="J24" s="129" t="str">
        <x:v>Open</x:v>
      </x:c>
      <x:c r="K24" s="129" t="str"/>
      <x:c r="L24" s="129" t="str"/>
      <x:c r="M24" s="129" t="str"/>
    </x:row>
    <x:row r="25">
      <x:c r="A25" s="129" t="str">
        <x:v>PM-021</x:v>
      </x:c>
      <x:c r="B25" s="129" t="str"/>
      <x:c r="C25" s="129" t="str"/>
      <x:c r="D25" s="129" t="str"/>
      <x:c r="E25" s="142" t="str"/>
      <x:c r="F25" s="142" t="str">
        <x:f>IF(E25="","",E25+IF(D25="D",1,IF(D25="W",7,IF(D25="M",30,IF(D25="Q",91,IF(D25="A",365,IF(D25="6M",182,30)))))))</x:f>
      </x:c>
      <x:c r="G25" s="129" t="str"/>
      <x:c r="H25" s="129" t="str"/>
      <x:c r="I25" s="129" t="str"/>
      <x:c r="J25" s="129" t="str">
        <x:v>Open</x:v>
      </x:c>
      <x:c r="K25" s="129" t="str"/>
      <x:c r="L25" s="129" t="str"/>
      <x:c r="M25" s="129" t="str"/>
    </x:row>
    <x:row r="26">
      <x:c r="A26" s="129" t="str">
        <x:v>PM-022</x:v>
      </x:c>
      <x:c r="B26" s="129" t="str"/>
      <x:c r="C26" s="129" t="str"/>
      <x:c r="D26" s="129" t="str"/>
      <x:c r="E26" s="142" t="str"/>
      <x:c r="F26" s="142" t="str">
        <x:f>IF(E26="","",E26+IF(D26="D",1,IF(D26="W",7,IF(D26="M",30,IF(D26="Q",91,IF(D26="A",365,IF(D26="6M",182,30)))))))</x:f>
      </x:c>
      <x:c r="G26" s="129" t="str"/>
      <x:c r="H26" s="129" t="str"/>
      <x:c r="I26" s="129" t="str"/>
      <x:c r="J26" s="129" t="str">
        <x:v>Open</x:v>
      </x:c>
      <x:c r="K26" s="129" t="str"/>
      <x:c r="L26" s="129" t="str"/>
      <x:c r="M26" s="129" t="str"/>
    </x:row>
    <x:row r="27">
      <x:c r="A27" s="129" t="str">
        <x:v>PM-023</x:v>
      </x:c>
      <x:c r="B27" s="129" t="str"/>
      <x:c r="C27" s="129" t="str"/>
      <x:c r="D27" s="129" t="str"/>
      <x:c r="E27" s="142" t="str"/>
      <x:c r="F27" s="142" t="str">
        <x:f>IF(E27="","",E27+IF(D27="D",1,IF(D27="W",7,IF(D27="M",30,IF(D27="Q",91,IF(D27="A",365,IF(D27="6M",182,30)))))))</x:f>
      </x:c>
      <x:c r="G27" s="129" t="str"/>
      <x:c r="H27" s="129" t="str"/>
      <x:c r="I27" s="129" t="str"/>
      <x:c r="J27" s="129" t="str">
        <x:v>Open</x:v>
      </x:c>
      <x:c r="K27" s="129" t="str"/>
      <x:c r="L27" s="129" t="str"/>
      <x:c r="M27" s="129" t="str"/>
    </x:row>
    <x:row r="28">
      <x:c r="A28" s="129" t="str">
        <x:v>PM-024</x:v>
      </x:c>
      <x:c r="B28" s="129" t="str"/>
      <x:c r="C28" s="129" t="str"/>
      <x:c r="D28" s="129" t="str"/>
      <x:c r="E28" s="142" t="str"/>
      <x:c r="F28" s="142" t="str">
        <x:f>IF(E28="","",E28+IF(D28="D",1,IF(D28="W",7,IF(D28="M",30,IF(D28="Q",91,IF(D28="A",365,IF(D28="6M",182,30)))))))</x:f>
      </x:c>
      <x:c r="G28" s="129" t="str"/>
      <x:c r="H28" s="129" t="str"/>
      <x:c r="I28" s="129" t="str"/>
      <x:c r="J28" s="129" t="str">
        <x:v>Open</x:v>
      </x:c>
      <x:c r="K28" s="129" t="str"/>
      <x:c r="L28" s="129" t="str"/>
      <x:c r="M28" s="129" t="str"/>
    </x:row>
    <x:row r="29">
      <x:c r="A29" s="129" t="str">
        <x:v>PM-025</x:v>
      </x:c>
      <x:c r="B29" s="129" t="str"/>
      <x:c r="C29" s="129" t="str"/>
      <x:c r="D29" s="129" t="str"/>
      <x:c r="E29" s="142" t="str"/>
      <x:c r="F29" s="142" t="str">
        <x:f>IF(E29="","",E29+IF(D29="D",1,IF(D29="W",7,IF(D29="M",30,IF(D29="Q",91,IF(D29="A",365,IF(D29="6M",182,30)))))))</x:f>
      </x:c>
      <x:c r="G29" s="129" t="str"/>
      <x:c r="H29" s="129" t="str"/>
      <x:c r="I29" s="129" t="str"/>
      <x:c r="J29" s="129" t="str">
        <x:v>Open</x:v>
      </x:c>
      <x:c r="K29" s="129" t="str"/>
      <x:c r="L29" s="129" t="str"/>
      <x:c r="M29" s="129" t="str"/>
    </x:row>
    <x:row r="30">
      <x:c r="A30" s="129" t="str">
        <x:v>PM-026</x:v>
      </x:c>
      <x:c r="B30" s="129" t="str"/>
      <x:c r="C30" s="129" t="str"/>
      <x:c r="D30" s="129" t="str"/>
      <x:c r="E30" s="142" t="str"/>
      <x:c r="F30" s="142" t="str">
        <x:f>IF(E30="","",E30+IF(D30="D",1,IF(D30="W",7,IF(D30="M",30,IF(D30="Q",91,IF(D30="A",365,IF(D30="6M",182,30)))))))</x:f>
      </x:c>
      <x:c r="G30" s="129" t="str"/>
      <x:c r="H30" s="129" t="str"/>
      <x:c r="I30" s="129" t="str"/>
      <x:c r="J30" s="129" t="str">
        <x:v>Open</x:v>
      </x:c>
      <x:c r="K30" s="129" t="str"/>
      <x:c r="L30" s="129" t="str"/>
      <x:c r="M30" s="129" t="str"/>
    </x:row>
    <x:row r="31">
      <x:c r="A31" s="129" t="str">
        <x:v>PM-027</x:v>
      </x:c>
      <x:c r="B31" s="129" t="str"/>
      <x:c r="C31" s="129" t="str"/>
      <x:c r="D31" s="129" t="str"/>
      <x:c r="E31" s="142" t="str"/>
      <x:c r="F31" s="142" t="str">
        <x:f>IF(E31="","",E31+IF(D31="D",1,IF(D31="W",7,IF(D31="M",30,IF(D31="Q",91,IF(D31="A",365,IF(D31="6M",182,30)))))))</x:f>
      </x:c>
      <x:c r="G31" s="129" t="str"/>
      <x:c r="H31" s="129" t="str"/>
      <x:c r="I31" s="129" t="str"/>
      <x:c r="J31" s="129" t="str">
        <x:v>Open</x:v>
      </x:c>
      <x:c r="K31" s="129" t="str"/>
      <x:c r="L31" s="129" t="str"/>
      <x:c r="M31" s="129" t="str"/>
    </x:row>
    <x:row r="32">
      <x:c r="A32" s="129" t="str">
        <x:v>PM-028</x:v>
      </x:c>
      <x:c r="B32" s="129" t="str"/>
      <x:c r="C32" s="129" t="str"/>
      <x:c r="D32" s="129" t="str"/>
      <x:c r="E32" s="142" t="str"/>
      <x:c r="F32" s="142" t="str">
        <x:f>IF(E32="","",E32+IF(D32="D",1,IF(D32="W",7,IF(D32="M",30,IF(D32="Q",91,IF(D32="A",365,IF(D32="6M",182,30)))))))</x:f>
      </x:c>
      <x:c r="G32" s="129" t="str"/>
      <x:c r="H32" s="129" t="str"/>
      <x:c r="I32" s="129" t="str"/>
      <x:c r="J32" s="129" t="str">
        <x:v>Open</x:v>
      </x:c>
      <x:c r="K32" s="129" t="str"/>
      <x:c r="L32" s="129" t="str"/>
      <x:c r="M32" s="129" t="str"/>
    </x:row>
    <x:row r="33">
      <x:c r="A33" s="129" t="str">
        <x:v>PM-029</x:v>
      </x:c>
      <x:c r="B33" s="129" t="str"/>
      <x:c r="C33" s="129" t="str"/>
      <x:c r="D33" s="129" t="str"/>
      <x:c r="E33" s="142" t="str"/>
      <x:c r="F33" s="142" t="str">
        <x:f>IF(E33="","",E33+IF(D33="D",1,IF(D33="W",7,IF(D33="M",30,IF(D33="Q",91,IF(D33="A",365,IF(D33="6M",182,30)))))))</x:f>
      </x:c>
      <x:c r="G33" s="129" t="str"/>
      <x:c r="H33" s="129" t="str"/>
      <x:c r="I33" s="129" t="str"/>
      <x:c r="J33" s="129" t="str">
        <x:v>Open</x:v>
      </x:c>
      <x:c r="K33" s="129" t="str"/>
      <x:c r="L33" s="129" t="str"/>
      <x:c r="M33" s="129" t="str"/>
    </x:row>
    <x:row r="34">
      <x:c r="A34" s="129" t="str">
        <x:v>PM-030</x:v>
      </x:c>
      <x:c r="B34" s="129" t="str"/>
      <x:c r="C34" s="129" t="str"/>
      <x:c r="D34" s="129" t="str"/>
      <x:c r="E34" s="142" t="str"/>
      <x:c r="F34" s="142" t="str">
        <x:f>IF(E34="","",E34+IF(D34="D",1,IF(D34="W",7,IF(D34="M",30,IF(D34="Q",91,IF(D34="A",365,IF(D34="6M",182,30)))))))</x:f>
      </x:c>
      <x:c r="G34" s="129" t="str"/>
      <x:c r="H34" s="129" t="str"/>
      <x:c r="I34" s="129" t="str"/>
      <x:c r="J34" s="129" t="str">
        <x:v>Open</x:v>
      </x:c>
      <x:c r="K34" s="129" t="str"/>
      <x:c r="L34" s="129" t="str"/>
      <x:c r="M34" s="129" t="str"/>
    </x:row>
  </x:sheetData>
  <x:mergeCells>
    <x:mergeCell ref="A1:M1"/>
    <x:mergeCell ref="A2:M2"/>
  </x:mergeCells>
  <x:conditionalFormatting sqref="F5:F34">
    <x:cfRule type="cellIs" dxfId="5" priority="1" operator="lessThan">
      <x:formula>TODAY()</x:formula>
    </x:cfRule>
  </x:conditionalFormatting>
  <x:dataValidations count="3">
    <x:dataValidation type="list" sqref="D5:D34">
      <x:formula1>"D,W,M,Q,6M,A,Running Hours"</x:formula1>
    </x:dataValidation>
    <x:dataValidation type="list" sqref="G5:G34">
      <x:formula1>"A - Critical,B - Important,C - General"</x:formula1>
    </x:dataValidation>
    <x:dataValidation type="list" sqref="J5:J34">
      <x:formula1>"Open,Planned,Issued,Complete,Overdue,Deferred"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dbc1b97ace44da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1.75" hidden="0" customWidth="1"/>
    <x:col min="2" max="2" width="13.25" hidden="0" customWidth="1"/>
    <x:col min="3" max="3" width="11" hidden="0" customWidth="1"/>
    <x:col min="4" max="4" width="8.25" hidden="0" customWidth="1"/>
    <x:col min="5" max="5" width="11.25" hidden="0" customWidth="1"/>
    <x:col min="6" max="6" width="10.25" hidden="0" customWidth="1"/>
    <x:col min="7" max="7" width="9.630000114440918" hidden="0" customWidth="1"/>
    <x:col min="8" max="8" width="7.380000114440918" hidden="0" customWidth="1"/>
    <x:col min="9" max="9" width="11.380000114440918" hidden="0" customWidth="1"/>
    <x:col min="10" max="10" width="7.5" hidden="0" customWidth="1"/>
  </x:cols>
  <x:sheetData>
    <x:row r="1" ht="30" customHeight="1">
      <x:c r="A1" s="106" t="str">
        <x:v>BACKLOG AGEING MATRIX</x:v>
      </x:c>
      <x:c r="B1" s="106"/>
      <x:c r="C1" s="106"/>
      <x:c r="D1" s="106"/>
      <x:c r="E1" s="106"/>
      <x:c r="F1" s="106"/>
      <x:c r="G1" s="106"/>
      <x:c r="H1" s="106"/>
      <x:c r="I1" s="106"/>
      <x:c r="J1" s="106"/>
    </x:row>
    <x:row r="2" ht="32" customHeight="1">
      <x:c r="A2" s="113" t="str">
        <x:v>Track open work orders by age band and priority.</x:v>
      </x:c>
      <x:c r="B2" s="113"/>
      <x:c r="C2" s="113"/>
      <x:c r="D2" s="113"/>
      <x:c r="E2" s="113"/>
      <x:c r="F2" s="113"/>
      <x:c r="G2" s="113"/>
      <x:c r="H2" s="113"/>
      <x:c r="I2" s="113"/>
      <x:c r="J2" s="113"/>
    </x:row>
    <x:row r="4" ht="26" customHeight="1">
      <x:c r="A4" s="121" t="str">
        <x:v>WO Number</x:v>
      </x:c>
      <x:c r="B4" s="121" t="str">
        <x:v>Equipment Tag</x:v>
      </x:c>
      <x:c r="C4" s="121" t="str">
        <x:v>Description</x:v>
      </x:c>
      <x:c r="D4" s="121" t="str">
        <x:v>Priority</x:v>
      </x:c>
      <x:c r="E4" s="121" t="str">
        <x:v>Date Raised</x:v>
      </x:c>
      <x:c r="F4" s="121" t="str">
        <x:v>Age (days)</x:v>
      </x:c>
      <x:c r="G4" s="121" t="str">
        <x:v>Age Band</x:v>
      </x:c>
      <x:c r="H4" s="121" t="str">
        <x:v>Status</x:v>
      </x:c>
      <x:c r="I4" s="121" t="str">
        <x:v>Responsible</x:v>
      </x:c>
      <x:c r="J4" s="121" t="str">
        <x:v>Action</x:v>
      </x:c>
    </x:row>
    <x:row r="5">
      <x:c r="A5" s="129" t="str"/>
      <x:c r="B5" s="129" t="str"/>
      <x:c r="C5" s="129" t="str"/>
      <x:c r="D5" s="129" t="str"/>
      <x:c r="E5" s="142" t="str"/>
      <x:c r="F5" s="129" t="str">
        <x:f>IF(E5="","",TODAY()-E5)</x:f>
      </x:c>
      <x:c r="G5" s="129" t="str">
        <x:f>IF(F5="","",IF(F5&lt;=7,"0-7 days",IF(F5&lt;=30,"8-30 days",IF(F5&lt;=60,"31-60 days","60+ days"))))</x:f>
      </x:c>
      <x:c r="H5" s="129" t="str">
        <x:v>Open</x:v>
      </x:c>
      <x:c r="I5" s="129" t="str"/>
      <x:c r="J5" s="129" t="str"/>
    </x:row>
    <x:row r="6">
      <x:c r="A6" s="129" t="str"/>
      <x:c r="B6" s="129" t="str"/>
      <x:c r="C6" s="129" t="str"/>
      <x:c r="D6" s="129" t="str"/>
      <x:c r="E6" s="142" t="str"/>
      <x:c r="F6" s="129" t="str">
        <x:f>IF(E6="","",TODAY()-E6)</x:f>
      </x:c>
      <x:c r="G6" s="129" t="str">
        <x:f>IF(F6="","",IF(F6&lt;=7,"0-7 days",IF(F6&lt;=30,"8-30 days",IF(F6&lt;=60,"31-60 days","60+ days"))))</x:f>
      </x:c>
      <x:c r="H6" s="129" t="str">
        <x:v>Open</x:v>
      </x:c>
      <x:c r="I6" s="129" t="str"/>
      <x:c r="J6" s="129" t="str"/>
    </x:row>
    <x:row r="7">
      <x:c r="A7" s="129" t="str"/>
      <x:c r="B7" s="129" t="str"/>
      <x:c r="C7" s="129" t="str"/>
      <x:c r="D7" s="129" t="str"/>
      <x:c r="E7" s="142" t="str"/>
      <x:c r="F7" s="129" t="str">
        <x:f>IF(E7="","",TODAY()-E7)</x:f>
      </x:c>
      <x:c r="G7" s="129" t="str">
        <x:f>IF(F7="","",IF(F7&lt;=7,"0-7 days",IF(F7&lt;=30,"8-30 days",IF(F7&lt;=60,"31-60 days","60+ days"))))</x:f>
      </x:c>
      <x:c r="H7" s="129" t="str">
        <x:v>Open</x:v>
      </x:c>
      <x:c r="I7" s="129" t="str"/>
      <x:c r="J7" s="129" t="str"/>
    </x:row>
    <x:row r="8">
      <x:c r="A8" s="129" t="str"/>
      <x:c r="B8" s="129" t="str"/>
      <x:c r="C8" s="129" t="str"/>
      <x:c r="D8" s="129" t="str"/>
      <x:c r="E8" s="142" t="str"/>
      <x:c r="F8" s="129" t="str">
        <x:f>IF(E8="","",TODAY()-E8)</x:f>
      </x:c>
      <x:c r="G8" s="129" t="str">
        <x:f>IF(F8="","",IF(F8&lt;=7,"0-7 days",IF(F8&lt;=30,"8-30 days",IF(F8&lt;=60,"31-60 days","60+ days"))))</x:f>
      </x:c>
      <x:c r="H8" s="129" t="str">
        <x:v>Open</x:v>
      </x:c>
      <x:c r="I8" s="129" t="str"/>
      <x:c r="J8" s="129" t="str"/>
    </x:row>
    <x:row r="9">
      <x:c r="A9" s="129" t="str"/>
      <x:c r="B9" s="129" t="str"/>
      <x:c r="C9" s="129" t="str"/>
      <x:c r="D9" s="129" t="str"/>
      <x:c r="E9" s="142" t="str"/>
      <x:c r="F9" s="129" t="str">
        <x:f>IF(E9="","",TODAY()-E9)</x:f>
      </x:c>
      <x:c r="G9" s="129" t="str">
        <x:f>IF(F9="","",IF(F9&lt;=7,"0-7 days",IF(F9&lt;=30,"8-30 days",IF(F9&lt;=60,"31-60 days","60+ days"))))</x:f>
      </x:c>
      <x:c r="H9" s="129" t="str">
        <x:v>Open</x:v>
      </x:c>
      <x:c r="I9" s="129" t="str"/>
      <x:c r="J9" s="129" t="str"/>
    </x:row>
    <x:row r="10">
      <x:c r="A10" s="129" t="str"/>
      <x:c r="B10" s="129" t="str"/>
      <x:c r="C10" s="129" t="str"/>
      <x:c r="D10" s="129" t="str"/>
      <x:c r="E10" s="142" t="str"/>
      <x:c r="F10" s="129" t="str">
        <x:f>IF(E10="","",TODAY()-E10)</x:f>
      </x:c>
      <x:c r="G10" s="129" t="str">
        <x:f>IF(F10="","",IF(F10&lt;=7,"0-7 days",IF(F10&lt;=30,"8-30 days",IF(F10&lt;=60,"31-60 days","60+ days"))))</x:f>
      </x:c>
      <x:c r="H10" s="129" t="str">
        <x:v>Open</x:v>
      </x:c>
      <x:c r="I10" s="129" t="str"/>
      <x:c r="J10" s="129" t="str"/>
    </x:row>
    <x:row r="11">
      <x:c r="A11" s="129" t="str"/>
      <x:c r="B11" s="129" t="str"/>
      <x:c r="C11" s="129" t="str"/>
      <x:c r="D11" s="129" t="str"/>
      <x:c r="E11" s="142" t="str"/>
      <x:c r="F11" s="129" t="str">
        <x:f>IF(E11="","",TODAY()-E11)</x:f>
      </x:c>
      <x:c r="G11" s="129" t="str">
        <x:f>IF(F11="","",IF(F11&lt;=7,"0-7 days",IF(F11&lt;=30,"8-30 days",IF(F11&lt;=60,"31-60 days","60+ days"))))</x:f>
      </x:c>
      <x:c r="H11" s="129" t="str">
        <x:v>Open</x:v>
      </x:c>
      <x:c r="I11" s="129" t="str"/>
      <x:c r="J11" s="129" t="str"/>
    </x:row>
    <x:row r="12">
      <x:c r="A12" s="129" t="str"/>
      <x:c r="B12" s="129" t="str"/>
      <x:c r="C12" s="129" t="str"/>
      <x:c r="D12" s="129" t="str"/>
      <x:c r="E12" s="142" t="str"/>
      <x:c r="F12" s="129" t="str">
        <x:f>IF(E12="","",TODAY()-E12)</x:f>
      </x:c>
      <x:c r="G12" s="129" t="str">
        <x:f>IF(F12="","",IF(F12&lt;=7,"0-7 days",IF(F12&lt;=30,"8-30 days",IF(F12&lt;=60,"31-60 days","60+ days"))))</x:f>
      </x:c>
      <x:c r="H12" s="129" t="str">
        <x:v>Open</x:v>
      </x:c>
      <x:c r="I12" s="129" t="str"/>
      <x:c r="J12" s="129" t="str"/>
    </x:row>
    <x:row r="13">
      <x:c r="A13" s="129" t="str"/>
      <x:c r="B13" s="129" t="str"/>
      <x:c r="C13" s="129" t="str"/>
      <x:c r="D13" s="129" t="str"/>
      <x:c r="E13" s="142" t="str"/>
      <x:c r="F13" s="129" t="str">
        <x:f>IF(E13="","",TODAY()-E13)</x:f>
      </x:c>
      <x:c r="G13" s="129" t="str">
        <x:f>IF(F13="","",IF(F13&lt;=7,"0-7 days",IF(F13&lt;=30,"8-30 days",IF(F13&lt;=60,"31-60 days","60+ days"))))</x:f>
      </x:c>
      <x:c r="H13" s="129" t="str">
        <x:v>Open</x:v>
      </x:c>
      <x:c r="I13" s="129" t="str"/>
      <x:c r="J13" s="129" t="str"/>
    </x:row>
    <x:row r="14">
      <x:c r="A14" s="129" t="str"/>
      <x:c r="B14" s="129" t="str"/>
      <x:c r="C14" s="129" t="str"/>
      <x:c r="D14" s="129" t="str"/>
      <x:c r="E14" s="142" t="str"/>
      <x:c r="F14" s="129" t="str">
        <x:f>IF(E14="","",TODAY()-E14)</x:f>
      </x:c>
      <x:c r="G14" s="129" t="str">
        <x:f>IF(F14="","",IF(F14&lt;=7,"0-7 days",IF(F14&lt;=30,"8-30 days",IF(F14&lt;=60,"31-60 days","60+ days"))))</x:f>
      </x:c>
      <x:c r="H14" s="129" t="str">
        <x:v>Open</x:v>
      </x:c>
      <x:c r="I14" s="129" t="str"/>
      <x:c r="J14" s="129" t="str"/>
    </x:row>
    <x:row r="15">
      <x:c r="A15" s="129" t="str"/>
      <x:c r="B15" s="129" t="str"/>
      <x:c r="C15" s="129" t="str"/>
      <x:c r="D15" s="129" t="str"/>
      <x:c r="E15" s="142" t="str"/>
      <x:c r="F15" s="129" t="str">
        <x:f>IF(E15="","",TODAY()-E15)</x:f>
      </x:c>
      <x:c r="G15" s="129" t="str">
        <x:f>IF(F15="","",IF(F15&lt;=7,"0-7 days",IF(F15&lt;=30,"8-30 days",IF(F15&lt;=60,"31-60 days","60+ days"))))</x:f>
      </x:c>
      <x:c r="H15" s="129" t="str">
        <x:v>Open</x:v>
      </x:c>
      <x:c r="I15" s="129" t="str"/>
      <x:c r="J15" s="129" t="str"/>
    </x:row>
    <x:row r="16">
      <x:c r="A16" s="129" t="str"/>
      <x:c r="B16" s="129" t="str"/>
      <x:c r="C16" s="129" t="str"/>
      <x:c r="D16" s="129" t="str"/>
      <x:c r="E16" s="142" t="str"/>
      <x:c r="F16" s="129" t="str">
        <x:f>IF(E16="","",TODAY()-E16)</x:f>
      </x:c>
      <x:c r="G16" s="129" t="str">
        <x:f>IF(F16="","",IF(F16&lt;=7,"0-7 days",IF(F16&lt;=30,"8-30 days",IF(F16&lt;=60,"31-60 days","60+ days"))))</x:f>
      </x:c>
      <x:c r="H16" s="129" t="str">
        <x:v>Open</x:v>
      </x:c>
      <x:c r="I16" s="129" t="str"/>
      <x:c r="J16" s="129" t="str"/>
    </x:row>
    <x:row r="17">
      <x:c r="A17" s="129" t="str"/>
      <x:c r="B17" s="129" t="str"/>
      <x:c r="C17" s="129" t="str"/>
      <x:c r="D17" s="129" t="str"/>
      <x:c r="E17" s="142" t="str"/>
      <x:c r="F17" s="129" t="str">
        <x:f>IF(E17="","",TODAY()-E17)</x:f>
      </x:c>
      <x:c r="G17" s="129" t="str">
        <x:f>IF(F17="","",IF(F17&lt;=7,"0-7 days",IF(F17&lt;=30,"8-30 days",IF(F17&lt;=60,"31-60 days","60+ days"))))</x:f>
      </x:c>
      <x:c r="H17" s="129" t="str">
        <x:v>Open</x:v>
      </x:c>
      <x:c r="I17" s="129" t="str"/>
      <x:c r="J17" s="129" t="str"/>
    </x:row>
    <x:row r="18">
      <x:c r="A18" s="129" t="str"/>
      <x:c r="B18" s="129" t="str"/>
      <x:c r="C18" s="129" t="str"/>
      <x:c r="D18" s="129" t="str"/>
      <x:c r="E18" s="142" t="str"/>
      <x:c r="F18" s="129" t="str">
        <x:f>IF(E18="","",TODAY()-E18)</x:f>
      </x:c>
      <x:c r="G18" s="129" t="str">
        <x:f>IF(F18="","",IF(F18&lt;=7,"0-7 days",IF(F18&lt;=30,"8-30 days",IF(F18&lt;=60,"31-60 days","60+ days"))))</x:f>
      </x:c>
      <x:c r="H18" s="129" t="str">
        <x:v>Open</x:v>
      </x:c>
      <x:c r="I18" s="129" t="str"/>
      <x:c r="J18" s="129" t="str"/>
    </x:row>
    <x:row r="19">
      <x:c r="A19" s="129" t="str"/>
      <x:c r="B19" s="129" t="str"/>
      <x:c r="C19" s="129" t="str"/>
      <x:c r="D19" s="129" t="str"/>
      <x:c r="E19" s="142" t="str"/>
      <x:c r="F19" s="129" t="str">
        <x:f>IF(E19="","",TODAY()-E19)</x:f>
      </x:c>
      <x:c r="G19" s="129" t="str">
        <x:f>IF(F19="","",IF(F19&lt;=7,"0-7 days",IF(F19&lt;=30,"8-30 days",IF(F19&lt;=60,"31-60 days","60+ days"))))</x:f>
      </x:c>
      <x:c r="H19" s="129" t="str">
        <x:v>Open</x:v>
      </x:c>
      <x:c r="I19" s="129" t="str"/>
      <x:c r="J19" s="129" t="str"/>
    </x:row>
    <x:row r="20">
      <x:c r="A20" s="129" t="str"/>
      <x:c r="B20" s="129" t="str"/>
      <x:c r="C20" s="129" t="str"/>
      <x:c r="D20" s="129" t="str"/>
      <x:c r="E20" s="142" t="str"/>
      <x:c r="F20" s="129" t="str">
        <x:f>IF(E20="","",TODAY()-E20)</x:f>
      </x:c>
      <x:c r="G20" s="129" t="str">
        <x:f>IF(F20="","",IF(F20&lt;=7,"0-7 days",IF(F20&lt;=30,"8-30 days",IF(F20&lt;=60,"31-60 days","60+ days"))))</x:f>
      </x:c>
      <x:c r="H20" s="129" t="str">
        <x:v>Open</x:v>
      </x:c>
      <x:c r="I20" s="129" t="str"/>
      <x:c r="J20" s="129" t="str"/>
    </x:row>
    <x:row r="21">
      <x:c r="A21" s="129" t="str"/>
      <x:c r="B21" s="129" t="str"/>
      <x:c r="C21" s="129" t="str"/>
      <x:c r="D21" s="129" t="str"/>
      <x:c r="E21" s="142" t="str"/>
      <x:c r="F21" s="129" t="str">
        <x:f>IF(E21="","",TODAY()-E21)</x:f>
      </x:c>
      <x:c r="G21" s="129" t="str">
        <x:f>IF(F21="","",IF(F21&lt;=7,"0-7 days",IF(F21&lt;=30,"8-30 days",IF(F21&lt;=60,"31-60 days","60+ days"))))</x:f>
      </x:c>
      <x:c r="H21" s="129" t="str">
        <x:v>Open</x:v>
      </x:c>
      <x:c r="I21" s="129" t="str"/>
      <x:c r="J21" s="129" t="str"/>
    </x:row>
    <x:row r="22">
      <x:c r="A22" s="129" t="str"/>
      <x:c r="B22" s="129" t="str"/>
      <x:c r="C22" s="129" t="str"/>
      <x:c r="D22" s="129" t="str"/>
      <x:c r="E22" s="142" t="str"/>
      <x:c r="F22" s="129" t="str">
        <x:f>IF(E22="","",TODAY()-E22)</x:f>
      </x:c>
      <x:c r="G22" s="129" t="str">
        <x:f>IF(F22="","",IF(F22&lt;=7,"0-7 days",IF(F22&lt;=30,"8-30 days",IF(F22&lt;=60,"31-60 days","60+ days"))))</x:f>
      </x:c>
      <x:c r="H22" s="129" t="str">
        <x:v>Open</x:v>
      </x:c>
      <x:c r="I22" s="129" t="str"/>
      <x:c r="J22" s="129" t="str"/>
    </x:row>
    <x:row r="23">
      <x:c r="A23" s="129" t="str"/>
      <x:c r="B23" s="129" t="str"/>
      <x:c r="C23" s="129" t="str"/>
      <x:c r="D23" s="129" t="str"/>
      <x:c r="E23" s="142" t="str"/>
      <x:c r="F23" s="129" t="str">
        <x:f>IF(E23="","",TODAY()-E23)</x:f>
      </x:c>
      <x:c r="G23" s="129" t="str">
        <x:f>IF(F23="","",IF(F23&lt;=7,"0-7 days",IF(F23&lt;=30,"8-30 days",IF(F23&lt;=60,"31-60 days","60+ days"))))</x:f>
      </x:c>
      <x:c r="H23" s="129" t="str">
        <x:v>Open</x:v>
      </x:c>
      <x:c r="I23" s="129" t="str"/>
      <x:c r="J23" s="129" t="str"/>
    </x:row>
    <x:row r="24">
      <x:c r="A24" s="129" t="str"/>
      <x:c r="B24" s="129" t="str"/>
      <x:c r="C24" s="129" t="str"/>
      <x:c r="D24" s="129" t="str"/>
      <x:c r="E24" s="142" t="str"/>
      <x:c r="F24" s="129" t="str">
        <x:f>IF(E24="","",TODAY()-E24)</x:f>
      </x:c>
      <x:c r="G24" s="129" t="str">
        <x:f>IF(F24="","",IF(F24&lt;=7,"0-7 days",IF(F24&lt;=30,"8-30 days",IF(F24&lt;=60,"31-60 days","60+ days"))))</x:f>
      </x:c>
      <x:c r="H24" s="129" t="str">
        <x:v>Open</x:v>
      </x:c>
      <x:c r="I24" s="129" t="str"/>
      <x:c r="J24" s="129" t="str"/>
    </x:row>
    <x:row r="25">
      <x:c r="A25" s="129" t="str"/>
      <x:c r="B25" s="129" t="str"/>
      <x:c r="C25" s="129" t="str"/>
      <x:c r="D25" s="129" t="str"/>
      <x:c r="E25" s="142" t="str"/>
      <x:c r="F25" s="129" t="str">
        <x:f>IF(E25="","",TODAY()-E25)</x:f>
      </x:c>
      <x:c r="G25" s="129" t="str">
        <x:f>IF(F25="","",IF(F25&lt;=7,"0-7 days",IF(F25&lt;=30,"8-30 days",IF(F25&lt;=60,"31-60 days","60+ days"))))</x:f>
      </x:c>
      <x:c r="H25" s="129" t="str">
        <x:v>Open</x:v>
      </x:c>
      <x:c r="I25" s="129" t="str"/>
      <x:c r="J25" s="129" t="str"/>
    </x:row>
    <x:row r="26">
      <x:c r="A26" s="129" t="str"/>
      <x:c r="B26" s="129" t="str"/>
      <x:c r="C26" s="129" t="str"/>
      <x:c r="D26" s="129" t="str"/>
      <x:c r="E26" s="142" t="str"/>
      <x:c r="F26" s="129" t="str">
        <x:f>IF(E26="","",TODAY()-E26)</x:f>
      </x:c>
      <x:c r="G26" s="129" t="str">
        <x:f>IF(F26="","",IF(F26&lt;=7,"0-7 days",IF(F26&lt;=30,"8-30 days",IF(F26&lt;=60,"31-60 days","60+ days"))))</x:f>
      </x:c>
      <x:c r="H26" s="129" t="str">
        <x:v>Open</x:v>
      </x:c>
      <x:c r="I26" s="129" t="str"/>
      <x:c r="J26" s="129" t="str"/>
    </x:row>
    <x:row r="27">
      <x:c r="A27" s="129" t="str"/>
      <x:c r="B27" s="129" t="str"/>
      <x:c r="C27" s="129" t="str"/>
      <x:c r="D27" s="129" t="str"/>
      <x:c r="E27" s="142" t="str"/>
      <x:c r="F27" s="129" t="str">
        <x:f>IF(E27="","",TODAY()-E27)</x:f>
      </x:c>
      <x:c r="G27" s="129" t="str">
        <x:f>IF(F27="","",IF(F27&lt;=7,"0-7 days",IF(F27&lt;=30,"8-30 days",IF(F27&lt;=60,"31-60 days","60+ days"))))</x:f>
      </x:c>
      <x:c r="H27" s="129" t="str">
        <x:v>Open</x:v>
      </x:c>
      <x:c r="I27" s="129" t="str"/>
      <x:c r="J27" s="129" t="str"/>
    </x:row>
    <x:row r="28">
      <x:c r="A28" s="129" t="str"/>
      <x:c r="B28" s="129" t="str"/>
      <x:c r="C28" s="129" t="str"/>
      <x:c r="D28" s="129" t="str"/>
      <x:c r="E28" s="142" t="str"/>
      <x:c r="F28" s="129" t="str">
        <x:f>IF(E28="","",TODAY()-E28)</x:f>
      </x:c>
      <x:c r="G28" s="129" t="str">
        <x:f>IF(F28="","",IF(F28&lt;=7,"0-7 days",IF(F28&lt;=30,"8-30 days",IF(F28&lt;=60,"31-60 days","60+ days"))))</x:f>
      </x:c>
      <x:c r="H28" s="129" t="str">
        <x:v>Open</x:v>
      </x:c>
      <x:c r="I28" s="129" t="str"/>
      <x:c r="J28" s="129" t="str"/>
    </x:row>
    <x:row r="29">
      <x:c r="A29" s="129" t="str"/>
      <x:c r="B29" s="129" t="str"/>
      <x:c r="C29" s="129" t="str"/>
      <x:c r="D29" s="129" t="str"/>
      <x:c r="E29" s="142" t="str"/>
      <x:c r="F29" s="129" t="str">
        <x:f>IF(E29="","",TODAY()-E29)</x:f>
      </x:c>
      <x:c r="G29" s="129" t="str">
        <x:f>IF(F29="","",IF(F29&lt;=7,"0-7 days",IF(F29&lt;=30,"8-30 days",IF(F29&lt;=60,"31-60 days","60+ days"))))</x:f>
      </x:c>
      <x:c r="H29" s="129" t="str">
        <x:v>Open</x:v>
      </x:c>
      <x:c r="I29" s="129" t="str"/>
      <x:c r="J29" s="129" t="str"/>
    </x:row>
    <x:row r="30">
      <x:c r="A30" s="129" t="str"/>
      <x:c r="B30" s="129" t="str"/>
      <x:c r="C30" s="129" t="str"/>
      <x:c r="D30" s="129" t="str"/>
      <x:c r="E30" s="142" t="str"/>
      <x:c r="F30" s="129" t="str">
        <x:f>IF(E30="","",TODAY()-E30)</x:f>
      </x:c>
      <x:c r="G30" s="129" t="str">
        <x:f>IF(F30="","",IF(F30&lt;=7,"0-7 days",IF(F30&lt;=30,"8-30 days",IF(F30&lt;=60,"31-60 days","60+ days"))))</x:f>
      </x:c>
      <x:c r="H30" s="129" t="str">
        <x:v>Open</x:v>
      </x:c>
      <x:c r="I30" s="129" t="str"/>
      <x:c r="J30" s="129" t="str"/>
    </x:row>
    <x:row r="31">
      <x:c r="A31" s="129" t="str"/>
      <x:c r="B31" s="129" t="str"/>
      <x:c r="C31" s="129" t="str"/>
      <x:c r="D31" s="129" t="str"/>
      <x:c r="E31" s="142" t="str"/>
      <x:c r="F31" s="129" t="str">
        <x:f>IF(E31="","",TODAY()-E31)</x:f>
      </x:c>
      <x:c r="G31" s="129" t="str">
        <x:f>IF(F31="","",IF(F31&lt;=7,"0-7 days",IF(F31&lt;=30,"8-30 days",IF(F31&lt;=60,"31-60 days","60+ days"))))</x:f>
      </x:c>
      <x:c r="H31" s="129" t="str">
        <x:v>Open</x:v>
      </x:c>
      <x:c r="I31" s="129" t="str"/>
      <x:c r="J31" s="129" t="str"/>
    </x:row>
    <x:row r="32">
      <x:c r="A32" s="129" t="str"/>
      <x:c r="B32" s="129" t="str"/>
      <x:c r="C32" s="129" t="str"/>
      <x:c r="D32" s="129" t="str"/>
      <x:c r="E32" s="142" t="str"/>
      <x:c r="F32" s="129" t="str">
        <x:f>IF(E32="","",TODAY()-E32)</x:f>
      </x:c>
      <x:c r="G32" s="129" t="str">
        <x:f>IF(F32="","",IF(F32&lt;=7,"0-7 days",IF(F32&lt;=30,"8-30 days",IF(F32&lt;=60,"31-60 days","60+ days"))))</x:f>
      </x:c>
      <x:c r="H32" s="129" t="str">
        <x:v>Open</x:v>
      </x:c>
      <x:c r="I32" s="129" t="str"/>
      <x:c r="J32" s="129" t="str"/>
    </x:row>
    <x:row r="33">
      <x:c r="A33" s="129" t="str"/>
      <x:c r="B33" s="129" t="str"/>
      <x:c r="C33" s="129" t="str"/>
      <x:c r="D33" s="129" t="str"/>
      <x:c r="E33" s="142" t="str"/>
      <x:c r="F33" s="129" t="str">
        <x:f>IF(E33="","",TODAY()-E33)</x:f>
      </x:c>
      <x:c r="G33" s="129" t="str">
        <x:f>IF(F33="","",IF(F33&lt;=7,"0-7 days",IF(F33&lt;=30,"8-30 days",IF(F33&lt;=60,"31-60 days","60+ days"))))</x:f>
      </x:c>
      <x:c r="H33" s="129" t="str">
        <x:v>Open</x:v>
      </x:c>
      <x:c r="I33" s="129" t="str"/>
      <x:c r="J33" s="129" t="str"/>
    </x:row>
    <x:row r="34">
      <x:c r="A34" s="129" t="str"/>
      <x:c r="B34" s="129" t="str"/>
      <x:c r="C34" s="129" t="str"/>
      <x:c r="D34" s="129" t="str"/>
      <x:c r="E34" s="142" t="str"/>
      <x:c r="F34" s="129" t="str">
        <x:f>IF(E34="","",TODAY()-E34)</x:f>
      </x:c>
      <x:c r="G34" s="129" t="str">
        <x:f>IF(F34="","",IF(F34&lt;=7,"0-7 days",IF(F34&lt;=30,"8-30 days",IF(F34&lt;=60,"31-60 days","60+ days"))))</x:f>
      </x:c>
      <x:c r="H34" s="129" t="str">
        <x:v>Open</x:v>
      </x:c>
      <x:c r="I34" s="129" t="str"/>
      <x:c r="J34" s="129" t="str"/>
    </x:row>
  </x:sheetData>
  <x:mergeCells>
    <x:mergeCell ref="A1:J1"/>
    <x:mergeCell ref="A2:J2"/>
  </x:mergeCells>
  <x:dataValidations count="2">
    <x:dataValidation type="list" sqref="D5:D34">
      <x:formula1>"Critical,High,Medium,Low"</x:formula1>
    </x:dataValidation>
    <x:dataValidation type="list" sqref="H5:H34">
      <x:formula1>"Open,In Progress,Complete,Overdue,Deferred"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4d82ced30c4907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7.880000114440918" hidden="0" customWidth="1"/>
    <x:col min="3" max="3" width="14.380000114440918" hidden="0" customWidth="1"/>
    <x:col min="4" max="4" width="10.630000114440918" hidden="0" customWidth="1"/>
    <x:col min="5" max="5" width="11.5" hidden="0" customWidth="1"/>
    <x:col min="6" max="6" width="6.380000114440918" hidden="0" customWidth="1"/>
    <x:col min="7" max="7" width="7.130000114440918" hidden="0" customWidth="1"/>
    <x:col min="8" max="8" width="11.630000114440918" hidden="0" customWidth="1"/>
    <x:col min="9" max="9" width="15.130000114440918" hidden="0" customWidth="1"/>
    <x:col min="10" max="10" width="13" hidden="0" customWidth="1"/>
    <x:col min="11" max="11" width="15.5" hidden="0" customWidth="1"/>
    <x:col min="12" max="12" width="6.880000114440918" hidden="0" customWidth="1"/>
    <x:col min="13" max="13" width="7.380000114440918" hidden="0" customWidth="1"/>
    <x:col min="14" max="14" width="10.5" hidden="0" customWidth="1"/>
  </x:cols>
  <x:sheetData>
    <x:row r="1" ht="30" customHeight="1">
      <x:c r="A1" s="106" t="str">
        <x:v>SHUTDOWN PLANNING MODULE</x:v>
      </x:c>
      <x:c r="B1" s="106"/>
      <x:c r="C1" s="106"/>
      <x:c r="D1" s="106"/>
      <x:c r="E1" s="106"/>
      <x:c r="F1" s="106"/>
      <x:c r="G1" s="106"/>
      <x:c r="H1" s="106"/>
      <x:c r="I1" s="106"/>
      <x:c r="J1" s="106"/>
      <x:c r="K1" s="106"/>
      <x:c r="L1" s="106"/>
      <x:c r="M1" s="106"/>
      <x:c r="N1" s="106"/>
    </x:row>
    <x:row r="2" ht="32" customHeight="1">
      <x:c r="A2" s="113" t="str">
        <x:v>Plan task sequence, dependencies, permits, spares, resources and readiness.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13"/>
      <x:c r="L2" s="113"/>
      <x:c r="M2" s="113"/>
      <x:c r="N2" s="113"/>
    </x:row>
    <x:row r="4" ht="26" customHeight="1">
      <x:c r="A4" s="121" t="str">
        <x:v>Shutdown ID</x:v>
      </x:c>
      <x:c r="B4" s="121" t="str">
        <x:v>Task ID</x:v>
      </x:c>
      <x:c r="C4" s="121" t="str">
        <x:v>Task Description</x:v>
      </x:c>
      <x:c r="D4" s="121" t="str">
        <x:v>Equipment</x:v>
      </x:c>
      <x:c r="E4" s="121" t="str">
        <x:v>Predecessor</x:v>
      </x:c>
      <x:c r="F4" s="121" t="str">
        <x:v>Start</x:v>
      </x:c>
      <x:c r="G4" s="121" t="str">
        <x:v>Finish</x:v>
      </x:c>
      <x:c r="H4" s="121" t="str">
        <x:v>Duration hrs</x:v>
      </x:c>
      <x:c r="I4" s="121" t="str">
        <x:v>Permit Required?</x:v>
      </x:c>
      <x:c r="J4" s="121" t="str">
        <x:v>Spares Ready?</x:v>
      </x:c>
      <x:c r="K4" s="121" t="str">
        <x:v>Resources Ready?</x:v>
      </x:c>
      <x:c r="L4" s="121" t="str">
        <x:v>Risk</x:v>
      </x:c>
      <x:c r="M4" s="121" t="str">
        <x:v>Status</x:v>
      </x:c>
      <x:c r="N4" s="121" t="str">
        <x:v>Comments</x:v>
      </x:c>
    </x:row>
    <x:row r="5">
      <x:c r="A5" s="129" t="str">
        <x:v>SD-001</x:v>
      </x:c>
      <x:c r="B5" s="129" t="str"/>
      <x:c r="C5" s="129" t="str"/>
      <x:c r="D5" s="129" t="str"/>
      <x:c r="E5" s="129" t="str"/>
      <x:c r="F5" s="144" t="str"/>
      <x:c r="G5" s="144" t="str"/>
      <x:c r="H5" s="129" t="str"/>
      <x:c r="I5" s="129" t="str">
        <x:v>No</x:v>
      </x:c>
      <x:c r="J5" s="129" t="str">
        <x:v>No</x:v>
      </x:c>
      <x:c r="K5" s="129" t="str">
        <x:v>No</x:v>
      </x:c>
      <x:c r="L5" s="129" t="str">
        <x:v>Medium</x:v>
      </x:c>
      <x:c r="M5" s="129" t="str">
        <x:v>Planned</x:v>
      </x:c>
      <x:c r="N5" s="129" t="str"/>
    </x:row>
    <x:row r="6">
      <x:c r="A6" s="129" t="str">
        <x:v>SD-001</x:v>
      </x:c>
      <x:c r="B6" s="129" t="str"/>
      <x:c r="C6" s="129" t="str"/>
      <x:c r="D6" s="129" t="str"/>
      <x:c r="E6" s="129" t="str"/>
      <x:c r="F6" s="144" t="str"/>
      <x:c r="G6" s="144" t="str"/>
      <x:c r="H6" s="129" t="str"/>
      <x:c r="I6" s="129" t="str">
        <x:v>No</x:v>
      </x:c>
      <x:c r="J6" s="129" t="str">
        <x:v>No</x:v>
      </x:c>
      <x:c r="K6" s="129" t="str">
        <x:v>No</x:v>
      </x:c>
      <x:c r="L6" s="129" t="str">
        <x:v>Medium</x:v>
      </x:c>
      <x:c r="M6" s="129" t="str">
        <x:v>Planned</x:v>
      </x:c>
      <x:c r="N6" s="129" t="str"/>
    </x:row>
    <x:row r="7">
      <x:c r="A7" s="129" t="str">
        <x:v>SD-001</x:v>
      </x:c>
      <x:c r="B7" s="129" t="str"/>
      <x:c r="C7" s="129" t="str"/>
      <x:c r="D7" s="129" t="str"/>
      <x:c r="E7" s="129" t="str"/>
      <x:c r="F7" s="144" t="str"/>
      <x:c r="G7" s="144" t="str"/>
      <x:c r="H7" s="129" t="str"/>
      <x:c r="I7" s="129" t="str">
        <x:v>No</x:v>
      </x:c>
      <x:c r="J7" s="129" t="str">
        <x:v>No</x:v>
      </x:c>
      <x:c r="K7" s="129" t="str">
        <x:v>No</x:v>
      </x:c>
      <x:c r="L7" s="129" t="str">
        <x:v>Medium</x:v>
      </x:c>
      <x:c r="M7" s="129" t="str">
        <x:v>Planned</x:v>
      </x:c>
      <x:c r="N7" s="129" t="str"/>
    </x:row>
    <x:row r="8">
      <x:c r="A8" s="129" t="str">
        <x:v>SD-001</x:v>
      </x:c>
      <x:c r="B8" s="129" t="str"/>
      <x:c r="C8" s="129" t="str"/>
      <x:c r="D8" s="129" t="str"/>
      <x:c r="E8" s="129" t="str"/>
      <x:c r="F8" s="144" t="str"/>
      <x:c r="G8" s="144" t="str"/>
      <x:c r="H8" s="129" t="str"/>
      <x:c r="I8" s="129" t="str">
        <x:v>No</x:v>
      </x:c>
      <x:c r="J8" s="129" t="str">
        <x:v>No</x:v>
      </x:c>
      <x:c r="K8" s="129" t="str">
        <x:v>No</x:v>
      </x:c>
      <x:c r="L8" s="129" t="str">
        <x:v>Medium</x:v>
      </x:c>
      <x:c r="M8" s="129" t="str">
        <x:v>Planned</x:v>
      </x:c>
      <x:c r="N8" s="129" t="str"/>
    </x:row>
    <x:row r="9">
      <x:c r="A9" s="129" t="str">
        <x:v>SD-001</x:v>
      </x:c>
      <x:c r="B9" s="129" t="str"/>
      <x:c r="C9" s="129" t="str"/>
      <x:c r="D9" s="129" t="str"/>
      <x:c r="E9" s="129" t="str"/>
      <x:c r="F9" s="144" t="str"/>
      <x:c r="G9" s="144" t="str"/>
      <x:c r="H9" s="129" t="str"/>
      <x:c r="I9" s="129" t="str">
        <x:v>No</x:v>
      </x:c>
      <x:c r="J9" s="129" t="str">
        <x:v>No</x:v>
      </x:c>
      <x:c r="K9" s="129" t="str">
        <x:v>No</x:v>
      </x:c>
      <x:c r="L9" s="129" t="str">
        <x:v>Medium</x:v>
      </x:c>
      <x:c r="M9" s="129" t="str">
        <x:v>Planned</x:v>
      </x:c>
      <x:c r="N9" s="129" t="str"/>
    </x:row>
    <x:row r="10">
      <x:c r="A10" s="129" t="str">
        <x:v>SD-001</x:v>
      </x:c>
      <x:c r="B10" s="129" t="str"/>
      <x:c r="C10" s="129" t="str"/>
      <x:c r="D10" s="129" t="str"/>
      <x:c r="E10" s="129" t="str"/>
      <x:c r="F10" s="144" t="str"/>
      <x:c r="G10" s="144" t="str"/>
      <x:c r="H10" s="129" t="str"/>
      <x:c r="I10" s="129" t="str">
        <x:v>No</x:v>
      </x:c>
      <x:c r="J10" s="129" t="str">
        <x:v>No</x:v>
      </x:c>
      <x:c r="K10" s="129" t="str">
        <x:v>No</x:v>
      </x:c>
      <x:c r="L10" s="129" t="str">
        <x:v>Medium</x:v>
      </x:c>
      <x:c r="M10" s="129" t="str">
        <x:v>Planned</x:v>
      </x:c>
      <x:c r="N10" s="129" t="str"/>
    </x:row>
    <x:row r="11">
      <x:c r="A11" s="129" t="str">
        <x:v>SD-001</x:v>
      </x:c>
      <x:c r="B11" s="129" t="str"/>
      <x:c r="C11" s="129" t="str"/>
      <x:c r="D11" s="129" t="str"/>
      <x:c r="E11" s="129" t="str"/>
      <x:c r="F11" s="144" t="str"/>
      <x:c r="G11" s="144" t="str"/>
      <x:c r="H11" s="129" t="str"/>
      <x:c r="I11" s="129" t="str">
        <x:v>No</x:v>
      </x:c>
      <x:c r="J11" s="129" t="str">
        <x:v>No</x:v>
      </x:c>
      <x:c r="K11" s="129" t="str">
        <x:v>No</x:v>
      </x:c>
      <x:c r="L11" s="129" t="str">
        <x:v>Medium</x:v>
      </x:c>
      <x:c r="M11" s="129" t="str">
        <x:v>Planned</x:v>
      </x:c>
      <x:c r="N11" s="129" t="str"/>
    </x:row>
    <x:row r="12">
      <x:c r="A12" s="129" t="str">
        <x:v>SD-001</x:v>
      </x:c>
      <x:c r="B12" s="129" t="str"/>
      <x:c r="C12" s="129" t="str"/>
      <x:c r="D12" s="129" t="str"/>
      <x:c r="E12" s="129" t="str"/>
      <x:c r="F12" s="144" t="str"/>
      <x:c r="G12" s="144" t="str"/>
      <x:c r="H12" s="129" t="str"/>
      <x:c r="I12" s="129" t="str">
        <x:v>No</x:v>
      </x:c>
      <x:c r="J12" s="129" t="str">
        <x:v>No</x:v>
      </x:c>
      <x:c r="K12" s="129" t="str">
        <x:v>No</x:v>
      </x:c>
      <x:c r="L12" s="129" t="str">
        <x:v>Medium</x:v>
      </x:c>
      <x:c r="M12" s="129" t="str">
        <x:v>Planned</x:v>
      </x:c>
      <x:c r="N12" s="129" t="str"/>
    </x:row>
    <x:row r="13">
      <x:c r="A13" s="129" t="str">
        <x:v>SD-001</x:v>
      </x:c>
      <x:c r="B13" s="129" t="str"/>
      <x:c r="C13" s="129" t="str"/>
      <x:c r="D13" s="129" t="str"/>
      <x:c r="E13" s="129" t="str"/>
      <x:c r="F13" s="144" t="str"/>
      <x:c r="G13" s="144" t="str"/>
      <x:c r="H13" s="129" t="str"/>
      <x:c r="I13" s="129" t="str">
        <x:v>No</x:v>
      </x:c>
      <x:c r="J13" s="129" t="str">
        <x:v>No</x:v>
      </x:c>
      <x:c r="K13" s="129" t="str">
        <x:v>No</x:v>
      </x:c>
      <x:c r="L13" s="129" t="str">
        <x:v>Medium</x:v>
      </x:c>
      <x:c r="M13" s="129" t="str">
        <x:v>Planned</x:v>
      </x:c>
      <x:c r="N13" s="129" t="str"/>
    </x:row>
    <x:row r="14">
      <x:c r="A14" s="129" t="str">
        <x:v>SD-001</x:v>
      </x:c>
      <x:c r="B14" s="129" t="str"/>
      <x:c r="C14" s="129" t="str"/>
      <x:c r="D14" s="129" t="str"/>
      <x:c r="E14" s="129" t="str"/>
      <x:c r="F14" s="144" t="str"/>
      <x:c r="G14" s="144" t="str"/>
      <x:c r="H14" s="129" t="str"/>
      <x:c r="I14" s="129" t="str">
        <x:v>No</x:v>
      </x:c>
      <x:c r="J14" s="129" t="str">
        <x:v>No</x:v>
      </x:c>
      <x:c r="K14" s="129" t="str">
        <x:v>No</x:v>
      </x:c>
      <x:c r="L14" s="129" t="str">
        <x:v>Medium</x:v>
      </x:c>
      <x:c r="M14" s="129" t="str">
        <x:v>Planned</x:v>
      </x:c>
      <x:c r="N14" s="129" t="str"/>
    </x:row>
    <x:row r="15">
      <x:c r="A15" s="129" t="str">
        <x:v>SD-001</x:v>
      </x:c>
      <x:c r="B15" s="129" t="str"/>
      <x:c r="C15" s="129" t="str"/>
      <x:c r="D15" s="129" t="str"/>
      <x:c r="E15" s="129" t="str"/>
      <x:c r="F15" s="144" t="str"/>
      <x:c r="G15" s="144" t="str"/>
      <x:c r="H15" s="129" t="str"/>
      <x:c r="I15" s="129" t="str">
        <x:v>No</x:v>
      </x:c>
      <x:c r="J15" s="129" t="str">
        <x:v>No</x:v>
      </x:c>
      <x:c r="K15" s="129" t="str">
        <x:v>No</x:v>
      </x:c>
      <x:c r="L15" s="129" t="str">
        <x:v>Medium</x:v>
      </x:c>
      <x:c r="M15" s="129" t="str">
        <x:v>Planned</x:v>
      </x:c>
      <x:c r="N15" s="129" t="str"/>
    </x:row>
    <x:row r="16">
      <x:c r="A16" s="129" t="str">
        <x:v>SD-001</x:v>
      </x:c>
      <x:c r="B16" s="129" t="str"/>
      <x:c r="C16" s="129" t="str"/>
      <x:c r="D16" s="129" t="str"/>
      <x:c r="E16" s="129" t="str"/>
      <x:c r="F16" s="144" t="str"/>
      <x:c r="G16" s="144" t="str"/>
      <x:c r="H16" s="129" t="str"/>
      <x:c r="I16" s="129" t="str">
        <x:v>No</x:v>
      </x:c>
      <x:c r="J16" s="129" t="str">
        <x:v>No</x:v>
      </x:c>
      <x:c r="K16" s="129" t="str">
        <x:v>No</x:v>
      </x:c>
      <x:c r="L16" s="129" t="str">
        <x:v>Medium</x:v>
      </x:c>
      <x:c r="M16" s="129" t="str">
        <x:v>Planned</x:v>
      </x:c>
      <x:c r="N16" s="129" t="str"/>
    </x:row>
    <x:row r="17">
      <x:c r="A17" s="129" t="str">
        <x:v>SD-001</x:v>
      </x:c>
      <x:c r="B17" s="129" t="str"/>
      <x:c r="C17" s="129" t="str"/>
      <x:c r="D17" s="129" t="str"/>
      <x:c r="E17" s="129" t="str"/>
      <x:c r="F17" s="144" t="str"/>
      <x:c r="G17" s="144" t="str"/>
      <x:c r="H17" s="129" t="str"/>
      <x:c r="I17" s="129" t="str">
        <x:v>No</x:v>
      </x:c>
      <x:c r="J17" s="129" t="str">
        <x:v>No</x:v>
      </x:c>
      <x:c r="K17" s="129" t="str">
        <x:v>No</x:v>
      </x:c>
      <x:c r="L17" s="129" t="str">
        <x:v>Medium</x:v>
      </x:c>
      <x:c r="M17" s="129" t="str">
        <x:v>Planned</x:v>
      </x:c>
      <x:c r="N17" s="129" t="str"/>
    </x:row>
    <x:row r="18">
      <x:c r="A18" s="129" t="str">
        <x:v>SD-001</x:v>
      </x:c>
      <x:c r="B18" s="129" t="str"/>
      <x:c r="C18" s="129" t="str"/>
      <x:c r="D18" s="129" t="str"/>
      <x:c r="E18" s="129" t="str"/>
      <x:c r="F18" s="144" t="str"/>
      <x:c r="G18" s="144" t="str"/>
      <x:c r="H18" s="129" t="str"/>
      <x:c r="I18" s="129" t="str">
        <x:v>No</x:v>
      </x:c>
      <x:c r="J18" s="129" t="str">
        <x:v>No</x:v>
      </x:c>
      <x:c r="K18" s="129" t="str">
        <x:v>No</x:v>
      </x:c>
      <x:c r="L18" s="129" t="str">
        <x:v>Medium</x:v>
      </x:c>
      <x:c r="M18" s="129" t="str">
        <x:v>Planned</x:v>
      </x:c>
      <x:c r="N18" s="129" t="str"/>
    </x:row>
    <x:row r="19">
      <x:c r="A19" s="129" t="str">
        <x:v>SD-001</x:v>
      </x:c>
      <x:c r="B19" s="129" t="str"/>
      <x:c r="C19" s="129" t="str"/>
      <x:c r="D19" s="129" t="str"/>
      <x:c r="E19" s="129" t="str"/>
      <x:c r="F19" s="144" t="str"/>
      <x:c r="G19" s="144" t="str"/>
      <x:c r="H19" s="129" t="str"/>
      <x:c r="I19" s="129" t="str">
        <x:v>No</x:v>
      </x:c>
      <x:c r="J19" s="129" t="str">
        <x:v>No</x:v>
      </x:c>
      <x:c r="K19" s="129" t="str">
        <x:v>No</x:v>
      </x:c>
      <x:c r="L19" s="129" t="str">
        <x:v>Medium</x:v>
      </x:c>
      <x:c r="M19" s="129" t="str">
        <x:v>Planned</x:v>
      </x:c>
      <x:c r="N19" s="129" t="str"/>
    </x:row>
    <x:row r="20">
      <x:c r="A20" s="129" t="str">
        <x:v>SD-001</x:v>
      </x:c>
      <x:c r="B20" s="129" t="str"/>
      <x:c r="C20" s="129" t="str"/>
      <x:c r="D20" s="129" t="str"/>
      <x:c r="E20" s="129" t="str"/>
      <x:c r="F20" s="144" t="str"/>
      <x:c r="G20" s="144" t="str"/>
      <x:c r="H20" s="129" t="str"/>
      <x:c r="I20" s="129" t="str">
        <x:v>No</x:v>
      </x:c>
      <x:c r="J20" s="129" t="str">
        <x:v>No</x:v>
      </x:c>
      <x:c r="K20" s="129" t="str">
        <x:v>No</x:v>
      </x:c>
      <x:c r="L20" s="129" t="str">
        <x:v>Medium</x:v>
      </x:c>
      <x:c r="M20" s="129" t="str">
        <x:v>Planned</x:v>
      </x:c>
      <x:c r="N20" s="129" t="str"/>
    </x:row>
    <x:row r="21">
      <x:c r="A21" s="129" t="str">
        <x:v>SD-001</x:v>
      </x:c>
      <x:c r="B21" s="129" t="str"/>
      <x:c r="C21" s="129" t="str"/>
      <x:c r="D21" s="129" t="str"/>
      <x:c r="E21" s="129" t="str"/>
      <x:c r="F21" s="144" t="str"/>
      <x:c r="G21" s="144" t="str"/>
      <x:c r="H21" s="129" t="str"/>
      <x:c r="I21" s="129" t="str">
        <x:v>No</x:v>
      </x:c>
      <x:c r="J21" s="129" t="str">
        <x:v>No</x:v>
      </x:c>
      <x:c r="K21" s="129" t="str">
        <x:v>No</x:v>
      </x:c>
      <x:c r="L21" s="129" t="str">
        <x:v>Medium</x:v>
      </x:c>
      <x:c r="M21" s="129" t="str">
        <x:v>Planned</x:v>
      </x:c>
      <x:c r="N21" s="129" t="str"/>
    </x:row>
    <x:row r="22">
      <x:c r="A22" s="129" t="str">
        <x:v>SD-001</x:v>
      </x:c>
      <x:c r="B22" s="129" t="str"/>
      <x:c r="C22" s="129" t="str"/>
      <x:c r="D22" s="129" t="str"/>
      <x:c r="E22" s="129" t="str"/>
      <x:c r="F22" s="144" t="str"/>
      <x:c r="G22" s="144" t="str"/>
      <x:c r="H22" s="129" t="str"/>
      <x:c r="I22" s="129" t="str">
        <x:v>No</x:v>
      </x:c>
      <x:c r="J22" s="129" t="str">
        <x:v>No</x:v>
      </x:c>
      <x:c r="K22" s="129" t="str">
        <x:v>No</x:v>
      </x:c>
      <x:c r="L22" s="129" t="str">
        <x:v>Medium</x:v>
      </x:c>
      <x:c r="M22" s="129" t="str">
        <x:v>Planned</x:v>
      </x:c>
      <x:c r="N22" s="129" t="str"/>
    </x:row>
    <x:row r="23">
      <x:c r="A23" s="129" t="str">
        <x:v>SD-001</x:v>
      </x:c>
      <x:c r="B23" s="129" t="str"/>
      <x:c r="C23" s="129" t="str"/>
      <x:c r="D23" s="129" t="str"/>
      <x:c r="E23" s="129" t="str"/>
      <x:c r="F23" s="144" t="str"/>
      <x:c r="G23" s="144" t="str"/>
      <x:c r="H23" s="129" t="str"/>
      <x:c r="I23" s="129" t="str">
        <x:v>No</x:v>
      </x:c>
      <x:c r="J23" s="129" t="str">
        <x:v>No</x:v>
      </x:c>
      <x:c r="K23" s="129" t="str">
        <x:v>No</x:v>
      </x:c>
      <x:c r="L23" s="129" t="str">
        <x:v>Medium</x:v>
      </x:c>
      <x:c r="M23" s="129" t="str">
        <x:v>Planned</x:v>
      </x:c>
      <x:c r="N23" s="129" t="str"/>
    </x:row>
    <x:row r="24">
      <x:c r="A24" s="129" t="str">
        <x:v>SD-001</x:v>
      </x:c>
      <x:c r="B24" s="129" t="str"/>
      <x:c r="C24" s="129" t="str"/>
      <x:c r="D24" s="129" t="str"/>
      <x:c r="E24" s="129" t="str"/>
      <x:c r="F24" s="144" t="str"/>
      <x:c r="G24" s="144" t="str"/>
      <x:c r="H24" s="129" t="str"/>
      <x:c r="I24" s="129" t="str">
        <x:v>No</x:v>
      </x:c>
      <x:c r="J24" s="129" t="str">
        <x:v>No</x:v>
      </x:c>
      <x:c r="K24" s="129" t="str">
        <x:v>No</x:v>
      </x:c>
      <x:c r="L24" s="129" t="str">
        <x:v>Medium</x:v>
      </x:c>
      <x:c r="M24" s="129" t="str">
        <x:v>Planned</x:v>
      </x:c>
      <x:c r="N24" s="129" t="str"/>
    </x:row>
    <x:row r="25">
      <x:c r="A25" s="129" t="str">
        <x:v>SD-001</x:v>
      </x:c>
      <x:c r="B25" s="129" t="str"/>
      <x:c r="C25" s="129" t="str"/>
      <x:c r="D25" s="129" t="str"/>
      <x:c r="E25" s="129" t="str"/>
      <x:c r="F25" s="144" t="str"/>
      <x:c r="G25" s="144" t="str"/>
      <x:c r="H25" s="129" t="str"/>
      <x:c r="I25" s="129" t="str">
        <x:v>No</x:v>
      </x:c>
      <x:c r="J25" s="129" t="str">
        <x:v>No</x:v>
      </x:c>
      <x:c r="K25" s="129" t="str">
        <x:v>No</x:v>
      </x:c>
      <x:c r="L25" s="129" t="str">
        <x:v>Medium</x:v>
      </x:c>
      <x:c r="M25" s="129" t="str">
        <x:v>Planned</x:v>
      </x:c>
      <x:c r="N25" s="129" t="str"/>
    </x:row>
    <x:row r="26">
      <x:c r="A26" s="129" t="str">
        <x:v>SD-001</x:v>
      </x:c>
      <x:c r="B26" s="129" t="str"/>
      <x:c r="C26" s="129" t="str"/>
      <x:c r="D26" s="129" t="str"/>
      <x:c r="E26" s="129" t="str"/>
      <x:c r="F26" s="144" t="str"/>
      <x:c r="G26" s="144" t="str"/>
      <x:c r="H26" s="129" t="str"/>
      <x:c r="I26" s="129" t="str">
        <x:v>No</x:v>
      </x:c>
      <x:c r="J26" s="129" t="str">
        <x:v>No</x:v>
      </x:c>
      <x:c r="K26" s="129" t="str">
        <x:v>No</x:v>
      </x:c>
      <x:c r="L26" s="129" t="str">
        <x:v>Medium</x:v>
      </x:c>
      <x:c r="M26" s="129" t="str">
        <x:v>Planned</x:v>
      </x:c>
      <x:c r="N26" s="129" t="str"/>
    </x:row>
    <x:row r="27">
      <x:c r="A27" s="129" t="str">
        <x:v>SD-001</x:v>
      </x:c>
      <x:c r="B27" s="129" t="str"/>
      <x:c r="C27" s="129" t="str"/>
      <x:c r="D27" s="129" t="str"/>
      <x:c r="E27" s="129" t="str"/>
      <x:c r="F27" s="144" t="str"/>
      <x:c r="G27" s="144" t="str"/>
      <x:c r="H27" s="129" t="str"/>
      <x:c r="I27" s="129" t="str">
        <x:v>No</x:v>
      </x:c>
      <x:c r="J27" s="129" t="str">
        <x:v>No</x:v>
      </x:c>
      <x:c r="K27" s="129" t="str">
        <x:v>No</x:v>
      </x:c>
      <x:c r="L27" s="129" t="str">
        <x:v>Medium</x:v>
      </x:c>
      <x:c r="M27" s="129" t="str">
        <x:v>Planned</x:v>
      </x:c>
      <x:c r="N27" s="129" t="str"/>
    </x:row>
    <x:row r="28">
      <x:c r="A28" s="129" t="str">
        <x:v>SD-001</x:v>
      </x:c>
      <x:c r="B28" s="129" t="str"/>
      <x:c r="C28" s="129" t="str"/>
      <x:c r="D28" s="129" t="str"/>
      <x:c r="E28" s="129" t="str"/>
      <x:c r="F28" s="144" t="str"/>
      <x:c r="G28" s="144" t="str"/>
      <x:c r="H28" s="129" t="str"/>
      <x:c r="I28" s="129" t="str">
        <x:v>No</x:v>
      </x:c>
      <x:c r="J28" s="129" t="str">
        <x:v>No</x:v>
      </x:c>
      <x:c r="K28" s="129" t="str">
        <x:v>No</x:v>
      </x:c>
      <x:c r="L28" s="129" t="str">
        <x:v>Medium</x:v>
      </x:c>
      <x:c r="M28" s="129" t="str">
        <x:v>Planned</x:v>
      </x:c>
      <x:c r="N28" s="129" t="str"/>
    </x:row>
    <x:row r="29">
      <x:c r="A29" s="129" t="str">
        <x:v>SD-001</x:v>
      </x:c>
      <x:c r="B29" s="129" t="str"/>
      <x:c r="C29" s="129" t="str"/>
      <x:c r="D29" s="129" t="str"/>
      <x:c r="E29" s="129" t="str"/>
      <x:c r="F29" s="144" t="str"/>
      <x:c r="G29" s="144" t="str"/>
      <x:c r="H29" s="129" t="str"/>
      <x:c r="I29" s="129" t="str">
        <x:v>No</x:v>
      </x:c>
      <x:c r="J29" s="129" t="str">
        <x:v>No</x:v>
      </x:c>
      <x:c r="K29" s="129" t="str">
        <x:v>No</x:v>
      </x:c>
      <x:c r="L29" s="129" t="str">
        <x:v>Medium</x:v>
      </x:c>
      <x:c r="M29" s="129" t="str">
        <x:v>Planned</x:v>
      </x:c>
      <x:c r="N29" s="129" t="str"/>
    </x:row>
  </x:sheetData>
  <x:mergeCells>
    <x:mergeCell ref="A1:N1"/>
    <x:mergeCell ref="A2:N2"/>
  </x:mergeCells>
  <x:dataValidations count="3">
    <x:dataValidation type="list" sqref="I5:K29">
      <x:formula1>"Yes,No,TBC,N/A"</x:formula1>
    </x:dataValidation>
    <x:dataValidation type="list" sqref="L5:L29">
      <x:formula1>"Critical,High,Medium,Low"</x:formula1>
    </x:dataValidation>
    <x:dataValidation type="list" sqref="M5:M29">
      <x:formula1>"Planned,Ready,In Progress,Complete,Delayed,Cancelled"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ca49102cd949d9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0.130000114440918" hidden="0" customWidth="1"/>
    <x:col min="2" max="2" width="10.630000114440918" hidden="0" customWidth="1"/>
    <x:col min="3" max="3" width="12.630000114440918" hidden="0" customWidth="1"/>
    <x:col min="4" max="4" width="12.130000114440918" hidden="0" customWidth="1"/>
    <x:col min="5" max="5" width="10.880000114440918" hidden="0" customWidth="1"/>
    <x:col min="6" max="6" width="9" hidden="0" customWidth="1"/>
    <x:col min="7" max="7" width="10.630000114440918" hidden="0" customWidth="1"/>
    <x:col min="8" max="8" width="8.130000114440918" hidden="0" customWidth="1"/>
    <x:col min="9" max="9" width="7.75" hidden="0" customWidth="1"/>
    <x:col min="10" max="10" width="15" hidden="0" customWidth="1"/>
    <x:col min="11" max="11" width="7.380000114440918" hidden="0" customWidth="1"/>
  </x:cols>
  <x:sheetData>
    <x:row r="1" ht="30" customHeight="1">
      <x:c r="A1" s="106" t="str">
        <x:v>MAINTENANCE COST PLAN VS ACTUAL</x:v>
      </x:c>
      <x:c r="B1" s="106"/>
      <x:c r="C1" s="106"/>
      <x:c r="D1" s="106"/>
      <x:c r="E1" s="106"/>
      <x:c r="F1" s="106"/>
      <x:c r="G1" s="106"/>
      <x:c r="H1" s="106"/>
      <x:c r="I1" s="106"/>
      <x:c r="J1" s="106"/>
      <x:c r="K1" s="106"/>
    </x:row>
    <x:row r="2" ht="32" customHeight="1">
      <x:c r="A2" s="113" t="str">
        <x:v>Compare planned budget to actual cost by work order or task.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13"/>
    </x:row>
    <x:row r="4" ht="26" customHeight="1">
      <x:c r="A4" s="121" t="str">
        <x:v>WO / Task</x:v>
      </x:c>
      <x:c r="B4" s="121" t="str">
        <x:v>Equipment</x:v>
      </x:c>
      <x:c r="C4" s="121" t="str">
        <x:v>Cost Category</x:v>
      </x:c>
      <x:c r="D4" s="121" t="str">
        <x:v>Planned Cost</x:v>
      </x:c>
      <x:c r="E4" s="121" t="str">
        <x:v>Actual Cost</x:v>
      </x:c>
      <x:c r="F4" s="121" t="str">
        <x:v>Variance</x:v>
      </x:c>
      <x:c r="G4" s="121" t="str">
        <x:v>Variance %</x:v>
      </x:c>
      <x:c r="H4" s="121" t="str">
        <x:v>Reason</x:v>
      </x:c>
      <x:c r="I4" s="121" t="str">
        <x:v>Owner</x:v>
      </x:c>
      <x:c r="J4" s="121" t="str">
        <x:v>Corrective Action</x:v>
      </x:c>
      <x:c r="K4" s="121" t="str">
        <x:v>Status</x:v>
      </x:c>
    </x:row>
    <x:row r="5">
      <x:c r="A5" s="129" t="str"/>
      <x:c r="B5" s="129" t="str"/>
      <x:c r="C5" s="129" t="str"/>
      <x:c r="D5" s="146" t="str"/>
      <x:c r="E5" s="146" t="str"/>
      <x:c r="F5" s="146" t="str">
        <x:f>IF(OR(D5="",E5=""),"",E5-D5)</x:f>
      </x:c>
      <x:c r="G5" s="148" t="str">
        <x:f>IFERROR(F5/D5,"")</x:f>
      </x:c>
      <x:c r="H5" s="129" t="str"/>
      <x:c r="I5" s="129" t="str"/>
      <x:c r="J5" s="129" t="str"/>
      <x:c r="K5" s="129" t="str">
        <x:v>Open</x:v>
      </x:c>
    </x:row>
    <x:row r="6">
      <x:c r="A6" s="129" t="str"/>
      <x:c r="B6" s="129" t="str"/>
      <x:c r="C6" s="129" t="str"/>
      <x:c r="D6" s="146" t="str"/>
      <x:c r="E6" s="146" t="str"/>
      <x:c r="F6" s="146" t="str">
        <x:f>IF(OR(D6="",E6=""),"",E6-D6)</x:f>
      </x:c>
      <x:c r="G6" s="148" t="str">
        <x:f>IFERROR(F6/D6,"")</x:f>
      </x:c>
      <x:c r="H6" s="129" t="str"/>
      <x:c r="I6" s="129" t="str"/>
      <x:c r="J6" s="129" t="str"/>
      <x:c r="K6" s="129" t="str">
        <x:v>Open</x:v>
      </x:c>
    </x:row>
    <x:row r="7">
      <x:c r="A7" s="129" t="str"/>
      <x:c r="B7" s="129" t="str"/>
      <x:c r="C7" s="129" t="str"/>
      <x:c r="D7" s="146" t="str"/>
      <x:c r="E7" s="146" t="str"/>
      <x:c r="F7" s="146" t="str">
        <x:f>IF(OR(D7="",E7=""),"",E7-D7)</x:f>
      </x:c>
      <x:c r="G7" s="148" t="str">
        <x:f>IFERROR(F7/D7,"")</x:f>
      </x:c>
      <x:c r="H7" s="129" t="str"/>
      <x:c r="I7" s="129" t="str"/>
      <x:c r="J7" s="129" t="str"/>
      <x:c r="K7" s="129" t="str">
        <x:v>Open</x:v>
      </x:c>
    </x:row>
    <x:row r="8">
      <x:c r="A8" s="129" t="str"/>
      <x:c r="B8" s="129" t="str"/>
      <x:c r="C8" s="129" t="str"/>
      <x:c r="D8" s="146" t="str"/>
      <x:c r="E8" s="146" t="str"/>
      <x:c r="F8" s="146" t="str">
        <x:f>IF(OR(D8="",E8=""),"",E8-D8)</x:f>
      </x:c>
      <x:c r="G8" s="148" t="str">
        <x:f>IFERROR(F8/D8,"")</x:f>
      </x:c>
      <x:c r="H8" s="129" t="str"/>
      <x:c r="I8" s="129" t="str"/>
      <x:c r="J8" s="129" t="str"/>
      <x:c r="K8" s="129" t="str">
        <x:v>Open</x:v>
      </x:c>
    </x:row>
    <x:row r="9">
      <x:c r="A9" s="129" t="str"/>
      <x:c r="B9" s="129" t="str"/>
      <x:c r="C9" s="129" t="str"/>
      <x:c r="D9" s="146" t="str"/>
      <x:c r="E9" s="146" t="str"/>
      <x:c r="F9" s="146" t="str">
        <x:f>IF(OR(D9="",E9=""),"",E9-D9)</x:f>
      </x:c>
      <x:c r="G9" s="148" t="str">
        <x:f>IFERROR(F9/D9,"")</x:f>
      </x:c>
      <x:c r="H9" s="129" t="str"/>
      <x:c r="I9" s="129" t="str"/>
      <x:c r="J9" s="129" t="str"/>
      <x:c r="K9" s="129" t="str">
        <x:v>Open</x:v>
      </x:c>
    </x:row>
    <x:row r="10">
      <x:c r="A10" s="129" t="str"/>
      <x:c r="B10" s="129" t="str"/>
      <x:c r="C10" s="129" t="str"/>
      <x:c r="D10" s="146" t="str"/>
      <x:c r="E10" s="146" t="str"/>
      <x:c r="F10" s="146" t="str">
        <x:f>IF(OR(D10="",E10=""),"",E10-D10)</x:f>
      </x:c>
      <x:c r="G10" s="148" t="str">
        <x:f>IFERROR(F10/D10,"")</x:f>
      </x:c>
      <x:c r="H10" s="129" t="str"/>
      <x:c r="I10" s="129" t="str"/>
      <x:c r="J10" s="129" t="str"/>
      <x:c r="K10" s="129" t="str">
        <x:v>Open</x:v>
      </x:c>
    </x:row>
    <x:row r="11">
      <x:c r="A11" s="129" t="str"/>
      <x:c r="B11" s="129" t="str"/>
      <x:c r="C11" s="129" t="str"/>
      <x:c r="D11" s="146" t="str"/>
      <x:c r="E11" s="146" t="str"/>
      <x:c r="F11" s="146" t="str">
        <x:f>IF(OR(D11="",E11=""),"",E11-D11)</x:f>
      </x:c>
      <x:c r="G11" s="148" t="str">
        <x:f>IFERROR(F11/D11,"")</x:f>
      </x:c>
      <x:c r="H11" s="129" t="str"/>
      <x:c r="I11" s="129" t="str"/>
      <x:c r="J11" s="129" t="str"/>
      <x:c r="K11" s="129" t="str">
        <x:v>Open</x:v>
      </x:c>
    </x:row>
    <x:row r="12">
      <x:c r="A12" s="129" t="str"/>
      <x:c r="B12" s="129" t="str"/>
      <x:c r="C12" s="129" t="str"/>
      <x:c r="D12" s="146" t="str"/>
      <x:c r="E12" s="146" t="str"/>
      <x:c r="F12" s="146" t="str">
        <x:f>IF(OR(D12="",E12=""),"",E12-D12)</x:f>
      </x:c>
      <x:c r="G12" s="148" t="str">
        <x:f>IFERROR(F12/D12,"")</x:f>
      </x:c>
      <x:c r="H12" s="129" t="str"/>
      <x:c r="I12" s="129" t="str"/>
      <x:c r="J12" s="129" t="str"/>
      <x:c r="K12" s="129" t="str">
        <x:v>Open</x:v>
      </x:c>
    </x:row>
    <x:row r="13">
      <x:c r="A13" s="129" t="str"/>
      <x:c r="B13" s="129" t="str"/>
      <x:c r="C13" s="129" t="str"/>
      <x:c r="D13" s="146" t="str"/>
      <x:c r="E13" s="146" t="str"/>
      <x:c r="F13" s="146" t="str">
        <x:f>IF(OR(D13="",E13=""),"",E13-D13)</x:f>
      </x:c>
      <x:c r="G13" s="148" t="str">
        <x:f>IFERROR(F13/D13,"")</x:f>
      </x:c>
      <x:c r="H13" s="129" t="str"/>
      <x:c r="I13" s="129" t="str"/>
      <x:c r="J13" s="129" t="str"/>
      <x:c r="K13" s="129" t="str">
        <x:v>Open</x:v>
      </x:c>
    </x:row>
    <x:row r="14">
      <x:c r="A14" s="129" t="str"/>
      <x:c r="B14" s="129" t="str"/>
      <x:c r="C14" s="129" t="str"/>
      <x:c r="D14" s="146" t="str"/>
      <x:c r="E14" s="146" t="str"/>
      <x:c r="F14" s="146" t="str">
        <x:f>IF(OR(D14="",E14=""),"",E14-D14)</x:f>
      </x:c>
      <x:c r="G14" s="148" t="str">
        <x:f>IFERROR(F14/D14,"")</x:f>
      </x:c>
      <x:c r="H14" s="129" t="str"/>
      <x:c r="I14" s="129" t="str"/>
      <x:c r="J14" s="129" t="str"/>
      <x:c r="K14" s="129" t="str">
        <x:v>Open</x:v>
      </x:c>
    </x:row>
    <x:row r="15">
      <x:c r="A15" s="129" t="str"/>
      <x:c r="B15" s="129" t="str"/>
      <x:c r="C15" s="129" t="str"/>
      <x:c r="D15" s="146" t="str"/>
      <x:c r="E15" s="146" t="str"/>
      <x:c r="F15" s="146" t="str">
        <x:f>IF(OR(D15="",E15=""),"",E15-D15)</x:f>
      </x:c>
      <x:c r="G15" s="148" t="str">
        <x:f>IFERROR(F15/D15,"")</x:f>
      </x:c>
      <x:c r="H15" s="129" t="str"/>
      <x:c r="I15" s="129" t="str"/>
      <x:c r="J15" s="129" t="str"/>
      <x:c r="K15" s="129" t="str">
        <x:v>Open</x:v>
      </x:c>
    </x:row>
    <x:row r="16">
      <x:c r="A16" s="129" t="str"/>
      <x:c r="B16" s="129" t="str"/>
      <x:c r="C16" s="129" t="str"/>
      <x:c r="D16" s="146" t="str"/>
      <x:c r="E16" s="146" t="str"/>
      <x:c r="F16" s="146" t="str">
        <x:f>IF(OR(D16="",E16=""),"",E16-D16)</x:f>
      </x:c>
      <x:c r="G16" s="148" t="str">
        <x:f>IFERROR(F16/D16,"")</x:f>
      </x:c>
      <x:c r="H16" s="129" t="str"/>
      <x:c r="I16" s="129" t="str"/>
      <x:c r="J16" s="129" t="str"/>
      <x:c r="K16" s="129" t="str">
        <x:v>Open</x:v>
      </x:c>
    </x:row>
    <x:row r="17">
      <x:c r="A17" s="129" t="str"/>
      <x:c r="B17" s="129" t="str"/>
      <x:c r="C17" s="129" t="str"/>
      <x:c r="D17" s="146" t="str"/>
      <x:c r="E17" s="146" t="str"/>
      <x:c r="F17" s="146" t="str">
        <x:f>IF(OR(D17="",E17=""),"",E17-D17)</x:f>
      </x:c>
      <x:c r="G17" s="148" t="str">
        <x:f>IFERROR(F17/D17,"")</x:f>
      </x:c>
      <x:c r="H17" s="129" t="str"/>
      <x:c r="I17" s="129" t="str"/>
      <x:c r="J17" s="129" t="str"/>
      <x:c r="K17" s="129" t="str">
        <x:v>Open</x:v>
      </x:c>
    </x:row>
    <x:row r="18">
      <x:c r="A18" s="129" t="str"/>
      <x:c r="B18" s="129" t="str"/>
      <x:c r="C18" s="129" t="str"/>
      <x:c r="D18" s="146" t="str"/>
      <x:c r="E18" s="146" t="str"/>
      <x:c r="F18" s="146" t="str">
        <x:f>IF(OR(D18="",E18=""),"",E18-D18)</x:f>
      </x:c>
      <x:c r="G18" s="148" t="str">
        <x:f>IFERROR(F18/D18,"")</x:f>
      </x:c>
      <x:c r="H18" s="129" t="str"/>
      <x:c r="I18" s="129" t="str"/>
      <x:c r="J18" s="129" t="str"/>
      <x:c r="K18" s="129" t="str">
        <x:v>Open</x:v>
      </x:c>
    </x:row>
    <x:row r="19">
      <x:c r="A19" s="129" t="str"/>
      <x:c r="B19" s="129" t="str"/>
      <x:c r="C19" s="129" t="str"/>
      <x:c r="D19" s="146" t="str"/>
      <x:c r="E19" s="146" t="str"/>
      <x:c r="F19" s="146" t="str">
        <x:f>IF(OR(D19="",E19=""),"",E19-D19)</x:f>
      </x:c>
      <x:c r="G19" s="148" t="str">
        <x:f>IFERROR(F19/D19,"")</x:f>
      </x:c>
      <x:c r="H19" s="129" t="str"/>
      <x:c r="I19" s="129" t="str"/>
      <x:c r="J19" s="129" t="str"/>
      <x:c r="K19" s="129" t="str">
        <x:v>Open</x:v>
      </x:c>
    </x:row>
    <x:row r="20">
      <x:c r="A20" s="129" t="str"/>
      <x:c r="B20" s="129" t="str"/>
      <x:c r="C20" s="129" t="str"/>
      <x:c r="D20" s="146" t="str"/>
      <x:c r="E20" s="146" t="str"/>
      <x:c r="F20" s="146" t="str">
        <x:f>IF(OR(D20="",E20=""),"",E20-D20)</x:f>
      </x:c>
      <x:c r="G20" s="148" t="str">
        <x:f>IFERROR(F20/D20,"")</x:f>
      </x:c>
      <x:c r="H20" s="129" t="str"/>
      <x:c r="I20" s="129" t="str"/>
      <x:c r="J20" s="129" t="str"/>
      <x:c r="K20" s="129" t="str">
        <x:v>Open</x:v>
      </x:c>
    </x:row>
    <x:row r="21">
      <x:c r="A21" s="129" t="str"/>
      <x:c r="B21" s="129" t="str"/>
      <x:c r="C21" s="129" t="str"/>
      <x:c r="D21" s="146" t="str"/>
      <x:c r="E21" s="146" t="str"/>
      <x:c r="F21" s="146" t="str">
        <x:f>IF(OR(D21="",E21=""),"",E21-D21)</x:f>
      </x:c>
      <x:c r="G21" s="148" t="str">
        <x:f>IFERROR(F21/D21,"")</x:f>
      </x:c>
      <x:c r="H21" s="129" t="str"/>
      <x:c r="I21" s="129" t="str"/>
      <x:c r="J21" s="129" t="str"/>
      <x:c r="K21" s="129" t="str">
        <x:v>Open</x:v>
      </x:c>
    </x:row>
    <x:row r="22">
      <x:c r="A22" s="129" t="str"/>
      <x:c r="B22" s="129" t="str"/>
      <x:c r="C22" s="129" t="str"/>
      <x:c r="D22" s="146" t="str"/>
      <x:c r="E22" s="146" t="str"/>
      <x:c r="F22" s="146" t="str">
        <x:f>IF(OR(D22="",E22=""),"",E22-D22)</x:f>
      </x:c>
      <x:c r="G22" s="148" t="str">
        <x:f>IFERROR(F22/D22,"")</x:f>
      </x:c>
      <x:c r="H22" s="129" t="str"/>
      <x:c r="I22" s="129" t="str"/>
      <x:c r="J22" s="129" t="str"/>
      <x:c r="K22" s="129" t="str">
        <x:v>Open</x:v>
      </x:c>
    </x:row>
    <x:row r="23">
      <x:c r="A23" s="129" t="str"/>
      <x:c r="B23" s="129" t="str"/>
      <x:c r="C23" s="129" t="str"/>
      <x:c r="D23" s="146" t="str"/>
      <x:c r="E23" s="146" t="str"/>
      <x:c r="F23" s="146" t="str">
        <x:f>IF(OR(D23="",E23=""),"",E23-D23)</x:f>
      </x:c>
      <x:c r="G23" s="148" t="str">
        <x:f>IFERROR(F23/D23,"")</x:f>
      </x:c>
      <x:c r="H23" s="129" t="str"/>
      <x:c r="I23" s="129" t="str"/>
      <x:c r="J23" s="129" t="str"/>
      <x:c r="K23" s="129" t="str">
        <x:v>Open</x:v>
      </x:c>
    </x:row>
    <x:row r="24">
      <x:c r="A24" s="129" t="str"/>
      <x:c r="B24" s="129" t="str"/>
      <x:c r="C24" s="129" t="str"/>
      <x:c r="D24" s="146" t="str"/>
      <x:c r="E24" s="146" t="str"/>
      <x:c r="F24" s="146" t="str">
        <x:f>IF(OR(D24="",E24=""),"",E24-D24)</x:f>
      </x:c>
      <x:c r="G24" s="148" t="str">
        <x:f>IFERROR(F24/D24,"")</x:f>
      </x:c>
      <x:c r="H24" s="129" t="str"/>
      <x:c r="I24" s="129" t="str"/>
      <x:c r="J24" s="129" t="str"/>
      <x:c r="K24" s="129" t="str">
        <x:v>Open</x:v>
      </x:c>
    </x:row>
    <x:row r="25">
      <x:c r="A25" s="129" t="str"/>
      <x:c r="B25" s="129" t="str"/>
      <x:c r="C25" s="129" t="str"/>
      <x:c r="D25" s="146" t="str"/>
      <x:c r="E25" s="146" t="str"/>
      <x:c r="F25" s="146" t="str">
        <x:f>IF(OR(D25="",E25=""),"",E25-D25)</x:f>
      </x:c>
      <x:c r="G25" s="148" t="str">
        <x:f>IFERROR(F25/D25,"")</x:f>
      </x:c>
      <x:c r="H25" s="129" t="str"/>
      <x:c r="I25" s="129" t="str"/>
      <x:c r="J25" s="129" t="str"/>
      <x:c r="K25" s="129" t="str">
        <x:v>Open</x:v>
      </x:c>
    </x:row>
    <x:row r="26">
      <x:c r="A26" s="129" t="str"/>
      <x:c r="B26" s="129" t="str"/>
      <x:c r="C26" s="129" t="str"/>
      <x:c r="D26" s="146" t="str"/>
      <x:c r="E26" s="146" t="str"/>
      <x:c r="F26" s="146" t="str">
        <x:f>IF(OR(D26="",E26=""),"",E26-D26)</x:f>
      </x:c>
      <x:c r="G26" s="148" t="str">
        <x:f>IFERROR(F26/D26,"")</x:f>
      </x:c>
      <x:c r="H26" s="129" t="str"/>
      <x:c r="I26" s="129" t="str"/>
      <x:c r="J26" s="129" t="str"/>
      <x:c r="K26" s="129" t="str">
        <x:v>Open</x:v>
      </x:c>
    </x:row>
    <x:row r="27">
      <x:c r="A27" s="129" t="str"/>
      <x:c r="B27" s="129" t="str"/>
      <x:c r="C27" s="129" t="str"/>
      <x:c r="D27" s="146" t="str"/>
      <x:c r="E27" s="146" t="str"/>
      <x:c r="F27" s="146" t="str">
        <x:f>IF(OR(D27="",E27=""),"",E27-D27)</x:f>
      </x:c>
      <x:c r="G27" s="148" t="str">
        <x:f>IFERROR(F27/D27,"")</x:f>
      </x:c>
      <x:c r="H27" s="129" t="str"/>
      <x:c r="I27" s="129" t="str"/>
      <x:c r="J27" s="129" t="str"/>
      <x:c r="K27" s="129" t="str">
        <x:v>Open</x:v>
      </x:c>
    </x:row>
    <x:row r="28">
      <x:c r="A28" s="129" t="str"/>
      <x:c r="B28" s="129" t="str"/>
      <x:c r="C28" s="129" t="str"/>
      <x:c r="D28" s="146" t="str"/>
      <x:c r="E28" s="146" t="str"/>
      <x:c r="F28" s="146" t="str">
        <x:f>IF(OR(D28="",E28=""),"",E28-D28)</x:f>
      </x:c>
      <x:c r="G28" s="148" t="str">
        <x:f>IFERROR(F28/D28,"")</x:f>
      </x:c>
      <x:c r="H28" s="129" t="str"/>
      <x:c r="I28" s="129" t="str"/>
      <x:c r="J28" s="129" t="str"/>
      <x:c r="K28" s="129" t="str">
        <x:v>Open</x:v>
      </x:c>
    </x:row>
    <x:row r="29">
      <x:c r="A29" s="129" t="str"/>
      <x:c r="B29" s="129" t="str"/>
      <x:c r="C29" s="129" t="str"/>
      <x:c r="D29" s="146" t="str"/>
      <x:c r="E29" s="146" t="str"/>
      <x:c r="F29" s="146" t="str">
        <x:f>IF(OR(D29="",E29=""),"",E29-D29)</x:f>
      </x:c>
      <x:c r="G29" s="148" t="str">
        <x:f>IFERROR(F29/D29,"")</x:f>
      </x:c>
      <x:c r="H29" s="129" t="str"/>
      <x:c r="I29" s="129" t="str"/>
      <x:c r="J29" s="129" t="str"/>
      <x:c r="K29" s="129" t="str">
        <x:v>Open</x:v>
      </x:c>
    </x:row>
    <x:row r="30">
      <x:c r="A30" s="129" t="str"/>
      <x:c r="B30" s="129" t="str"/>
      <x:c r="C30" s="129" t="str"/>
      <x:c r="D30" s="146" t="str"/>
      <x:c r="E30" s="146" t="str"/>
      <x:c r="F30" s="146" t="str">
        <x:f>IF(OR(D30="",E30=""),"",E30-D30)</x:f>
      </x:c>
      <x:c r="G30" s="148" t="str">
        <x:f>IFERROR(F30/D30,"")</x:f>
      </x:c>
      <x:c r="H30" s="129" t="str"/>
      <x:c r="I30" s="129" t="str"/>
      <x:c r="J30" s="129" t="str"/>
      <x:c r="K30" s="129" t="str">
        <x:v>Open</x:v>
      </x:c>
    </x:row>
    <x:row r="31">
      <x:c r="A31" s="129" t="str"/>
      <x:c r="B31" s="129" t="str"/>
      <x:c r="C31" s="129" t="str"/>
      <x:c r="D31" s="146" t="str"/>
      <x:c r="E31" s="146" t="str"/>
      <x:c r="F31" s="146" t="str">
        <x:f>IF(OR(D31="",E31=""),"",E31-D31)</x:f>
      </x:c>
      <x:c r="G31" s="148" t="str">
        <x:f>IFERROR(F31/D31,"")</x:f>
      </x:c>
      <x:c r="H31" s="129" t="str"/>
      <x:c r="I31" s="129" t="str"/>
      <x:c r="J31" s="129" t="str"/>
      <x:c r="K31" s="129" t="str">
        <x:v>Open</x:v>
      </x:c>
    </x:row>
    <x:row r="32">
      <x:c r="A32" s="129" t="str"/>
      <x:c r="B32" s="129" t="str"/>
      <x:c r="C32" s="129" t="str"/>
      <x:c r="D32" s="146" t="str"/>
      <x:c r="E32" s="146" t="str"/>
      <x:c r="F32" s="146" t="str">
        <x:f>IF(OR(D32="",E32=""),"",E32-D32)</x:f>
      </x:c>
      <x:c r="G32" s="148" t="str">
        <x:f>IFERROR(F32/D32,"")</x:f>
      </x:c>
      <x:c r="H32" s="129" t="str"/>
      <x:c r="I32" s="129" t="str"/>
      <x:c r="J32" s="129" t="str"/>
      <x:c r="K32" s="129" t="str">
        <x:v>Open</x:v>
      </x:c>
    </x:row>
    <x:row r="33">
      <x:c r="A33" s="129" t="str"/>
      <x:c r="B33" s="129" t="str"/>
      <x:c r="C33" s="129" t="str"/>
      <x:c r="D33" s="146" t="str"/>
      <x:c r="E33" s="146" t="str"/>
      <x:c r="F33" s="146" t="str">
        <x:f>IF(OR(D33="",E33=""),"",E33-D33)</x:f>
      </x:c>
      <x:c r="G33" s="148" t="str">
        <x:f>IFERROR(F33/D33,"")</x:f>
      </x:c>
      <x:c r="H33" s="129" t="str"/>
      <x:c r="I33" s="129" t="str"/>
      <x:c r="J33" s="129" t="str"/>
      <x:c r="K33" s="129" t="str">
        <x:v>Open</x:v>
      </x:c>
    </x:row>
    <x:row r="34">
      <x:c r="A34" s="129" t="str"/>
      <x:c r="B34" s="129" t="str"/>
      <x:c r="C34" s="129" t="str"/>
      <x:c r="D34" s="146" t="str"/>
      <x:c r="E34" s="146" t="str"/>
      <x:c r="F34" s="146" t="str">
        <x:f>IF(OR(D34="",E34=""),"",E34-D34)</x:f>
      </x:c>
      <x:c r="G34" s="148" t="str">
        <x:f>IFERROR(F34/D34,"")</x:f>
      </x:c>
      <x:c r="H34" s="129" t="str"/>
      <x:c r="I34" s="129" t="str"/>
      <x:c r="J34" s="129" t="str"/>
      <x:c r="K34" s="129" t="str">
        <x:v>Open</x:v>
      </x:c>
    </x:row>
  </x:sheetData>
  <x:mergeCells>
    <x:mergeCell ref="A1:K1"/>
    <x:mergeCell ref="A2:K2"/>
  </x:mergeCells>
  <x:dataValidations count="1">
    <x:dataValidation type="list" sqref="K5:K34">
      <x:formula1>"Open,In Progress,Complete,Deferred"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4bafe383594fd7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58" hidden="0" customWidth="1"/>
  </x:cols>
  <x:sheetData>
    <x:row r="1" ht="30" customHeight="1">
      <x:c r="A1" s="106" t="str">
        <x:v>MAINTENANCE PLANNING EXECUTIVE DASHBOARD</x:v>
      </x:c>
      <x:c r="B1" s="106"/>
      <x:c r="C1" s="106"/>
      <x:c r="D1" s="106"/>
      <x:c r="E1" s="106"/>
      <x:c r="F1" s="106"/>
      <x:c r="G1" s="106"/>
      <x:c r="H1" s="106"/>
      <x:c r="I1" s="106"/>
      <x:c r="J1" s="106"/>
    </x:row>
    <x:row r="2" ht="32" customHeight="1">
      <x:c r="A2" s="113" t="str">
        <x:v>Management summary across PM frequency, backlog, shutdown readiness and action close-out.</x:v>
      </x:c>
      <x:c r="B2" s="113"/>
      <x:c r="C2" s="113"/>
      <x:c r="D2" s="113"/>
      <x:c r="E2" s="113"/>
      <x:c r="F2" s="113"/>
      <x:c r="G2" s="113"/>
      <x:c r="H2" s="113"/>
      <x:c r="I2" s="113"/>
      <x:c r="J2" s="113"/>
    </x:row>
    <x:row r="4">
      <x:c r="A4" s="140" t="str">
        <x:v>Metric</x:v>
      </x:c>
      <x:c r="B4" s="140" t="str">
        <x:v>Value</x:v>
      </x:c>
      <x:c r="C4" s="140" t="str">
        <x:v>Interpretation</x:v>
      </x:c>
    </x:row>
    <x:row r="5">
      <x:c r="A5" s="150" t="str">
        <x:v>PM tasks registered</x:v>
      </x:c>
      <x:c r="B5" t="n">
        <x:f>COUNTA('PM Frequency Engine'!A5:A34)</x:f>
        <x:v>30</x:v>
      </x:c>
      <x:c r="C5" t="str">
        <x:v>Rows in PM master register</x:v>
      </x:c>
    </x:row>
    <x:row r="6">
      <x:c r="A6" s="150" t="str">
        <x:v>PM overdue</x:v>
      </x:c>
      <x:c r="B6" t="n">
        <x:f>COUNTIF('PM Frequency Engine'!F5:F34,"&lt;"&amp;TODAY())</x:f>
        <x:v>30</x:v>
      </x:c>
      <x:c r="C6" t="str">
        <x:v>Next due dates before today</x:v>
      </x:c>
    </x:row>
    <x:row r="7">
      <x:c r="A7" s="150" t="str">
        <x:v>Backlog open</x:v>
      </x:c>
      <x:c r="B7" t="n">
        <x:f>COUNTIFS('Backlog Aging'!H:H,"&lt;&gt;Complete",'Backlog Aging'!A:A,"&lt;&gt;")</x:f>
        <x:v>33</x:v>
      </x:c>
      <x:c r="C7" t="str">
        <x:v>Work not complete</x:v>
      </x:c>
    </x:row>
    <x:row r="8">
      <x:c r="A8" s="150" t="str">
        <x:v>Backlog 60+ days</x:v>
      </x:c>
      <x:c r="B8" t="n">
        <x:f>COUNTIF('Backlog Aging'!G:G,"60+ days")</x:f>
        <x:v>0</x:v>
      </x:c>
      <x:c r="C8" t="str">
        <x:v>High ageing risk</x:v>
      </x:c>
    </x:row>
    <x:row r="9">
      <x:c r="A9" s="150" t="str">
        <x:v>Shutdown tasks not ready</x:v>
      </x:c>
      <x:c r="B9" t="n">
        <x:f>COUNTIF('Shutdown Planner'!M:M,"Planned")+COUNTIF('Shutdown Planner'!M:M,"Delayed")</x:f>
        <x:v>25</x:v>
      </x:c>
      <x:c r="C9" t="str">
        <x:v>Readiness attention</x:v>
      </x:c>
    </x:row>
    <x:row r="10">
      <x:c r="A10" s="150" t="str">
        <x:v>Cost overrun total</x:v>
      </x:c>
      <x:c r="B10" s="152" t="n">
        <x:f>SUMIF('Cost Variance'!F:F,"&gt;0",'Cost Variance'!F:F)</x:f>
        <x:v>0</x:v>
      </x:c>
      <x:c r="C10" t="str">
        <x:v>Actual cost above plan</x:v>
      </x:c>
    </x:row>
    <x:row r="11">
      <x:c r="A11" s="150" t="str">
        <x:v>Open actions</x:v>
      </x:c>
      <x:c r="B11" t="n">
        <x:f>COUNTIFS('Action Tracker'!H:H,"&lt;&gt;Complete",'Action Tracker'!H:H,"&lt;&gt;Verified",'Action Tracker'!A:A,"&lt;&gt;")</x:f>
        <x:v>33</x:v>
      </x:c>
      <x:c r="C11" t="str">
        <x:v>Action tracker not closed</x:v>
      </x:c>
    </x:row>
    <x:row r="12">
      <x:c r="A12" s="150" t="str">
        <x:v>Overall status</x:v>
      </x:c>
      <x:c r="B12" t="str">
        <x:f>IF(B6&gt;0,"BACKLOG AGEING RISK",IF(B5&gt;0,"PM OVERDUE","CONTROLLED"))</x:f>
        <x:v>BACKLOG AGEING RISK</x:v>
      </x:c>
      <x:c r="C12" t="str">
        <x:v>Management interpretation</x:v>
      </x:c>
    </x:row>
  </x:sheetData>
  <x:mergeCells>
    <x:mergeCell ref="A1:J1"/>
    <x:mergeCell ref="A2:J2"/>
  </x:mergeCells>
  <x:pageMargins left="0.7" right="0.7" top="0.75" bottom="0.75" header="0.3" footer="0.3"/>
</x:worksheet>
</file>