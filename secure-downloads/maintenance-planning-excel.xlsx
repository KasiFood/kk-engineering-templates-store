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b1b936d66c4309d/Desktop/LinkedIn Engineering Templates/"/>
    </mc:Choice>
  </mc:AlternateContent>
  <xr:revisionPtr revIDLastSave="0" documentId="8_{D4B017A0-08AB-473F-93E1-2A44604E7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ℹ Instructions" sheetId="1" r:id="rId1"/>
    <sheet name="⚙ Settings" sheetId="2" r:id="rId2"/>
    <sheet name="📅 Annual Planner" sheetId="3" r:id="rId3"/>
    <sheet name="📋 Work Orders" sheetId="4" r:id="rId4"/>
    <sheet name="👥 Resources" sheetId="5" r:id="rId5"/>
    <sheet name="📊 KPIs" sheetId="6" r:id="rId6"/>
    <sheet name="Premium Guide" sheetId="7" r:id="rId7"/>
    <sheet name="Lists" sheetId="8" r:id="rId8"/>
    <sheet name="Action Tracker" sheetId="9" r:id="rId9"/>
    <sheet name="PM Frequency Engine" sheetId="10" r:id="rId10"/>
    <sheet name="Backlog Aging" sheetId="11" r:id="rId11"/>
    <sheet name="Shutdown Planner" sheetId="12" r:id="rId12"/>
    <sheet name="Cost Variance" sheetId="13" r:id="rId13"/>
    <sheet name="Premium Executive Dashboard" sheetId="14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4" l="1"/>
  <c r="B9" i="14"/>
  <c r="B7" i="14"/>
  <c r="B5" i="14"/>
  <c r="F34" i="13"/>
  <c r="G34" i="13" s="1"/>
  <c r="F33" i="13"/>
  <c r="G33" i="13" s="1"/>
  <c r="F32" i="13"/>
  <c r="G32" i="13" s="1"/>
  <c r="F31" i="13"/>
  <c r="G31" i="13" s="1"/>
  <c r="F30" i="13"/>
  <c r="G30" i="13" s="1"/>
  <c r="F29" i="13"/>
  <c r="G29" i="13" s="1"/>
  <c r="F28" i="13"/>
  <c r="G28" i="13" s="1"/>
  <c r="F27" i="13"/>
  <c r="G27" i="13" s="1"/>
  <c r="F26" i="13"/>
  <c r="G26" i="13" s="1"/>
  <c r="F25" i="13"/>
  <c r="G25" i="13" s="1"/>
  <c r="F24" i="13"/>
  <c r="G24" i="13" s="1"/>
  <c r="F23" i="13"/>
  <c r="G23" i="13" s="1"/>
  <c r="F22" i="13"/>
  <c r="G22" i="13" s="1"/>
  <c r="F21" i="13"/>
  <c r="G21" i="13" s="1"/>
  <c r="F20" i="13"/>
  <c r="G20" i="13" s="1"/>
  <c r="F19" i="13"/>
  <c r="G19" i="13" s="1"/>
  <c r="F18" i="13"/>
  <c r="G18" i="13" s="1"/>
  <c r="F17" i="13"/>
  <c r="G17" i="13" s="1"/>
  <c r="F16" i="13"/>
  <c r="G16" i="13" s="1"/>
  <c r="F15" i="13"/>
  <c r="G15" i="13" s="1"/>
  <c r="F14" i="13"/>
  <c r="G14" i="13" s="1"/>
  <c r="F13" i="13"/>
  <c r="G13" i="13" s="1"/>
  <c r="F12" i="13"/>
  <c r="G12" i="13" s="1"/>
  <c r="F11" i="13"/>
  <c r="G11" i="13" s="1"/>
  <c r="F10" i="13"/>
  <c r="G10" i="13" s="1"/>
  <c r="F9" i="13"/>
  <c r="G9" i="13" s="1"/>
  <c r="F8" i="13"/>
  <c r="G8" i="13" s="1"/>
  <c r="F7" i="13"/>
  <c r="G7" i="13" s="1"/>
  <c r="F6" i="13"/>
  <c r="G6" i="13" s="1"/>
  <c r="F5" i="13"/>
  <c r="G5" i="13" s="1"/>
  <c r="F34" i="11"/>
  <c r="G34" i="11" s="1"/>
  <c r="F33" i="11"/>
  <c r="G33" i="11" s="1"/>
  <c r="F32" i="11"/>
  <c r="G32" i="11" s="1"/>
  <c r="F31" i="11"/>
  <c r="G31" i="11" s="1"/>
  <c r="F30" i="11"/>
  <c r="G30" i="11" s="1"/>
  <c r="F29" i="11"/>
  <c r="G29" i="11" s="1"/>
  <c r="F28" i="11"/>
  <c r="G28" i="11" s="1"/>
  <c r="F27" i="11"/>
  <c r="G27" i="11" s="1"/>
  <c r="F26" i="11"/>
  <c r="G26" i="11" s="1"/>
  <c r="F25" i="11"/>
  <c r="G25" i="11" s="1"/>
  <c r="F24" i="11"/>
  <c r="G24" i="11" s="1"/>
  <c r="F23" i="11"/>
  <c r="G23" i="11" s="1"/>
  <c r="F22" i="11"/>
  <c r="G22" i="11" s="1"/>
  <c r="F21" i="11"/>
  <c r="G21" i="11" s="1"/>
  <c r="F20" i="11"/>
  <c r="G20" i="11" s="1"/>
  <c r="F19" i="11"/>
  <c r="G19" i="11" s="1"/>
  <c r="F18" i="11"/>
  <c r="G18" i="11" s="1"/>
  <c r="F17" i="11"/>
  <c r="G17" i="11" s="1"/>
  <c r="F16" i="11"/>
  <c r="G16" i="11" s="1"/>
  <c r="F15" i="11"/>
  <c r="G15" i="11" s="1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G9" i="11" s="1"/>
  <c r="F8" i="11"/>
  <c r="G8" i="11" s="1"/>
  <c r="F7" i="11"/>
  <c r="G7" i="11" s="1"/>
  <c r="F6" i="11"/>
  <c r="G6" i="11" s="1"/>
  <c r="F5" i="11"/>
  <c r="G5" i="11" s="1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B6" i="14" s="1"/>
  <c r="B12" i="14" s="1"/>
  <c r="F6" i="10"/>
  <c r="F5" i="10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D19" i="6"/>
  <c r="D17" i="6"/>
  <c r="D15" i="6"/>
  <c r="D13" i="6"/>
  <c r="D11" i="6"/>
  <c r="D9" i="6"/>
  <c r="D7" i="6"/>
  <c r="D5" i="6"/>
  <c r="O21" i="5"/>
  <c r="O20" i="5"/>
  <c r="O18" i="5"/>
  <c r="O17" i="5"/>
  <c r="O15" i="5"/>
  <c r="O14" i="5"/>
  <c r="O12" i="5"/>
  <c r="O11" i="5"/>
  <c r="O9" i="5"/>
  <c r="O8" i="5"/>
  <c r="O6" i="5"/>
  <c r="O5" i="5"/>
  <c r="M105" i="4"/>
  <c r="L105" i="4"/>
  <c r="K105" i="4"/>
  <c r="B8" i="14" l="1"/>
  <c r="B10" i="14"/>
</calcChain>
</file>

<file path=xl/sharedStrings.xml><?xml version="1.0" encoding="utf-8"?>
<sst xmlns="http://schemas.openxmlformats.org/spreadsheetml/2006/main" count="787" uniqueCount="344">
  <si>
    <t>MAINTENANCE PLANNING TOOL — USER GUIDE</t>
  </si>
  <si>
    <t>OVERVIEW</t>
  </si>
  <si>
    <t>This workbook contains 5 sheets: Instructions, Annual Planner (Gantt), Work Order Register, Resource Allocation, and KPI Summary. All sheets link together automatically.</t>
  </si>
  <si>
    <t>STEP 1 — Settings</t>
  </si>
  <si>
    <t>Go to the 'Settings' tab. Enter your facility name, planning year, total planned hours per month, and the list of technicians. These feed into the Resource sheet.</t>
  </si>
  <si>
    <t>STEP 2 — Annual Planner</t>
  </si>
  <si>
    <t>Go to '📅 Annual Planner'. Add each maintenance task: enter the Task ID, description, equipment tag, type (PM/PdM/CBM/Overhaul), responsible person, planned start week, and duration in weeks. The Gantt bars fill automatically.</t>
  </si>
  <si>
    <t>STEP 3 — Work Orders</t>
  </si>
  <si>
    <t>Go to '📋 Work Orders'. Log each work order as it is raised: WO number, linked task, equipment, priority, status, estimated and actual hours, and cost. Status dropdown controls the row colour (Planned / In Progress / Complete / Overdue / Cancelled).</t>
  </si>
  <si>
    <t>STEP 4 — Resource Allocation</t>
  </si>
  <si>
    <t>Go to '👥 Resources'. This sheet shows planned hours per technician per month, compared to their available hours. Over-allocated months are highlighted in red automatically.</t>
  </si>
  <si>
    <t>STEP 5 — KPI Summary</t>
  </si>
  <si>
    <t>Go to '📊 KPIs'. All metrics (PM Compliance, Schedule Adherence, Backlog, Cost Variance) calculate automatically from the Work Order sheet. No manual entry needed.</t>
  </si>
  <si>
    <t>COLOUR CODING</t>
  </si>
  <si>
    <t>Yellow cells = manual input required. Blue cells = auto-calculated (do not edit). Green rows = Complete. Red rows = Overdue. Orange rows = In Progress. Gantt bars: dark fill = planned window, green fill = complete.</t>
  </si>
  <si>
    <t>CONTACT</t>
  </si>
  <si>
    <t>Template by Katleho Khoarane | Mechanical Engineer | MEng Candidate — CUT | Turbomachinery · Mining · Energy | linkedin.com/in/katleho-khoarane</t>
  </si>
  <si>
    <t>SETTINGS — Edit yellow cells only</t>
  </si>
  <si>
    <t>Facility Name</t>
  </si>
  <si>
    <t>Acme Mining — Plant A</t>
  </si>
  <si>
    <t>Planning Year</t>
  </si>
  <si>
    <t>Total weeks in year</t>
  </si>
  <si>
    <t>Std hours/day</t>
  </si>
  <si>
    <t>Std working days/month</t>
  </si>
  <si>
    <t>TECHNICIANS (one per row below)</t>
  </si>
  <si>
    <t>T. Mokoena</t>
  </si>
  <si>
    <t>S. Dlamini</t>
  </si>
  <si>
    <t>R. Botha</t>
  </si>
  <si>
    <t>K. Sithole</t>
  </si>
  <si>
    <t>J. van Wyk</t>
  </si>
  <si>
    <t>A. Mahlangu</t>
  </si>
  <si>
    <t>NAMED_TECH_START</t>
  </si>
  <si>
    <t>ANNUAL MAINTENANCE PLANNER — GANTT VIEW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</si>
  <si>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</si>
  <si>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</si>
  <si>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</si>
  <si>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</si>
  <si>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</si>
  <si>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</si>
  <si>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</si>
  <si>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</si>
  <si>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</si>
  <si>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</si>
  <si>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</si>
  <si>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</si>
  <si>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Task ID</t>
  </si>
  <si>
    <t>Description</t>
  </si>
  <si>
    <t>Equipment</t>
  </si>
  <si>
    <t>Type</t>
  </si>
  <si>
    <t>Responsible</t>
  </si>
  <si>
    <t>Start
Week</t>
  </si>
  <si>
    <t>Duration
(wks)</t>
  </si>
  <si>
    <t>Status</t>
  </si>
  <si>
    <t>Priority</t>
  </si>
  <si>
    <t>T-001</t>
  </si>
  <si>
    <t>30,000hr PM — Feed Pump P-101</t>
  </si>
  <si>
    <t>P-101</t>
  </si>
  <si>
    <t>PM</t>
  </si>
  <si>
    <t>Planned</t>
  </si>
  <si>
    <t>High</t>
  </si>
  <si>
    <t>█</t>
  </si>
  <si>
    <t>T-002</t>
  </si>
  <si>
    <t>Gearbox oil change — GB-001</t>
  </si>
  <si>
    <t>GB-001</t>
  </si>
  <si>
    <t>Medium</t>
  </si>
  <si>
    <t>T-003</t>
  </si>
  <si>
    <t>Conveyor belt inspection — CV-001</t>
  </si>
  <si>
    <t>CV-001</t>
  </si>
  <si>
    <t>Inspection</t>
  </si>
  <si>
    <t>T-004</t>
  </si>
  <si>
    <t>Vibration analysis — M-101</t>
  </si>
  <si>
    <t>M-101</t>
  </si>
  <si>
    <t>PdM</t>
  </si>
  <si>
    <t>T-005</t>
  </si>
  <si>
    <t>Crusher overhaul</t>
  </si>
  <si>
    <t>Overhaul</t>
  </si>
  <si>
    <t>Critical</t>
  </si>
  <si>
    <t>T-006</t>
  </si>
  <si>
    <t>Lubrication round — all pumps</t>
  </si>
  <si>
    <t>Lubrication</t>
  </si>
  <si>
    <t>Low</t>
  </si>
  <si>
    <t>T-007</t>
  </si>
  <si>
    <t>Ball mill liner replacement</t>
  </si>
  <si>
    <t>M-102</t>
  </si>
  <si>
    <t>T-008</t>
  </si>
  <si>
    <t>Cooling fan bearing replacement</t>
  </si>
  <si>
    <t>FN-001</t>
  </si>
  <si>
    <t>T-009</t>
  </si>
  <si>
    <t>Compressor valve overhaul</t>
  </si>
  <si>
    <t>C-101</t>
  </si>
  <si>
    <t>T-010</t>
  </si>
  <si>
    <t>Tailings pump impeller check</t>
  </si>
  <si>
    <t>P-102</t>
  </si>
  <si>
    <t>T-011</t>
  </si>
  <si>
    <t>Conveyor CV-002 belt tension</t>
  </si>
  <si>
    <t>CV-002</t>
  </si>
  <si>
    <t>T-012</t>
  </si>
  <si>
    <t>Gearbox GB-002 oil analysis</t>
  </si>
  <si>
    <t>GB-002</t>
  </si>
  <si>
    <t>T-013</t>
  </si>
  <si>
    <t>Motor alignment check — M-101</t>
  </si>
  <si>
    <t>T-014</t>
  </si>
  <si>
    <t>Annual safety valve test</t>
  </si>
  <si>
    <t>T-015</t>
  </si>
  <si>
    <t>Year-end full facility inspection</t>
  </si>
  <si>
    <t>ALL</t>
  </si>
  <si>
    <t>LEGEND — Task Type:</t>
  </si>
  <si>
    <t xml:space="preserve">  PM</t>
  </si>
  <si>
    <t xml:space="preserve">  PdM</t>
  </si>
  <si>
    <t xml:space="preserve">  CBM</t>
  </si>
  <si>
    <t xml:space="preserve">  Overhaul</t>
  </si>
  <si>
    <t xml:space="preserve">  Inspection</t>
  </si>
  <si>
    <t xml:space="preserve">  Lubrication</t>
  </si>
  <si>
    <t xml:space="preserve">  Calibration</t>
  </si>
  <si>
    <t>WORK ORDER REGISTER</t>
  </si>
  <si>
    <t>► Yellow cells = manual input  |  Blue cells = auto-calculated  |  Status dropdown controls row colour</t>
  </si>
  <si>
    <t>WO Number</t>
  </si>
  <si>
    <t>Assigned To</t>
  </si>
  <si>
    <t>Planned Date</t>
  </si>
  <si>
    <t>Completion Date</t>
  </si>
  <si>
    <t>Est. Hours</t>
  </si>
  <si>
    <t>Actual Hours</t>
  </si>
  <si>
    <t>Est. Cost (R)</t>
  </si>
  <si>
    <t>WO-2025-001</t>
  </si>
  <si>
    <t>WO-2025-002</t>
  </si>
  <si>
    <t>Gearbox oil change GB-001</t>
  </si>
  <si>
    <t>WO-2025-003</t>
  </si>
  <si>
    <t>Conveyor belt inspection CV-001</t>
  </si>
  <si>
    <t>WO-2025-004</t>
  </si>
  <si>
    <t>Vibration analysis M-101</t>
  </si>
  <si>
    <t>WO-2025-005</t>
  </si>
  <si>
    <t>WO-2025-006</t>
  </si>
  <si>
    <t>WO-2025-007</t>
  </si>
  <si>
    <t>WO-2025-008</t>
  </si>
  <si>
    <t>WO-2025-009</t>
  </si>
  <si>
    <t>WO-2025-010</t>
  </si>
  <si>
    <t>TOTALS</t>
  </si>
  <si>
    <t>RESOURCE ALLOCATION — Hours per Technician per Month</t>
  </si>
  <si>
    <t>Technician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</si>
  <si>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</si>
  <si>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</si>
  <si>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</si>
  <si>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</si>
  <si>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</si>
  <si>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</si>
  <si>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</si>
  <si>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</si>
  <si>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</si>
  <si>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</si>
  <si>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</si>
  <si>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</si>
  <si>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</si>
  <si>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 xml:space="preserve">  Available hrs</t>
  </si>
  <si>
    <t>KPI SUMMARY — Auto-calculated from Work Order Register</t>
  </si>
  <si>
    <t>PM COMPLIANCE</t>
  </si>
  <si>
    <t>% of planned WOs completed on time</t>
  </si>
  <si>
    <t>Target: ≥ 85%</t>
  </si>
  <si>
    <t>SCHEDULE ADHERENCE</t>
  </si>
  <si>
    <t>WOs completed vs total WOs raised</t>
  </si>
  <si>
    <t>Target: ≥ 90%</t>
  </si>
  <si>
    <t>TOTAL WORK ORDERS</t>
  </si>
  <si>
    <t>All WOs in the register</t>
  </si>
  <si>
    <t>OPEN WORK ORDERS</t>
  </si>
  <si>
    <t>WOs with status = Planned or In Progress</t>
  </si>
  <si>
    <t>OVERDUE WORK ORDERS</t>
  </si>
  <si>
    <t>WOs with status = Overdue</t>
  </si>
  <si>
    <t>Target: 0</t>
  </si>
  <si>
    <t>BACKLOG HOURS</t>
  </si>
  <si>
    <t>Est. hours on open + overdue WOs</t>
  </si>
  <si>
    <t>TOTAL EST. COST</t>
  </si>
  <si>
    <t>Sum of all estimated costs (R)</t>
  </si>
  <si>
    <t>CRITICAL WOs OPEN</t>
  </si>
  <si>
    <t>Priority = Critical AND status ≠ Complete</t>
  </si>
  <si>
    <t>Maintenance Planning Excel — PREMIUM UPGRADE GUIDE</t>
  </si>
  <si>
    <t>Original template preserved. Added premium sheets turn the file into a semi-automated maintenance management tool.</t>
  </si>
  <si>
    <t>Step</t>
  </si>
  <si>
    <t>What to do</t>
  </si>
  <si>
    <t>Outcome</t>
  </si>
  <si>
    <t>1</t>
  </si>
  <si>
    <t>Enter field data</t>
  </si>
  <si>
    <t>Complete the original inspection/report sheet. Yellow cells and result columns are input fields.</t>
  </si>
  <si>
    <t>2</t>
  </si>
  <si>
    <t>Use dropdowns</t>
  </si>
  <si>
    <t>Use standardised results, priority, status, criticality and RCA decision fields to keep data clean.</t>
  </si>
  <si>
    <t>3</t>
  </si>
  <si>
    <t>Review dashboard</t>
  </si>
  <si>
    <t>Open the dashboard/summary sheet to view compliance, open actions, overdue actions and management risk indicators.</t>
  </si>
  <si>
    <t>4</t>
  </si>
  <si>
    <t>Close actions</t>
  </si>
  <si>
    <t>Transfer defects/recommendations to the Action Tracker with owner, due date, status and verification evidence.</t>
  </si>
  <si>
    <t>5</t>
  </si>
  <si>
    <t>Issue report</t>
  </si>
  <si>
    <t>Use the original form for site records and the added registers for meetings, audits and maintenance planning.</t>
  </si>
  <si>
    <t>Upgrades Implemented</t>
  </si>
  <si>
    <t>• PM frequency engine added to generate next due dates from daily/weekly/monthly/quarterly/annual frequencies.</t>
  </si>
  <si>
    <t>• Backlog ageing matrix added for open work by 0–7, 8–30, 31–60 and 60+ days.</t>
  </si>
  <si>
    <t>• Shutdown planner added for tasks, dependencies, permits, spares, resources and readiness.</t>
  </si>
  <si>
    <t>• Cost variance tracker added for budget vs actual cost control.</t>
  </si>
  <si>
    <t>• Premium executive dashboard added for PM compliance, schedule compliance, backlog and action status.</t>
  </si>
  <si>
    <t>CONTROL LISTS / DROPDOWNS</t>
  </si>
  <si>
    <t>Edit these lists if your site uses different status, priority, failure mode or criticality labels.</t>
  </si>
  <si>
    <t>Result</t>
  </si>
  <si>
    <t>Severity</t>
  </si>
  <si>
    <t>Failure Mode</t>
  </si>
  <si>
    <t>Criticality</t>
  </si>
  <si>
    <t>Shift</t>
  </si>
  <si>
    <t>RCA Required</t>
  </si>
  <si>
    <t>Open</t>
  </si>
  <si>
    <t>✓</t>
  </si>
  <si>
    <t>Mechanical</t>
  </si>
  <si>
    <t>A - Critical</t>
  </si>
  <si>
    <t>Day</t>
  </si>
  <si>
    <t>Yes</t>
  </si>
  <si>
    <t>In Progress</t>
  </si>
  <si>
    <t>✗</t>
  </si>
  <si>
    <t>Electrical</t>
  </si>
  <si>
    <t>B - Important</t>
  </si>
  <si>
    <t>Night</t>
  </si>
  <si>
    <t>No</t>
  </si>
  <si>
    <t>Complete</t>
  </si>
  <si>
    <t>N/A</t>
  </si>
  <si>
    <t>C - General</t>
  </si>
  <si>
    <t>A</t>
  </si>
  <si>
    <t>TBC</t>
  </si>
  <si>
    <t>Overdue</t>
  </si>
  <si>
    <t>Monitor</t>
  </si>
  <si>
    <t>Hydraulic</t>
  </si>
  <si>
    <t>B</t>
  </si>
  <si>
    <t>Deferred</t>
  </si>
  <si>
    <t>Pneumatic</t>
  </si>
  <si>
    <t>C</t>
  </si>
  <si>
    <t>Cancelled</t>
  </si>
  <si>
    <t>Instrumentation</t>
  </si>
  <si>
    <t>D</t>
  </si>
  <si>
    <t>Verified</t>
  </si>
  <si>
    <t>Process</t>
  </si>
  <si>
    <t>Operator</t>
  </si>
  <si>
    <t>Design</t>
  </si>
  <si>
    <t>Unknown</t>
  </si>
  <si>
    <t>ACTION TRACKER</t>
  </si>
  <si>
    <t>Central register for defects, recommendations, close-out dates, and verification.</t>
  </si>
  <si>
    <t>Source/Sheet</t>
  </si>
  <si>
    <t>Asset / Equipment</t>
  </si>
  <si>
    <t>Finding / Defect</t>
  </si>
  <si>
    <t>Risk / Impact</t>
  </si>
  <si>
    <t>Responsible Person</t>
  </si>
  <si>
    <t>Due Date</t>
  </si>
  <si>
    <t>Close-out Date</t>
  </si>
  <si>
    <t>Verification / Evidence</t>
  </si>
  <si>
    <t>Days Overdue</t>
  </si>
  <si>
    <t>PM FREQUENCY ENGINE</t>
  </si>
  <si>
    <t>Build a master PM register and calculate next due dates automatically.</t>
  </si>
  <si>
    <t>PM ID</t>
  </si>
  <si>
    <t>Equipment Tag</t>
  </si>
  <si>
    <t>Task Description</t>
  </si>
  <si>
    <t>Frequency</t>
  </si>
  <si>
    <t>Last Done</t>
  </si>
  <si>
    <t>Next Due</t>
  </si>
  <si>
    <t>WO Template</t>
  </si>
  <si>
    <t>Action Required</t>
  </si>
  <si>
    <t>Notes</t>
  </si>
  <si>
    <t>Running Hours Basis</t>
  </si>
  <si>
    <t>PM-001</t>
  </si>
  <si>
    <t>M</t>
  </si>
  <si>
    <t>PM-002</t>
  </si>
  <si>
    <t>PM-003</t>
  </si>
  <si>
    <t>PM-004</t>
  </si>
  <si>
    <t>PM-005</t>
  </si>
  <si>
    <t>PM-006</t>
  </si>
  <si>
    <t>PM-007</t>
  </si>
  <si>
    <t>PM-008</t>
  </si>
  <si>
    <t>PM-009</t>
  </si>
  <si>
    <t>PM-010</t>
  </si>
  <si>
    <t>PM-011</t>
  </si>
  <si>
    <t>PM-012</t>
  </si>
  <si>
    <t>PM-013</t>
  </si>
  <si>
    <t>PM-014</t>
  </si>
  <si>
    <t>PM-015</t>
  </si>
  <si>
    <t>PM-016</t>
  </si>
  <si>
    <t>PM-017</t>
  </si>
  <si>
    <t>PM-018</t>
  </si>
  <si>
    <t>PM-019</t>
  </si>
  <si>
    <t>PM-020</t>
  </si>
  <si>
    <t>PM-021</t>
  </si>
  <si>
    <t>PM-022</t>
  </si>
  <si>
    <t>PM-023</t>
  </si>
  <si>
    <t>PM-024</t>
  </si>
  <si>
    <t>PM-025</t>
  </si>
  <si>
    <t>PM-026</t>
  </si>
  <si>
    <t>PM-027</t>
  </si>
  <si>
    <t>PM-028</t>
  </si>
  <si>
    <t>PM-029</t>
  </si>
  <si>
    <t>PM-030</t>
  </si>
  <si>
    <t>BACKLOG AGEING MATRIX</t>
  </si>
  <si>
    <t>Track open work orders by age band and priority.</t>
  </si>
  <si>
    <t>Date Raised</t>
  </si>
  <si>
    <t>Age (days)</t>
  </si>
  <si>
    <t>Age Band</t>
  </si>
  <si>
    <t>Action</t>
  </si>
  <si>
    <t>SHUTDOWN PLANNING MODULE</t>
  </si>
  <si>
    <t>Plan task sequence, dependencies, permits, spares, resources and readiness.</t>
  </si>
  <si>
    <t>Shutdown ID</t>
  </si>
  <si>
    <t>Predecessor</t>
  </si>
  <si>
    <t>Start</t>
  </si>
  <si>
    <t>Finish</t>
  </si>
  <si>
    <t>Duration hrs</t>
  </si>
  <si>
    <t>Permit Required?</t>
  </si>
  <si>
    <t>Spares Ready?</t>
  </si>
  <si>
    <t>Resources Ready?</t>
  </si>
  <si>
    <t>Risk</t>
  </si>
  <si>
    <t>Comments</t>
  </si>
  <si>
    <t>SD-001</t>
  </si>
  <si>
    <t>MAINTENANCE COST PLAN VS ACTUAL</t>
  </si>
  <si>
    <t>Compare planned budget to actual cost by work order or task.</t>
  </si>
  <si>
    <t>WO / Task</t>
  </si>
  <si>
    <t>Cost Category</t>
  </si>
  <si>
    <t>Planned Cost</t>
  </si>
  <si>
    <t>Actual Cost</t>
  </si>
  <si>
    <t>Variance</t>
  </si>
  <si>
    <t>Variance %</t>
  </si>
  <si>
    <t>Reason</t>
  </si>
  <si>
    <t>Owner</t>
  </si>
  <si>
    <t>Corrective Action</t>
  </si>
  <si>
    <t>MAINTENANCE PLANNING EXECUTIVE DASHBOARD</t>
  </si>
  <si>
    <t>Management summary across PM frequency, backlog, shutdown readiness and action close-out.</t>
  </si>
  <si>
    <t>Metric</t>
  </si>
  <si>
    <t>Value</t>
  </si>
  <si>
    <t>Interpretation</t>
  </si>
  <si>
    <t>PM tasks registered</t>
  </si>
  <si>
    <t>Rows in PM master register</t>
  </si>
  <si>
    <t>PM overdue</t>
  </si>
  <si>
    <t>Next due dates before today</t>
  </si>
  <si>
    <t>Backlog open</t>
  </si>
  <si>
    <t>Work not complete</t>
  </si>
  <si>
    <t>Backlog 60+ days</t>
  </si>
  <si>
    <t>High ageing risk</t>
  </si>
  <si>
    <t>Shutdown tasks not ready</t>
  </si>
  <si>
    <t>Readiness attention</t>
  </si>
  <si>
    <t>Cost overrun total</t>
  </si>
  <si>
    <t>Actual cost above plan</t>
  </si>
  <si>
    <t>Open actions</t>
  </si>
  <si>
    <t>Action tracker not closed</t>
  </si>
  <si>
    <t>Overall status</t>
  </si>
  <si>
    <t>Management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</si>
</sst>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0.0%"/>
    <numFmt numFmtId="166" formatCode="0.0"/>
    <numFmt numFmtId="167" formatCode="yyyy\-mm\-dd"/>
    <numFmt numFmtId="168" formatCode="yyyy\-mm\-dd\ hh:mm"/>
    <numFmt numFmtId="169" formatCode="\R\ #,##0.00"/>
  </numFmts>
  <fonts count="30" x14ac:knownFonts="1">
    <font>
      <sz val="11"/>
      <color theme="1"/>
      <name val="Calibri"/>
    </font>
    <font>
      <sz val="10"/>
      <name val="Arial"/>
    </font>
    <font>
      <b/>
      <sz val="14"/>
      <color rgb="FFE8A020"/>
      <name val="Arial"/>
    </font>
    <font>
      <b/>
      <sz val="9"/>
      <color rgb="FFE8A020"/>
      <name val="Arial"/>
    </font>
    <font>
      <sz val="9"/>
      <color rgb="FF1A1A2E"/>
      <name val="Arial"/>
    </font>
    <font>
      <b/>
      <sz val="12"/>
      <color rgb="FFE8A020"/>
      <name val="Arial"/>
    </font>
    <font>
      <b/>
      <sz val="9"/>
      <color rgb="FFFFFFFF"/>
      <name val="Arial"/>
    </font>
    <font>
      <i/>
      <sz val="8"/>
      <color rgb="FF717D7E"/>
      <name val="Arial"/>
    </font>
    <font>
      <b/>
      <sz val="8"/>
      <color rgb="FFE8A020"/>
      <name val="Arial"/>
    </font>
    <font>
      <b/>
      <sz val="7"/>
      <color rgb="FFD5D8DC"/>
      <name val="Arial"/>
    </font>
    <font>
      <sz val="6"/>
      <color rgb="FF1F618D"/>
      <name val="Arial"/>
    </font>
    <font>
      <sz val="6"/>
      <color rgb="FF1E8449"/>
      <name val="Arial"/>
    </font>
    <font>
      <sz val="6"/>
      <color rgb="FF6C3483"/>
      <name val="Arial"/>
    </font>
    <font>
      <sz val="6"/>
      <color rgb="FFA04000"/>
      <name val="Arial"/>
    </font>
    <font>
      <sz val="6"/>
      <color rgb="FFB7950B"/>
      <name val="Arial"/>
    </font>
    <font>
      <b/>
      <sz val="8"/>
      <color rgb="FF1A1A2E"/>
      <name val="Arial"/>
    </font>
    <font>
      <sz val="8"/>
      <color rgb="FFFFFFFF"/>
      <name val="Arial"/>
    </font>
    <font>
      <sz val="9"/>
      <color rgb="FF1F618D"/>
      <name val="Arial"/>
    </font>
    <font>
      <b/>
      <sz val="10"/>
      <color rgb="FFFFFFFF"/>
      <name val="Arial"/>
    </font>
    <font>
      <b/>
      <sz val="13"/>
      <color rgb="FFE8A020"/>
      <name val="Arial"/>
    </font>
    <font>
      <b/>
      <sz val="9"/>
      <color rgb="FF1A1A2E"/>
      <name val="Arial"/>
    </font>
    <font>
      <i/>
      <sz val="9"/>
      <color rgb="FF717D7E"/>
      <name val="Arial"/>
    </font>
    <font>
      <sz val="9"/>
      <color rgb="FF717D7E"/>
      <name val="Arial"/>
    </font>
    <font>
      <b/>
      <sz val="14"/>
      <color rgb="FF1F618D"/>
      <name val="Arial"/>
    </font>
    <font>
      <i/>
      <sz val="9"/>
      <color rgb="FF1E8449"/>
      <name val="Arial"/>
    </font>
    <font>
      <b/>
      <sz val="16"/>
      <color rgb="FFFFFFFF"/>
      <name val="Calibri"/>
    </font>
    <font>
      <i/>
      <sz val="10"/>
      <color rgb="FF1F2937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2F3F4"/>
      </patternFill>
    </fill>
    <fill>
      <patternFill patternType="solid">
        <fgColor rgb="FF16213E"/>
      </patternFill>
    </fill>
    <fill>
      <patternFill patternType="solid">
        <fgColor rgb="FFFFF9E6"/>
      </patternFill>
    </fill>
    <fill>
      <patternFill patternType="solid">
        <fgColor rgb="FF1E2D40"/>
      </patternFill>
    </fill>
    <fill>
      <patternFill patternType="solid">
        <fgColor rgb="FF1F618D"/>
      </patternFill>
    </fill>
    <fill>
      <patternFill patternType="solid">
        <fgColor rgb="FFFFFFFF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A04000"/>
      </patternFill>
    </fill>
    <fill>
      <patternFill patternType="solid">
        <fgColor rgb="FFB7950B"/>
      </patternFill>
    </fill>
    <fill>
      <patternFill patternType="solid">
        <fgColor rgb="FF117A65"/>
      </patternFill>
    </fill>
    <fill>
      <patternFill patternType="solid">
        <fgColor rgb="FF717D7E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DBEAFE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64">
    <xf numFmtId="0" fontId="0" fillId="0" borderId="0" xfId="0"/>
    <xf numFmtId="0" fontId="0" fillId="21" borderId="0" xfId="0" applyFill="1" applyAlignment="1">
      <alignment wrapText="1"/>
    </xf>
    <xf numFmtId="0" fontId="26" fillId="18" borderId="0" xfId="0" applyFont="1" applyFill="1" applyAlignment="1">
      <alignment wrapText="1"/>
    </xf>
    <xf numFmtId="0" fontId="25" fillId="17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3" borderId="2" xfId="0" applyFill="1" applyBorder="1"/>
    <xf numFmtId="0" fontId="4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7" fillId="0" borderId="0" xfId="0" applyFont="1"/>
    <xf numFmtId="0" fontId="0" fillId="2" borderId="0" xfId="0" applyFill="1"/>
    <xf numFmtId="0" fontId="6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0" fillId="7" borderId="3" xfId="0" applyFont="1" applyFill="1" applyBorder="1"/>
    <xf numFmtId="0" fontId="0" fillId="3" borderId="3" xfId="0" applyFill="1" applyBorder="1"/>
    <xf numFmtId="0" fontId="0" fillId="8" borderId="3" xfId="0" applyFill="1" applyBorder="1"/>
    <xf numFmtId="0" fontId="11" fillId="9" borderId="3" xfId="0" applyFont="1" applyFill="1" applyBorder="1"/>
    <xf numFmtId="0" fontId="12" fillId="10" borderId="3" xfId="0" applyFont="1" applyFill="1" applyBorder="1"/>
    <xf numFmtId="0" fontId="13" fillId="11" borderId="3" xfId="0" applyFont="1" applyFill="1" applyBorder="1"/>
    <xf numFmtId="0" fontId="14" fillId="12" borderId="3" xfId="0" applyFont="1" applyFill="1" applyBorder="1"/>
    <xf numFmtId="0" fontId="4" fillId="5" borderId="2" xfId="0" applyFont="1" applyFill="1" applyBorder="1"/>
    <xf numFmtId="0" fontId="15" fillId="0" borderId="0" xfId="0" applyFont="1"/>
    <xf numFmtId="0" fontId="16" fillId="7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1" fontId="17" fillId="15" borderId="2" xfId="0" applyNumberFormat="1" applyFont="1" applyFill="1" applyBorder="1" applyAlignment="1">
      <alignment horizontal="center" vertical="center"/>
    </xf>
    <xf numFmtId="1" fontId="20" fillId="15" borderId="2" xfId="0" applyNumberFormat="1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left" vertical="center"/>
    </xf>
    <xf numFmtId="1" fontId="22" fillId="3" borderId="2" xfId="0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 wrapText="1"/>
    </xf>
    <xf numFmtId="165" fontId="23" fillId="15" borderId="2" xfId="0" applyNumberFormat="1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1" fontId="23" fillId="15" borderId="2" xfId="0" applyNumberFormat="1" applyFont="1" applyFill="1" applyBorder="1" applyAlignment="1">
      <alignment horizontal="center" vertical="center"/>
    </xf>
    <xf numFmtId="166" fontId="23" fillId="15" borderId="2" xfId="0" applyNumberFormat="1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0" fontId="27" fillId="19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8" fillId="20" borderId="0" xfId="0" applyFont="1" applyFill="1"/>
    <xf numFmtId="0" fontId="28" fillId="19" borderId="0" xfId="0" applyFont="1" applyFill="1"/>
    <xf numFmtId="167" fontId="0" fillId="0" borderId="0" xfId="0" applyNumberFormat="1" applyAlignment="1">
      <alignment vertical="top" wrapText="1"/>
    </xf>
    <xf numFmtId="168" fontId="0" fillId="0" borderId="0" xfId="0" applyNumberFormat="1" applyAlignment="1">
      <alignment vertical="top" wrapText="1"/>
    </xf>
    <xf numFmtId="16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29" fillId="18" borderId="0" xfId="0" applyFont="1" applyFill="1"/>
    <xf numFmtId="169" fontId="0" fillId="0" borderId="0" xfId="0" applyNumberFormat="1"/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2">
    <dxf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17A65"/>
      <rgbColor rgb="FFCCCCCC"/>
      <rgbColor rgb="FF717D7E"/>
      <rgbColor rgb="FF9999FF"/>
      <rgbColor rgb="FF6C3483"/>
      <rgbColor rgb="FFFFF9E6"/>
      <rgbColor rgb="FFD6EAF8"/>
      <rgbColor rgb="FF660066"/>
      <rgbColor rgb="FFFF8080"/>
      <rgbColor rgb="FF1F618D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E8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16213E"/>
      <rgbColor rgb="FF1E8449"/>
      <rgbColor rgb="FF003300"/>
      <rgbColor rgb="FF1A1A2E"/>
      <rgbColor rgb="FFA04000"/>
      <rgbColor rgb="FF993366"/>
      <rgbColor rgb="FF333399"/>
      <rgbColor rgb="FF1E2D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ningActionTracker" displayName="PlanningActionTracker" ref="A4:K34">
  <tableColumns count="11">
    <tableColumn id="1" xr3:uid="{00000000-0010-0000-0000-000001000000}" name="Source/Sheet"/>
    <tableColumn id="2" xr3:uid="{00000000-0010-0000-0000-000002000000}" name="Asset / Equipment"/>
    <tableColumn id="3" xr3:uid="{00000000-0010-0000-0000-000003000000}" name="Finding / Defect"/>
    <tableColumn id="4" xr3:uid="{00000000-0010-0000-0000-000004000000}" name="Risk / Impact"/>
    <tableColumn id="5" xr3:uid="{00000000-0010-0000-0000-000005000000}" name="Priority"/>
    <tableColumn id="6" xr3:uid="{00000000-0010-0000-0000-000006000000}" name="Responsible Person"/>
    <tableColumn id="7" xr3:uid="{00000000-0010-0000-0000-000007000000}" name="Due Date"/>
    <tableColumn id="8" xr3:uid="{00000000-0010-0000-0000-000008000000}" name="Status"/>
    <tableColumn id="9" xr3:uid="{00000000-0010-0000-0000-000009000000}" name="Close-out Date"/>
    <tableColumn id="10" xr3:uid="{00000000-0010-0000-0000-00000A000000}" name="Verification / Evidence"/>
    <tableColumn id="11" xr3:uid="{00000000-0010-0000-0000-00000B000000}" name="Days Over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MFrequencyEngine" displayName="PMFrequencyEngine" ref="A4:M34">
  <tableColumns count="13">
    <tableColumn id="1" xr3:uid="{00000000-0010-0000-0100-000001000000}" name="PM ID"/>
    <tableColumn id="2" xr3:uid="{00000000-0010-0000-0100-000002000000}" name="Equipment Tag"/>
    <tableColumn id="3" xr3:uid="{00000000-0010-0000-0100-000003000000}" name="Task Description"/>
    <tableColumn id="4" xr3:uid="{00000000-0010-0000-0100-000004000000}" name="Frequency"/>
    <tableColumn id="5" xr3:uid="{00000000-0010-0000-0100-000005000000}" name="Last Done"/>
    <tableColumn id="6" xr3:uid="{00000000-0010-0000-0100-000006000000}" name="Next Due"/>
    <tableColumn id="7" xr3:uid="{00000000-0010-0000-0100-000007000000}" name="Criticality"/>
    <tableColumn id="8" xr3:uid="{00000000-0010-0000-0100-000008000000}" name="Responsible"/>
    <tableColumn id="9" xr3:uid="{00000000-0010-0000-0100-000009000000}" name="WO Template"/>
    <tableColumn id="10" xr3:uid="{00000000-0010-0000-0100-00000A000000}" name="Status"/>
    <tableColumn id="11" xr3:uid="{00000000-0010-0000-0100-00000B000000}" name="Action Required"/>
    <tableColumn id="12" xr3:uid="{00000000-0010-0000-0100-00000C000000}" name="Notes"/>
    <tableColumn id="13" xr3:uid="{00000000-0010-0000-0100-00000D000000}" name="Running Hours Ba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cklogAging" displayName="BacklogAging" ref="A4:J34">
  <tableColumns count="10">
    <tableColumn id="1" xr3:uid="{00000000-0010-0000-0200-000001000000}" name="WO Number"/>
    <tableColumn id="2" xr3:uid="{00000000-0010-0000-0200-000002000000}" name="Equipment Tag"/>
    <tableColumn id="3" xr3:uid="{00000000-0010-0000-0200-000003000000}" name="Description"/>
    <tableColumn id="4" xr3:uid="{00000000-0010-0000-0200-000004000000}" name="Priority"/>
    <tableColumn id="5" xr3:uid="{00000000-0010-0000-0200-000005000000}" name="Date Raised"/>
    <tableColumn id="6" xr3:uid="{00000000-0010-0000-0200-000006000000}" name="Age (days)"/>
    <tableColumn id="7" xr3:uid="{00000000-0010-0000-0200-000007000000}" name="Age Band"/>
    <tableColumn id="8" xr3:uid="{00000000-0010-0000-0200-000008000000}" name="Status"/>
    <tableColumn id="9" xr3:uid="{00000000-0010-0000-0200-000009000000}" name="Responsible"/>
    <tableColumn id="10" xr3:uid="{00000000-0010-0000-0200-00000A000000}" name="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hutdownPlanner" displayName="ShutdownPlanner" ref="A4:N29">
  <tableColumns count="14">
    <tableColumn id="1" xr3:uid="{00000000-0010-0000-0300-000001000000}" name="Shutdown ID"/>
    <tableColumn id="2" xr3:uid="{00000000-0010-0000-0300-000002000000}" name="Task ID"/>
    <tableColumn id="3" xr3:uid="{00000000-0010-0000-0300-000003000000}" name="Task Description"/>
    <tableColumn id="4" xr3:uid="{00000000-0010-0000-0300-000004000000}" name="Equipment"/>
    <tableColumn id="5" xr3:uid="{00000000-0010-0000-0300-000005000000}" name="Predecessor"/>
    <tableColumn id="6" xr3:uid="{00000000-0010-0000-0300-000006000000}" name="Start"/>
    <tableColumn id="7" xr3:uid="{00000000-0010-0000-0300-000007000000}" name="Finish"/>
    <tableColumn id="8" xr3:uid="{00000000-0010-0000-0300-000008000000}" name="Duration hrs"/>
    <tableColumn id="9" xr3:uid="{00000000-0010-0000-0300-000009000000}" name="Permit Required?"/>
    <tableColumn id="10" xr3:uid="{00000000-0010-0000-0300-00000A000000}" name="Spares Ready?"/>
    <tableColumn id="11" xr3:uid="{00000000-0010-0000-0300-00000B000000}" name="Resources Ready?"/>
    <tableColumn id="12" xr3:uid="{00000000-0010-0000-0300-00000C000000}" name="Risk"/>
    <tableColumn id="13" xr3:uid="{00000000-0010-0000-0300-00000D000000}" name="Status"/>
    <tableColumn id="14" xr3:uid="{00000000-0010-0000-0300-00000E000000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stVariance" displayName="CostVariance" ref="A4:K34">
  <tableColumns count="11">
    <tableColumn id="1" xr3:uid="{00000000-0010-0000-0400-000001000000}" name="WO / Task"/>
    <tableColumn id="2" xr3:uid="{00000000-0010-0000-0400-000002000000}" name="Equipment"/>
    <tableColumn id="3" xr3:uid="{00000000-0010-0000-0400-000003000000}" name="Cost Category"/>
    <tableColumn id="4" xr3:uid="{00000000-0010-0000-0400-000004000000}" name="Planned Cost"/>
    <tableColumn id="5" xr3:uid="{00000000-0010-0000-0400-000005000000}" name="Actual Cost"/>
    <tableColumn id="6" xr3:uid="{00000000-0010-0000-0400-000006000000}" name="Variance"/>
    <tableColumn id="7" xr3:uid="{00000000-0010-0000-0400-000007000000}" name="Variance %"/>
    <tableColumn id="8" xr3:uid="{00000000-0010-0000-0400-000008000000}" name="Reason"/>
    <tableColumn id="9" xr3:uid="{00000000-0010-0000-0400-000009000000}" name="Owner"/>
    <tableColumn id="10" xr3:uid="{00000000-0010-0000-0400-00000A000000}" name="Corrective Action"/>
    <tableColumn id="11" xr3:uid="{00000000-0010-0000-0400-00000B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17D7E"/>
  </sheetPr>
  <dimension ref="B1:C27"/>
  <sheetViews>
    <sheetView showGridLines="0" tabSelected="1" workbookViewId="0"/>
  </sheetViews>
  <sheetFormatPr defaultColWidth="8.6640625" defaultRowHeight="14.4" x14ac:dyDescent="0.3"/>
  <cols>
    <col min="1" max="1" width="3" customWidth="1"/>
    <col min="2" max="2" width="22" customWidth="1"/>
    <col min="3" max="3" width="70" customWidth="1"/>
    <col min="4" max="4" width="3" customWidth="1"/>
  </cols>
  <sheetData>
    <row r="1" spans="2:3" ht="7.5" customHeight="1" x14ac:dyDescent="0.3"/>
    <row r="2" spans="2:3" ht="42" customHeight="1" x14ac:dyDescent="0.3">
      <c r="B2" s="10" t="s">
        <v>0</v>
      </c>
      <c r="C2" s="10"/>
    </row>
    <row r="4" spans="2:3" ht="9.75" customHeight="1" x14ac:dyDescent="0.3"/>
    <row r="5" spans="2:3" ht="19.5" customHeight="1" x14ac:dyDescent="0.3">
      <c r="B5" s="11" t="s">
        <v>1</v>
      </c>
    </row>
    <row r="6" spans="2:3" ht="51.75" customHeight="1" x14ac:dyDescent="0.3">
      <c r="B6" s="12"/>
      <c r="C6" s="13" t="s">
        <v>2</v>
      </c>
    </row>
    <row r="7" spans="2:3" ht="9.75" customHeight="1" x14ac:dyDescent="0.3"/>
    <row r="8" spans="2:3" ht="19.5" customHeight="1" x14ac:dyDescent="0.3">
      <c r="B8" s="11" t="s">
        <v>3</v>
      </c>
    </row>
    <row r="9" spans="2:3" ht="51.75" customHeight="1" x14ac:dyDescent="0.3">
      <c r="B9" s="12"/>
      <c r="C9" s="13" t="s">
        <v>4</v>
      </c>
    </row>
    <row r="10" spans="2:3" ht="9.75" customHeight="1" x14ac:dyDescent="0.3"/>
    <row r="11" spans="2:3" ht="19.5" customHeight="1" x14ac:dyDescent="0.3">
      <c r="B11" s="11" t="s">
        <v>5</v>
      </c>
    </row>
    <row r="12" spans="2:3" ht="51.75" customHeight="1" x14ac:dyDescent="0.3">
      <c r="B12" s="12"/>
      <c r="C12" s="13" t="s">
        <v>6</v>
      </c>
    </row>
    <row r="13" spans="2:3" ht="9.75" customHeight="1" x14ac:dyDescent="0.3"/>
    <row r="14" spans="2:3" ht="19.5" customHeight="1" x14ac:dyDescent="0.3">
      <c r="B14" s="11" t="s">
        <v>7</v>
      </c>
    </row>
    <row r="15" spans="2:3" ht="51.75" customHeight="1" x14ac:dyDescent="0.3">
      <c r="B15" s="12"/>
      <c r="C15" s="13" t="s">
        <v>8</v>
      </c>
    </row>
    <row r="16" spans="2:3" ht="9.75" customHeight="1" x14ac:dyDescent="0.3"/>
    <row r="17" spans="2:3" ht="19.5" customHeight="1" x14ac:dyDescent="0.3">
      <c r="B17" s="11" t="s">
        <v>9</v>
      </c>
    </row>
    <row r="18" spans="2:3" ht="51.75" customHeight="1" x14ac:dyDescent="0.3">
      <c r="B18" s="12"/>
      <c r="C18" s="13" t="s">
        <v>10</v>
      </c>
    </row>
    <row r="19" spans="2:3" ht="9.75" customHeight="1" x14ac:dyDescent="0.3"/>
    <row r="20" spans="2:3" ht="19.5" customHeight="1" x14ac:dyDescent="0.3">
      <c r="B20" s="11" t="s">
        <v>11</v>
      </c>
    </row>
    <row r="21" spans="2:3" ht="51.75" customHeight="1" x14ac:dyDescent="0.3">
      <c r="B21" s="12"/>
      <c r="C21" s="13" t="s">
        <v>12</v>
      </c>
    </row>
    <row r="22" spans="2:3" ht="9.75" customHeight="1" x14ac:dyDescent="0.3"/>
    <row r="23" spans="2:3" ht="19.5" customHeight="1" x14ac:dyDescent="0.3">
      <c r="B23" s="11" t="s">
        <v>13</v>
      </c>
    </row>
    <row r="24" spans="2:3" ht="51.75" customHeight="1" x14ac:dyDescent="0.3">
      <c r="B24" s="12"/>
      <c r="C24" s="13" t="s">
        <v>14</v>
      </c>
    </row>
    <row r="25" spans="2:3" ht="9.75" customHeight="1" x14ac:dyDescent="0.3"/>
    <row r="26" spans="2:3" ht="19.5" customHeight="1" x14ac:dyDescent="0.3">
      <c r="B26" s="11" t="s">
        <v>15</v>
      </c>
    </row>
    <row r="27" spans="2:3" ht="51.75" customHeight="1" x14ac:dyDescent="0.3">
      <c r="B27" s="12"/>
      <c r="C27" s="13" t="s">
        <v>16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04000"/>
  </sheetPr>
  <dimension ref="B2:C19"/>
  <sheetViews>
    <sheetView showGridLines="0" workbookViewId="0"/>
  </sheetViews>
  <sheetFormatPr defaultColWidth="8.6640625" defaultRowHeight="14.4" x14ac:dyDescent="0.3"/>
  <cols>
    <col min="1" max="1" width="3" customWidth="1"/>
    <col min="2" max="2" width="28" customWidth="1"/>
    <col min="3" max="3" width="24" customWidth="1"/>
    <col min="4" max="4" width="3" customWidth="1"/>
  </cols>
  <sheetData>
    <row r="2" spans="2:3" ht="36" customHeight="1" x14ac:dyDescent="0.3">
      <c r="B2" s="9" t="s">
        <v>17</v>
      </c>
      <c r="C2" s="9"/>
    </row>
    <row r="3" spans="2:3" ht="7.5" customHeight="1" x14ac:dyDescent="0.3"/>
    <row r="4" spans="2:3" ht="19.5" customHeight="1" x14ac:dyDescent="0.3">
      <c r="B4" s="14" t="s">
        <v>18</v>
      </c>
      <c r="C4" s="15" t="s">
        <v>19</v>
      </c>
    </row>
    <row r="5" spans="2:3" ht="19.5" customHeight="1" x14ac:dyDescent="0.3">
      <c r="B5" s="14" t="s">
        <v>20</v>
      </c>
      <c r="C5" s="15">
        <v>2025</v>
      </c>
    </row>
    <row r="6" spans="2:3" ht="19.5" customHeight="1" x14ac:dyDescent="0.3">
      <c r="B6" s="14" t="s">
        <v>21</v>
      </c>
      <c r="C6" s="15">
        <v>52</v>
      </c>
    </row>
    <row r="7" spans="2:3" ht="19.5" customHeight="1" x14ac:dyDescent="0.3">
      <c r="B7" s="14" t="s">
        <v>22</v>
      </c>
      <c r="C7" s="15">
        <v>8</v>
      </c>
    </row>
    <row r="8" spans="2:3" ht="19.5" customHeight="1" x14ac:dyDescent="0.3">
      <c r="B8" s="14" t="s">
        <v>23</v>
      </c>
      <c r="C8" s="15">
        <v>22</v>
      </c>
    </row>
    <row r="9" spans="2:3" ht="9.75" customHeight="1" x14ac:dyDescent="0.3"/>
    <row r="10" spans="2:3" ht="19.5" customHeight="1" x14ac:dyDescent="0.3">
      <c r="B10" s="14" t="s">
        <v>24</v>
      </c>
    </row>
    <row r="11" spans="2:3" ht="18" customHeight="1" x14ac:dyDescent="0.3">
      <c r="B11" s="16" t="s">
        <v>25</v>
      </c>
    </row>
    <row r="12" spans="2:3" ht="18" customHeight="1" x14ac:dyDescent="0.3">
      <c r="B12" s="16" t="s">
        <v>26</v>
      </c>
    </row>
    <row r="13" spans="2:3" ht="18" customHeight="1" x14ac:dyDescent="0.3">
      <c r="B13" s="16" t="s">
        <v>27</v>
      </c>
    </row>
    <row r="14" spans="2:3" ht="18" customHeight="1" x14ac:dyDescent="0.3">
      <c r="B14" s="16" t="s">
        <v>28</v>
      </c>
    </row>
    <row r="15" spans="2:3" ht="18" customHeight="1" x14ac:dyDescent="0.3">
      <c r="B15" s="16" t="s">
        <v>29</v>
      </c>
    </row>
    <row r="16" spans="2:3" ht="18" customHeight="1" x14ac:dyDescent="0.3">
      <c r="B16" s="16" t="s">
        <v>30</v>
      </c>
    </row>
    <row r="19" spans="2:2" x14ac:dyDescent="0.3">
      <c r="B19" s="17" t="s">
        <v>31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A020"/>
  </sheetPr>
  <dimension ref="A1:BJ57"/>
  <sheetViews>
    <sheetView showGridLines="0" workbookViewId="0"/>
  </sheetViews>
  <sheetFormatPr defaultColWidth="8.6640625" defaultRowHeight="14.4" x14ac:dyDescent="0.3"/>
  <cols>
    <col min="1" max="1" width="2" customWidth="1"/>
    <col min="2" max="2" width="5" customWidth="1"/>
    <col min="3" max="9" width="12" customWidth="1"/>
    <col min="10" max="10" width="10" customWidth="1"/>
    <col min="11" max="62" width="2.77734375" customWidth="1"/>
  </cols>
  <sheetData>
    <row r="1" spans="1:62" ht="7.5" customHeight="1" x14ac:dyDescent="0.3"/>
    <row r="2" spans="1:62" ht="36" customHeight="1" x14ac:dyDescent="0.3">
      <c r="A2" s="18"/>
      <c r="B2" s="10" t="s">
        <v>32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7.5" customHeight="1" x14ac:dyDescent="0.3">
      <c r="K3" s="8" t="s">
        <v>33</v>
      </c>
      <c r="L3" s="8"/>
      <c r="M3" s="8"/>
      <c r="N3" s="8"/>
      <c r="O3" s="7" t="s">
        <v>34</v>
      </c>
      <c r="P3" s="7"/>
      <c r="Q3" s="7"/>
      <c r="R3" s="7"/>
      <c r="S3" s="8" t="s">
        <v>35</v>
      </c>
      <c r="T3" s="8"/>
      <c r="U3" s="8"/>
      <c r="V3" s="8"/>
      <c r="W3" s="8"/>
      <c r="X3" s="7" t="s">
        <v>36</v>
      </c>
      <c r="Y3" s="7"/>
      <c r="Z3" s="7"/>
      <c r="AA3" s="7"/>
      <c r="AB3" s="8" t="s">
        <v>37</v>
      </c>
      <c r="AC3" s="8"/>
      <c r="AD3" s="8"/>
      <c r="AE3" s="8"/>
      <c r="AF3" s="7" t="s">
        <v>38</v>
      </c>
      <c r="AG3" s="7"/>
      <c r="AH3" s="7"/>
      <c r="AI3" s="7"/>
      <c r="AJ3" s="8" t="s">
        <v>39</v>
      </c>
      <c r="AK3" s="8"/>
      <c r="AL3" s="8"/>
      <c r="AM3" s="8"/>
      <c r="AN3" s="8"/>
      <c r="AO3" s="7" t="s">
        <v>40</v>
      </c>
      <c r="AP3" s="7"/>
      <c r="AQ3" s="7"/>
      <c r="AR3" s="7"/>
      <c r="AS3" s="8" t="s">
        <v>41</v>
      </c>
      <c r="AT3" s="8"/>
      <c r="AU3" s="8"/>
      <c r="AV3" s="8"/>
      <c r="AW3" s="7" t="s">
        <v>42</v>
      </c>
      <c r="AX3" s="7"/>
      <c r="AY3" s="7"/>
      <c r="AZ3" s="7"/>
      <c r="BA3" s="7"/>
      <c r="BB3" s="8" t="s">
        <v>43</v>
      </c>
      <c r="BC3" s="8"/>
      <c r="BD3" s="8"/>
      <c r="BE3" s="8"/>
      <c r="BF3" s="7" t="s">
        <v>44</v>
      </c>
      <c r="BG3" s="7"/>
      <c r="BH3" s="7"/>
      <c r="BI3" s="7"/>
      <c r="BJ3" s="7"/>
    </row>
    <row r="4" spans="1:62" ht="21.75" customHeight="1" x14ac:dyDescent="0.3">
      <c r="B4" s="19" t="s">
        <v>45</v>
      </c>
      <c r="C4" s="19" t="s">
        <v>46</v>
      </c>
      <c r="D4" s="19" t="s">
        <v>47</v>
      </c>
      <c r="E4" s="19" t="s">
        <v>48</v>
      </c>
      <c r="F4" s="19" t="s">
        <v>49</v>
      </c>
      <c r="G4" s="19" t="s">
        <v>50</v>
      </c>
      <c r="H4" s="19" t="s">
        <v>51</v>
      </c>
      <c r="I4" s="19" t="s">
        <v>52</v>
      </c>
      <c r="J4" s="19" t="s">
        <v>53</v>
      </c>
      <c r="K4" s="20">
        <v>1</v>
      </c>
      <c r="L4" s="20">
        <v>2</v>
      </c>
      <c r="M4" s="20">
        <v>3</v>
      </c>
      <c r="N4" s="20">
        <v>4</v>
      </c>
      <c r="O4" s="20">
        <v>5</v>
      </c>
      <c r="P4" s="20">
        <v>6</v>
      </c>
      <c r="Q4" s="20">
        <v>7</v>
      </c>
      <c r="R4" s="20">
        <v>8</v>
      </c>
      <c r="S4" s="20">
        <v>9</v>
      </c>
      <c r="T4" s="20">
        <v>10</v>
      </c>
      <c r="U4" s="20">
        <v>11</v>
      </c>
      <c r="V4" s="20">
        <v>12</v>
      </c>
      <c r="W4" s="20">
        <v>13</v>
      </c>
      <c r="X4" s="20">
        <v>14</v>
      </c>
      <c r="Y4" s="20">
        <v>15</v>
      </c>
      <c r="Z4" s="20">
        <v>16</v>
      </c>
      <c r="AA4" s="20">
        <v>17</v>
      </c>
      <c r="AB4" s="20">
        <v>18</v>
      </c>
      <c r="AC4" s="20">
        <v>19</v>
      </c>
      <c r="AD4" s="20">
        <v>20</v>
      </c>
      <c r="AE4" s="20">
        <v>21</v>
      </c>
      <c r="AF4" s="20">
        <v>22</v>
      </c>
      <c r="AG4" s="20">
        <v>23</v>
      </c>
      <c r="AH4" s="20">
        <v>24</v>
      </c>
      <c r="AI4" s="20">
        <v>25</v>
      </c>
      <c r="AJ4" s="20">
        <v>26</v>
      </c>
      <c r="AK4" s="20">
        <v>27</v>
      </c>
      <c r="AL4" s="20">
        <v>28</v>
      </c>
      <c r="AM4" s="20">
        <v>29</v>
      </c>
      <c r="AN4" s="20">
        <v>30</v>
      </c>
      <c r="AO4" s="20">
        <v>31</v>
      </c>
      <c r="AP4" s="20">
        <v>32</v>
      </c>
      <c r="AQ4" s="20">
        <v>33</v>
      </c>
      <c r="AR4" s="20">
        <v>34</v>
      </c>
      <c r="AS4" s="20">
        <v>35</v>
      </c>
      <c r="AT4" s="20">
        <v>36</v>
      </c>
      <c r="AU4" s="20">
        <v>37</v>
      </c>
      <c r="AV4" s="20">
        <v>38</v>
      </c>
      <c r="AW4" s="20">
        <v>39</v>
      </c>
      <c r="AX4" s="20">
        <v>40</v>
      </c>
      <c r="AY4" s="20">
        <v>41</v>
      </c>
      <c r="AZ4" s="20">
        <v>42</v>
      </c>
      <c r="BA4" s="20">
        <v>43</v>
      </c>
      <c r="BB4" s="20">
        <v>44</v>
      </c>
      <c r="BC4" s="20">
        <v>45</v>
      </c>
      <c r="BD4" s="20">
        <v>46</v>
      </c>
      <c r="BE4" s="20">
        <v>47</v>
      </c>
      <c r="BF4" s="20">
        <v>48</v>
      </c>
      <c r="BG4" s="20">
        <v>49</v>
      </c>
      <c r="BH4" s="20">
        <v>50</v>
      </c>
      <c r="BI4" s="20">
        <v>51</v>
      </c>
      <c r="BJ4" s="20">
        <v>52</v>
      </c>
    </row>
    <row r="5" spans="1:62" ht="18" customHeight="1" x14ac:dyDescent="0.3">
      <c r="B5" s="15" t="s">
        <v>54</v>
      </c>
      <c r="C5" s="16" t="s">
        <v>55</v>
      </c>
      <c r="D5" s="15" t="s">
        <v>56</v>
      </c>
      <c r="E5" s="15" t="s">
        <v>57</v>
      </c>
      <c r="F5" s="16" t="s">
        <v>25</v>
      </c>
      <c r="G5" s="15">
        <v>1</v>
      </c>
      <c r="H5" s="15">
        <v>1</v>
      </c>
      <c r="I5" s="15" t="s">
        <v>58</v>
      </c>
      <c r="J5" s="15" t="s">
        <v>59</v>
      </c>
      <c r="K5" s="21" t="s">
        <v>60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</row>
    <row r="6" spans="1:62" ht="18" customHeight="1" x14ac:dyDescent="0.3">
      <c r="B6" s="15" t="s">
        <v>61</v>
      </c>
      <c r="C6" s="16" t="s">
        <v>62</v>
      </c>
      <c r="D6" s="15" t="s">
        <v>63</v>
      </c>
      <c r="E6" s="15" t="s">
        <v>57</v>
      </c>
      <c r="F6" s="16" t="s">
        <v>26</v>
      </c>
      <c r="G6" s="15">
        <v>2</v>
      </c>
      <c r="H6" s="15">
        <v>1</v>
      </c>
      <c r="I6" s="15" t="s">
        <v>58</v>
      </c>
      <c r="J6" s="15" t="s">
        <v>64</v>
      </c>
      <c r="K6" s="23"/>
      <c r="L6" s="21" t="s">
        <v>60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</row>
    <row r="7" spans="1:62" ht="18" customHeight="1" x14ac:dyDescent="0.3">
      <c r="B7" s="15" t="s">
        <v>65</v>
      </c>
      <c r="C7" s="16" t="s">
        <v>66</v>
      </c>
      <c r="D7" s="15" t="s">
        <v>67</v>
      </c>
      <c r="E7" s="15" t="s">
        <v>68</v>
      </c>
      <c r="F7" s="16" t="s">
        <v>27</v>
      </c>
      <c r="G7" s="15">
        <v>3</v>
      </c>
      <c r="H7" s="15">
        <v>1</v>
      </c>
      <c r="I7" s="15" t="s">
        <v>58</v>
      </c>
      <c r="J7" s="15" t="s">
        <v>59</v>
      </c>
      <c r="K7" s="22"/>
      <c r="L7" s="22"/>
      <c r="M7" s="24" t="s">
        <v>60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</row>
    <row r="8" spans="1:62" ht="18" customHeight="1" x14ac:dyDescent="0.3">
      <c r="B8" s="15" t="s">
        <v>69</v>
      </c>
      <c r="C8" s="16" t="s">
        <v>70</v>
      </c>
      <c r="D8" s="15" t="s">
        <v>71</v>
      </c>
      <c r="E8" s="15" t="s">
        <v>72</v>
      </c>
      <c r="F8" s="16" t="s">
        <v>28</v>
      </c>
      <c r="G8" s="15">
        <v>4</v>
      </c>
      <c r="H8" s="15">
        <v>1</v>
      </c>
      <c r="I8" s="15" t="s">
        <v>58</v>
      </c>
      <c r="J8" s="15" t="s">
        <v>59</v>
      </c>
      <c r="K8" s="23"/>
      <c r="L8" s="23"/>
      <c r="M8" s="23"/>
      <c r="N8" s="25" t="s">
        <v>60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</row>
    <row r="9" spans="1:62" ht="18" customHeight="1" x14ac:dyDescent="0.3">
      <c r="B9" s="15" t="s">
        <v>73</v>
      </c>
      <c r="C9" s="16" t="s">
        <v>74</v>
      </c>
      <c r="D9" s="15" t="s">
        <v>71</v>
      </c>
      <c r="E9" s="15" t="s">
        <v>75</v>
      </c>
      <c r="F9" s="16" t="s">
        <v>25</v>
      </c>
      <c r="G9" s="15">
        <v>5</v>
      </c>
      <c r="H9" s="15">
        <v>4</v>
      </c>
      <c r="I9" s="15" t="s">
        <v>58</v>
      </c>
      <c r="J9" s="15" t="s">
        <v>76</v>
      </c>
      <c r="K9" s="22"/>
      <c r="L9" s="22"/>
      <c r="M9" s="22"/>
      <c r="N9" s="22"/>
      <c r="O9" s="26" t="s">
        <v>60</v>
      </c>
      <c r="P9" s="26" t="s">
        <v>60</v>
      </c>
      <c r="Q9" s="26" t="s">
        <v>60</v>
      </c>
      <c r="R9" s="26" t="s">
        <v>60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</row>
    <row r="10" spans="1:62" ht="18" customHeight="1" x14ac:dyDescent="0.3">
      <c r="B10" s="15" t="s">
        <v>77</v>
      </c>
      <c r="C10" s="16" t="s">
        <v>78</v>
      </c>
      <c r="D10" s="15" t="s">
        <v>56</v>
      </c>
      <c r="E10" s="15" t="s">
        <v>79</v>
      </c>
      <c r="F10" s="16" t="s">
        <v>29</v>
      </c>
      <c r="G10" s="15">
        <v>1</v>
      </c>
      <c r="H10" s="15">
        <v>1</v>
      </c>
      <c r="I10" s="15" t="s">
        <v>58</v>
      </c>
      <c r="J10" s="15" t="s">
        <v>80</v>
      </c>
      <c r="K10" s="27" t="s">
        <v>60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</row>
    <row r="11" spans="1:62" ht="18" customHeight="1" x14ac:dyDescent="0.3">
      <c r="B11" s="15" t="s">
        <v>81</v>
      </c>
      <c r="C11" s="16" t="s">
        <v>82</v>
      </c>
      <c r="D11" s="15" t="s">
        <v>83</v>
      </c>
      <c r="E11" s="15" t="s">
        <v>75</v>
      </c>
      <c r="F11" s="16" t="s">
        <v>30</v>
      </c>
      <c r="G11" s="15">
        <v>12</v>
      </c>
      <c r="H11" s="15">
        <v>3</v>
      </c>
      <c r="I11" s="15" t="s">
        <v>58</v>
      </c>
      <c r="J11" s="15" t="s">
        <v>76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6" t="s">
        <v>60</v>
      </c>
      <c r="W11" s="26" t="s">
        <v>60</v>
      </c>
      <c r="X11" s="26" t="s">
        <v>60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</row>
    <row r="12" spans="1:62" ht="18" customHeight="1" x14ac:dyDescent="0.3">
      <c r="B12" s="15" t="s">
        <v>84</v>
      </c>
      <c r="C12" s="16" t="s">
        <v>85</v>
      </c>
      <c r="D12" s="15" t="s">
        <v>86</v>
      </c>
      <c r="E12" s="15" t="s">
        <v>57</v>
      </c>
      <c r="F12" s="16" t="s">
        <v>27</v>
      </c>
      <c r="G12" s="15">
        <v>8</v>
      </c>
      <c r="H12" s="15">
        <v>1</v>
      </c>
      <c r="I12" s="15" t="s">
        <v>58</v>
      </c>
      <c r="J12" s="15" t="s">
        <v>64</v>
      </c>
      <c r="K12" s="23"/>
      <c r="L12" s="23"/>
      <c r="M12" s="23"/>
      <c r="N12" s="23"/>
      <c r="O12" s="23"/>
      <c r="P12" s="23"/>
      <c r="Q12" s="23"/>
      <c r="R12" s="21" t="s">
        <v>60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</row>
    <row r="13" spans="1:62" ht="18" customHeight="1" x14ac:dyDescent="0.3">
      <c r="B13" s="15" t="s">
        <v>87</v>
      </c>
      <c r="C13" s="16" t="s">
        <v>88</v>
      </c>
      <c r="D13" s="15" t="s">
        <v>89</v>
      </c>
      <c r="E13" s="15" t="s">
        <v>75</v>
      </c>
      <c r="F13" s="16" t="s">
        <v>26</v>
      </c>
      <c r="G13" s="15">
        <v>16</v>
      </c>
      <c r="H13" s="15">
        <v>2</v>
      </c>
      <c r="I13" s="15" t="s">
        <v>58</v>
      </c>
      <c r="J13" s="15" t="s">
        <v>59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6" t="s">
        <v>60</v>
      </c>
      <c r="AA13" s="26" t="s">
        <v>60</v>
      </c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</row>
    <row r="14" spans="1:62" ht="18" customHeight="1" x14ac:dyDescent="0.3">
      <c r="B14" s="15" t="s">
        <v>90</v>
      </c>
      <c r="C14" s="16" t="s">
        <v>91</v>
      </c>
      <c r="D14" s="15" t="s">
        <v>92</v>
      </c>
      <c r="E14" s="15" t="s">
        <v>68</v>
      </c>
      <c r="F14" s="16" t="s">
        <v>28</v>
      </c>
      <c r="G14" s="15">
        <v>20</v>
      </c>
      <c r="H14" s="15">
        <v>1</v>
      </c>
      <c r="I14" s="15" t="s">
        <v>58</v>
      </c>
      <c r="J14" s="15" t="s">
        <v>64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4" t="s">
        <v>60</v>
      </c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</row>
    <row r="15" spans="1:62" ht="18" customHeight="1" x14ac:dyDescent="0.3">
      <c r="B15" s="15" t="s">
        <v>93</v>
      </c>
      <c r="C15" s="16" t="s">
        <v>94</v>
      </c>
      <c r="D15" s="15" t="s">
        <v>95</v>
      </c>
      <c r="E15" s="15" t="s">
        <v>57</v>
      </c>
      <c r="F15" s="16" t="s">
        <v>29</v>
      </c>
      <c r="G15" s="15">
        <v>24</v>
      </c>
      <c r="H15" s="15">
        <v>1</v>
      </c>
      <c r="I15" s="15" t="s">
        <v>58</v>
      </c>
      <c r="J15" s="15" t="s">
        <v>80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1" t="s">
        <v>60</v>
      </c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</row>
    <row r="16" spans="1:62" ht="18" customHeight="1" x14ac:dyDescent="0.3">
      <c r="B16" s="15" t="s">
        <v>96</v>
      </c>
      <c r="C16" s="16" t="s">
        <v>97</v>
      </c>
      <c r="D16" s="15" t="s">
        <v>98</v>
      </c>
      <c r="E16" s="15" t="s">
        <v>72</v>
      </c>
      <c r="F16" s="16" t="s">
        <v>25</v>
      </c>
      <c r="G16" s="15">
        <v>26</v>
      </c>
      <c r="H16" s="15">
        <v>1</v>
      </c>
      <c r="I16" s="15" t="s">
        <v>58</v>
      </c>
      <c r="J16" s="15" t="s">
        <v>64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5" t="s">
        <v>60</v>
      </c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</row>
    <row r="17" spans="2:62" ht="18" customHeight="1" x14ac:dyDescent="0.3">
      <c r="B17" s="15" t="s">
        <v>99</v>
      </c>
      <c r="C17" s="16" t="s">
        <v>100</v>
      </c>
      <c r="D17" s="15" t="s">
        <v>71</v>
      </c>
      <c r="E17" s="15" t="s">
        <v>68</v>
      </c>
      <c r="F17" s="16" t="s">
        <v>30</v>
      </c>
      <c r="G17" s="15">
        <v>30</v>
      </c>
      <c r="H17" s="15">
        <v>1</v>
      </c>
      <c r="I17" s="15" t="s">
        <v>58</v>
      </c>
      <c r="J17" s="15" t="s">
        <v>59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4" t="s">
        <v>60</v>
      </c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</row>
    <row r="18" spans="2:62" ht="18" customHeight="1" x14ac:dyDescent="0.3">
      <c r="B18" s="15" t="s">
        <v>101</v>
      </c>
      <c r="C18" s="16" t="s">
        <v>102</v>
      </c>
      <c r="D18" s="15" t="s">
        <v>89</v>
      </c>
      <c r="E18" s="15" t="s">
        <v>68</v>
      </c>
      <c r="F18" s="16" t="s">
        <v>26</v>
      </c>
      <c r="G18" s="15">
        <v>40</v>
      </c>
      <c r="H18" s="15">
        <v>1</v>
      </c>
      <c r="I18" s="15" t="s">
        <v>58</v>
      </c>
      <c r="J18" s="15" t="s">
        <v>76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4" t="s">
        <v>60</v>
      </c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</row>
    <row r="19" spans="2:62" ht="18" customHeight="1" x14ac:dyDescent="0.3">
      <c r="B19" s="15" t="s">
        <v>103</v>
      </c>
      <c r="C19" s="16" t="s">
        <v>104</v>
      </c>
      <c r="D19" s="15" t="s">
        <v>105</v>
      </c>
      <c r="E19" s="15" t="s">
        <v>68</v>
      </c>
      <c r="F19" s="16" t="s">
        <v>25</v>
      </c>
      <c r="G19" s="15">
        <v>50</v>
      </c>
      <c r="H19" s="15">
        <v>2</v>
      </c>
      <c r="I19" s="15" t="s">
        <v>58</v>
      </c>
      <c r="J19" s="15" t="s">
        <v>76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4" t="s">
        <v>60</v>
      </c>
      <c r="BI19" s="24" t="s">
        <v>60</v>
      </c>
      <c r="BJ19" s="22"/>
    </row>
    <row r="20" spans="2:62" ht="18" customHeight="1" x14ac:dyDescent="0.3">
      <c r="B20" s="28"/>
      <c r="C20" s="28"/>
      <c r="D20" s="28"/>
      <c r="E20" s="28"/>
      <c r="F20" s="28"/>
      <c r="G20" s="28"/>
      <c r="H20" s="28"/>
      <c r="I20" s="28"/>
      <c r="J20" s="28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</row>
    <row r="21" spans="2:62" ht="18" customHeight="1" x14ac:dyDescent="0.3">
      <c r="B21" s="28"/>
      <c r="C21" s="28"/>
      <c r="D21" s="28"/>
      <c r="E21" s="28"/>
      <c r="F21" s="28"/>
      <c r="G21" s="28"/>
      <c r="H21" s="28"/>
      <c r="I21" s="28"/>
      <c r="J21" s="28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</row>
    <row r="22" spans="2:62" ht="18" customHeight="1" x14ac:dyDescent="0.3">
      <c r="B22" s="28"/>
      <c r="C22" s="28"/>
      <c r="D22" s="28"/>
      <c r="E22" s="28"/>
      <c r="F22" s="28"/>
      <c r="G22" s="28"/>
      <c r="H22" s="28"/>
      <c r="I22" s="28"/>
      <c r="J22" s="28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</row>
    <row r="23" spans="2:62" ht="18" customHeight="1" x14ac:dyDescent="0.3">
      <c r="B23" s="28"/>
      <c r="C23" s="28"/>
      <c r="D23" s="28"/>
      <c r="E23" s="28"/>
      <c r="F23" s="28"/>
      <c r="G23" s="28"/>
      <c r="H23" s="28"/>
      <c r="I23" s="28"/>
      <c r="J23" s="28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</row>
    <row r="24" spans="2:62" ht="18" customHeight="1" x14ac:dyDescent="0.3">
      <c r="B24" s="28"/>
      <c r="C24" s="28"/>
      <c r="D24" s="28"/>
      <c r="E24" s="28"/>
      <c r="F24" s="28"/>
      <c r="G24" s="28"/>
      <c r="H24" s="28"/>
      <c r="I24" s="28"/>
      <c r="J24" s="28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</row>
    <row r="25" spans="2:62" ht="18" customHeight="1" x14ac:dyDescent="0.3">
      <c r="B25" s="28"/>
      <c r="C25" s="28"/>
      <c r="D25" s="28"/>
      <c r="E25" s="28"/>
      <c r="F25" s="28"/>
      <c r="G25" s="28"/>
      <c r="H25" s="28"/>
      <c r="I25" s="28"/>
      <c r="J25" s="28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</row>
    <row r="26" spans="2:62" ht="18" customHeight="1" x14ac:dyDescent="0.3">
      <c r="B26" s="28"/>
      <c r="C26" s="28"/>
      <c r="D26" s="28"/>
      <c r="E26" s="28"/>
      <c r="F26" s="28"/>
      <c r="G26" s="28"/>
      <c r="H26" s="28"/>
      <c r="I26" s="28"/>
      <c r="J26" s="28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</row>
    <row r="27" spans="2:62" ht="18" customHeight="1" x14ac:dyDescent="0.3">
      <c r="B27" s="28"/>
      <c r="C27" s="28"/>
      <c r="D27" s="28"/>
      <c r="E27" s="28"/>
      <c r="F27" s="28"/>
      <c r="G27" s="28"/>
      <c r="H27" s="28"/>
      <c r="I27" s="28"/>
      <c r="J27" s="28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</row>
    <row r="28" spans="2:62" ht="18" customHeight="1" x14ac:dyDescent="0.3">
      <c r="B28" s="28"/>
      <c r="C28" s="28"/>
      <c r="D28" s="28"/>
      <c r="E28" s="28"/>
      <c r="F28" s="28"/>
      <c r="G28" s="28"/>
      <c r="H28" s="28"/>
      <c r="I28" s="28"/>
      <c r="J28" s="28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</row>
    <row r="29" spans="2:62" ht="18" customHeight="1" x14ac:dyDescent="0.3">
      <c r="B29" s="28"/>
      <c r="C29" s="28"/>
      <c r="D29" s="28"/>
      <c r="E29" s="28"/>
      <c r="F29" s="28"/>
      <c r="G29" s="28"/>
      <c r="H29" s="28"/>
      <c r="I29" s="28"/>
      <c r="J29" s="28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</row>
    <row r="30" spans="2:62" ht="18" customHeight="1" x14ac:dyDescent="0.3">
      <c r="B30" s="28"/>
      <c r="C30" s="28"/>
      <c r="D30" s="28"/>
      <c r="E30" s="28"/>
      <c r="F30" s="28"/>
      <c r="G30" s="28"/>
      <c r="H30" s="28"/>
      <c r="I30" s="28"/>
      <c r="J30" s="28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</row>
    <row r="31" spans="2:62" ht="18" customHeight="1" x14ac:dyDescent="0.3">
      <c r="B31" s="28"/>
      <c r="C31" s="28"/>
      <c r="D31" s="28"/>
      <c r="E31" s="28"/>
      <c r="F31" s="28"/>
      <c r="G31" s="28"/>
      <c r="H31" s="28"/>
      <c r="I31" s="28"/>
      <c r="J31" s="28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</row>
    <row r="32" spans="2:62" ht="18" customHeight="1" x14ac:dyDescent="0.3">
      <c r="B32" s="28"/>
      <c r="C32" s="28"/>
      <c r="D32" s="28"/>
      <c r="E32" s="28"/>
      <c r="F32" s="28"/>
      <c r="G32" s="28"/>
      <c r="H32" s="28"/>
      <c r="I32" s="28"/>
      <c r="J32" s="28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</row>
    <row r="33" spans="2:62" ht="18" customHeight="1" x14ac:dyDescent="0.3">
      <c r="B33" s="28"/>
      <c r="C33" s="28"/>
      <c r="D33" s="28"/>
      <c r="E33" s="28"/>
      <c r="F33" s="28"/>
      <c r="G33" s="28"/>
      <c r="H33" s="28"/>
      <c r="I33" s="28"/>
      <c r="J33" s="28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</row>
    <row r="34" spans="2:62" ht="18" customHeight="1" x14ac:dyDescent="0.3">
      <c r="B34" s="28"/>
      <c r="C34" s="28"/>
      <c r="D34" s="28"/>
      <c r="E34" s="28"/>
      <c r="F34" s="28"/>
      <c r="G34" s="28"/>
      <c r="H34" s="28"/>
      <c r="I34" s="28"/>
      <c r="J34" s="28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</row>
    <row r="35" spans="2:62" ht="18" customHeight="1" x14ac:dyDescent="0.3">
      <c r="B35" s="28"/>
      <c r="C35" s="28"/>
      <c r="D35" s="28"/>
      <c r="E35" s="28"/>
      <c r="F35" s="28"/>
      <c r="G35" s="28"/>
      <c r="H35" s="28"/>
      <c r="I35" s="28"/>
      <c r="J35" s="28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</row>
    <row r="36" spans="2:62" ht="18" customHeight="1" x14ac:dyDescent="0.3">
      <c r="B36" s="28"/>
      <c r="C36" s="28"/>
      <c r="D36" s="28"/>
      <c r="E36" s="28"/>
      <c r="F36" s="28"/>
      <c r="G36" s="28"/>
      <c r="H36" s="28"/>
      <c r="I36" s="28"/>
      <c r="J36" s="28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</row>
    <row r="37" spans="2:62" ht="18" customHeight="1" x14ac:dyDescent="0.3">
      <c r="B37" s="28"/>
      <c r="C37" s="28"/>
      <c r="D37" s="28"/>
      <c r="E37" s="28"/>
      <c r="F37" s="28"/>
      <c r="G37" s="28"/>
      <c r="H37" s="28"/>
      <c r="I37" s="28"/>
      <c r="J37" s="28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</row>
    <row r="38" spans="2:62" ht="18" customHeight="1" x14ac:dyDescent="0.3">
      <c r="B38" s="28"/>
      <c r="C38" s="28"/>
      <c r="D38" s="28"/>
      <c r="E38" s="28"/>
      <c r="F38" s="28"/>
      <c r="G38" s="28"/>
      <c r="H38" s="28"/>
      <c r="I38" s="28"/>
      <c r="J38" s="28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</row>
    <row r="39" spans="2:62" ht="18" customHeight="1" x14ac:dyDescent="0.3">
      <c r="B39" s="28"/>
      <c r="C39" s="28"/>
      <c r="D39" s="28"/>
      <c r="E39" s="28"/>
      <c r="F39" s="28"/>
      <c r="G39" s="28"/>
      <c r="H39" s="28"/>
      <c r="I39" s="28"/>
      <c r="J39" s="28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</row>
    <row r="40" spans="2:62" ht="18" customHeight="1" x14ac:dyDescent="0.3">
      <c r="B40" s="28"/>
      <c r="C40" s="28"/>
      <c r="D40" s="28"/>
      <c r="E40" s="28"/>
      <c r="F40" s="28"/>
      <c r="G40" s="28"/>
      <c r="H40" s="28"/>
      <c r="I40" s="28"/>
      <c r="J40" s="28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</row>
    <row r="41" spans="2:62" ht="18" customHeight="1" x14ac:dyDescent="0.3">
      <c r="B41" s="28"/>
      <c r="C41" s="28"/>
      <c r="D41" s="28"/>
      <c r="E41" s="28"/>
      <c r="F41" s="28"/>
      <c r="G41" s="28"/>
      <c r="H41" s="28"/>
      <c r="I41" s="28"/>
      <c r="J41" s="28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</row>
    <row r="42" spans="2:62" ht="18" customHeight="1" x14ac:dyDescent="0.3">
      <c r="B42" s="28"/>
      <c r="C42" s="28"/>
      <c r="D42" s="28"/>
      <c r="E42" s="28"/>
      <c r="F42" s="28"/>
      <c r="G42" s="28"/>
      <c r="H42" s="28"/>
      <c r="I42" s="28"/>
      <c r="J42" s="2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</row>
    <row r="43" spans="2:62" ht="18" customHeight="1" x14ac:dyDescent="0.3">
      <c r="B43" s="28"/>
      <c r="C43" s="28"/>
      <c r="D43" s="28"/>
      <c r="E43" s="28"/>
      <c r="F43" s="28"/>
      <c r="G43" s="28"/>
      <c r="H43" s="28"/>
      <c r="I43" s="28"/>
      <c r="J43" s="28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</row>
    <row r="44" spans="2:62" ht="18" customHeight="1" x14ac:dyDescent="0.3">
      <c r="B44" s="28"/>
      <c r="C44" s="28"/>
      <c r="D44" s="28"/>
      <c r="E44" s="28"/>
      <c r="F44" s="28"/>
      <c r="G44" s="28"/>
      <c r="H44" s="28"/>
      <c r="I44" s="28"/>
      <c r="J44" s="28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</row>
    <row r="45" spans="2:62" ht="18" customHeight="1" x14ac:dyDescent="0.3">
      <c r="B45" s="28"/>
      <c r="C45" s="28"/>
      <c r="D45" s="28"/>
      <c r="E45" s="28"/>
      <c r="F45" s="28"/>
      <c r="G45" s="28"/>
      <c r="H45" s="28"/>
      <c r="I45" s="28"/>
      <c r="J45" s="28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</row>
    <row r="46" spans="2:62" ht="18" customHeight="1" x14ac:dyDescent="0.3">
      <c r="B46" s="28"/>
      <c r="C46" s="28"/>
      <c r="D46" s="28"/>
      <c r="E46" s="28"/>
      <c r="F46" s="28"/>
      <c r="G46" s="28"/>
      <c r="H46" s="28"/>
      <c r="I46" s="28"/>
      <c r="J46" s="28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</row>
    <row r="47" spans="2:62" ht="18" customHeight="1" x14ac:dyDescent="0.3">
      <c r="B47" s="28"/>
      <c r="C47" s="28"/>
      <c r="D47" s="28"/>
      <c r="E47" s="28"/>
      <c r="F47" s="28"/>
      <c r="G47" s="28"/>
      <c r="H47" s="28"/>
      <c r="I47" s="28"/>
      <c r="J47" s="28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</row>
    <row r="48" spans="2:62" ht="18" customHeight="1" x14ac:dyDescent="0.3">
      <c r="B48" s="28"/>
      <c r="C48" s="28"/>
      <c r="D48" s="28"/>
      <c r="E48" s="28"/>
      <c r="F48" s="28"/>
      <c r="G48" s="28"/>
      <c r="H48" s="28"/>
      <c r="I48" s="28"/>
      <c r="J48" s="28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</row>
    <row r="49" spans="2:62" ht="18" customHeight="1" x14ac:dyDescent="0.3">
      <c r="B49" s="28"/>
      <c r="C49" s="28"/>
      <c r="D49" s="28"/>
      <c r="E49" s="28"/>
      <c r="F49" s="28"/>
      <c r="G49" s="28"/>
      <c r="H49" s="28"/>
      <c r="I49" s="28"/>
      <c r="J49" s="28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</row>
    <row r="50" spans="2:62" ht="18" customHeight="1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</row>
    <row r="51" spans="2:62" ht="18" customHeight="1" x14ac:dyDescent="0.3">
      <c r="B51" s="28"/>
      <c r="C51" s="28"/>
      <c r="D51" s="28"/>
      <c r="E51" s="28"/>
      <c r="F51" s="28"/>
      <c r="G51" s="28"/>
      <c r="H51" s="28"/>
      <c r="I51" s="28"/>
      <c r="J51" s="28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</row>
    <row r="52" spans="2:62" ht="18" customHeight="1" x14ac:dyDescent="0.3">
      <c r="B52" s="28"/>
      <c r="C52" s="28"/>
      <c r="D52" s="28"/>
      <c r="E52" s="28"/>
      <c r="F52" s="28"/>
      <c r="G52" s="28"/>
      <c r="H52" s="28"/>
      <c r="I52" s="28"/>
      <c r="J52" s="28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</row>
    <row r="53" spans="2:62" ht="18" customHeight="1" x14ac:dyDescent="0.3">
      <c r="B53" s="28"/>
      <c r="C53" s="28"/>
      <c r="D53" s="28"/>
      <c r="E53" s="28"/>
      <c r="F53" s="28"/>
      <c r="G53" s="28"/>
      <c r="H53" s="28"/>
      <c r="I53" s="28"/>
      <c r="J53" s="28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</row>
    <row r="54" spans="2:62" ht="18" customHeight="1" x14ac:dyDescent="0.3">
      <c r="B54" s="28"/>
      <c r="C54" s="28"/>
      <c r="D54" s="28"/>
      <c r="E54" s="28"/>
      <c r="F54" s="28"/>
      <c r="G54" s="28"/>
      <c r="H54" s="28"/>
      <c r="I54" s="28"/>
      <c r="J54" s="28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</row>
    <row r="56" spans="2:62" ht="9.75" customHeight="1" x14ac:dyDescent="0.3"/>
    <row r="57" spans="2:62" ht="18" customHeight="1" x14ac:dyDescent="0.3">
      <c r="B57" s="29" t="s">
        <v>106</v>
      </c>
      <c r="C57" s="30" t="s">
        <v>107</v>
      </c>
      <c r="D57" s="31" t="s">
        <v>108</v>
      </c>
      <c r="E57" s="32" t="s">
        <v>109</v>
      </c>
      <c r="F57" s="33" t="s">
        <v>110</v>
      </c>
      <c r="G57" s="34" t="s">
        <v>111</v>
      </c>
      <c r="H57" s="35" t="s">
        <v>112</v>
      </c>
      <c r="I57" s="36" t="s">
        <v>113</v>
      </c>
    </row>
  </sheetData>
  <mergeCells count="13">
    <mergeCell ref="B2:BJ2"/>
    <mergeCell ref="K3:N3"/>
    <mergeCell ref="O3:R3"/>
    <mergeCell ref="S3:W3"/>
    <mergeCell ref="X3:AA3"/>
    <mergeCell ref="AB3:AE3"/>
    <mergeCell ref="AF3:AI3"/>
    <mergeCell ref="AJ3:AN3"/>
    <mergeCell ref="AO3:AR3"/>
    <mergeCell ref="AS3:AV3"/>
    <mergeCell ref="AW3:BA3"/>
    <mergeCell ref="BB3:BE3"/>
    <mergeCell ref="BF3:BJ3"/>
  </mergeCells>
  <dataValidations count="3">
    <dataValidation type="list" allowBlank="1" sqref="E5:E104" xr:uid="{00000000-0002-0000-0200-000000000000}">
      <formula1>"PM,PdM,CBM,Overhaul,Inspection,Lubrication,Calibration"</formula1>
      <formula2>0</formula2>
    </dataValidation>
    <dataValidation type="list" allowBlank="1" sqref="I5:I104" xr:uid="{00000000-0002-0000-0200-000001000000}">
      <formula1>"Planned,In Progress,Complete,Overdue,Cancelled"</formula1>
      <formula2>0</formula2>
    </dataValidation>
    <dataValidation type="list" allowBlank="1" sqref="J5:J104" xr:uid="{00000000-0002-0000-0200-000002000000}">
      <formula1>"Critical,High,Medium,Low"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18D"/>
  </sheetPr>
  <dimension ref="A1:N105"/>
  <sheetViews>
    <sheetView showGridLines="0" workbookViewId="0"/>
  </sheetViews>
  <sheetFormatPr defaultColWidth="8.6640625" defaultRowHeight="14.4" x14ac:dyDescent="0.3"/>
  <cols>
    <col min="1" max="1" width="1" customWidth="1"/>
    <col min="2" max="2" width="10" customWidth="1"/>
    <col min="3" max="3" width="12" customWidth="1"/>
    <col min="4" max="4" width="24" customWidth="1"/>
    <col min="5" max="5" width="14" customWidth="1"/>
    <col min="6" max="8" width="12" customWidth="1"/>
    <col min="9" max="10" width="13" customWidth="1"/>
    <col min="11" max="12" width="14" customWidth="1"/>
    <col min="13" max="13" width="18" customWidth="1"/>
    <col min="14" max="14" width="1" customWidth="1"/>
  </cols>
  <sheetData>
    <row r="1" spans="1:14" ht="7.5" customHeight="1" x14ac:dyDescent="0.3"/>
    <row r="2" spans="1:14" ht="36" customHeight="1" x14ac:dyDescent="0.3">
      <c r="A2" s="18"/>
      <c r="B2" s="10" t="s">
        <v>114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8"/>
    </row>
    <row r="3" spans="1:14" ht="18" customHeight="1" x14ac:dyDescent="0.3">
      <c r="B3" s="6" t="s">
        <v>115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4" ht="27.75" customHeight="1" x14ac:dyDescent="0.3">
      <c r="B4" s="37" t="s">
        <v>116</v>
      </c>
      <c r="C4" s="37" t="s">
        <v>45</v>
      </c>
      <c r="D4" s="37" t="s">
        <v>46</v>
      </c>
      <c r="E4" s="37" t="s">
        <v>47</v>
      </c>
      <c r="F4" s="37" t="s">
        <v>53</v>
      </c>
      <c r="G4" s="37" t="s">
        <v>52</v>
      </c>
      <c r="H4" s="37" t="s">
        <v>117</v>
      </c>
      <c r="I4" s="37" t="s">
        <v>118</v>
      </c>
      <c r="J4" s="37" t="s">
        <v>119</v>
      </c>
      <c r="K4" s="37" t="s">
        <v>120</v>
      </c>
      <c r="L4" s="37" t="s">
        <v>121</v>
      </c>
      <c r="M4" s="37" t="s">
        <v>122</v>
      </c>
    </row>
    <row r="5" spans="1:14" ht="18" customHeight="1" x14ac:dyDescent="0.3">
      <c r="B5" s="15" t="s">
        <v>123</v>
      </c>
      <c r="C5" s="15" t="s">
        <v>54</v>
      </c>
      <c r="D5" s="16" t="s">
        <v>55</v>
      </c>
      <c r="E5" s="15" t="s">
        <v>56</v>
      </c>
      <c r="F5" s="15" t="s">
        <v>59</v>
      </c>
      <c r="G5" s="38" t="s">
        <v>58</v>
      </c>
      <c r="H5" s="16" t="s">
        <v>25</v>
      </c>
      <c r="I5" s="39"/>
      <c r="J5" s="39"/>
      <c r="K5" s="15">
        <v>8</v>
      </c>
      <c r="L5" s="15">
        <v>0</v>
      </c>
      <c r="M5" s="15">
        <v>3500</v>
      </c>
    </row>
    <row r="6" spans="1:14" ht="18" customHeight="1" x14ac:dyDescent="0.3">
      <c r="B6" s="15" t="s">
        <v>124</v>
      </c>
      <c r="C6" s="15" t="s">
        <v>61</v>
      </c>
      <c r="D6" s="16" t="s">
        <v>125</v>
      </c>
      <c r="E6" s="15" t="s">
        <v>63</v>
      </c>
      <c r="F6" s="15" t="s">
        <v>64</v>
      </c>
      <c r="G6" s="38" t="s">
        <v>58</v>
      </c>
      <c r="H6" s="16" t="s">
        <v>26</v>
      </c>
      <c r="I6" s="39"/>
      <c r="J6" s="39"/>
      <c r="K6" s="15">
        <v>4</v>
      </c>
      <c r="L6" s="15">
        <v>0</v>
      </c>
      <c r="M6" s="15">
        <v>800</v>
      </c>
    </row>
    <row r="7" spans="1:14" ht="18" customHeight="1" x14ac:dyDescent="0.3">
      <c r="B7" s="15" t="s">
        <v>126</v>
      </c>
      <c r="C7" s="15" t="s">
        <v>65</v>
      </c>
      <c r="D7" s="16" t="s">
        <v>127</v>
      </c>
      <c r="E7" s="15" t="s">
        <v>67</v>
      </c>
      <c r="F7" s="15" t="s">
        <v>59</v>
      </c>
      <c r="G7" s="38" t="s">
        <v>58</v>
      </c>
      <c r="H7" s="16" t="s">
        <v>27</v>
      </c>
      <c r="I7" s="39"/>
      <c r="J7" s="39"/>
      <c r="K7" s="15">
        <v>6</v>
      </c>
      <c r="L7" s="15">
        <v>0</v>
      </c>
      <c r="M7" s="15">
        <v>1200</v>
      </c>
    </row>
    <row r="8" spans="1:14" ht="18" customHeight="1" x14ac:dyDescent="0.3">
      <c r="B8" s="15" t="s">
        <v>128</v>
      </c>
      <c r="C8" s="15" t="s">
        <v>69</v>
      </c>
      <c r="D8" s="16" t="s">
        <v>129</v>
      </c>
      <c r="E8" s="15" t="s">
        <v>71</v>
      </c>
      <c r="F8" s="15" t="s">
        <v>59</v>
      </c>
      <c r="G8" s="38" t="s">
        <v>58</v>
      </c>
      <c r="H8" s="16" t="s">
        <v>28</v>
      </c>
      <c r="I8" s="39"/>
      <c r="J8" s="39"/>
      <c r="K8" s="15">
        <v>3</v>
      </c>
      <c r="L8" s="15">
        <v>0</v>
      </c>
      <c r="M8" s="15">
        <v>500</v>
      </c>
    </row>
    <row r="9" spans="1:14" ht="18" customHeight="1" x14ac:dyDescent="0.3">
      <c r="B9" s="15" t="s">
        <v>130</v>
      </c>
      <c r="C9" s="15" t="s">
        <v>73</v>
      </c>
      <c r="D9" s="16" t="s">
        <v>74</v>
      </c>
      <c r="E9" s="15" t="s">
        <v>71</v>
      </c>
      <c r="F9" s="15" t="s">
        <v>76</v>
      </c>
      <c r="G9" s="38" t="s">
        <v>58</v>
      </c>
      <c r="H9" s="16" t="s">
        <v>25</v>
      </c>
      <c r="I9" s="39"/>
      <c r="J9" s="39"/>
      <c r="K9" s="15">
        <v>80</v>
      </c>
      <c r="L9" s="15">
        <v>0</v>
      </c>
      <c r="M9" s="15">
        <v>45000</v>
      </c>
    </row>
    <row r="10" spans="1:14" ht="18" customHeight="1" x14ac:dyDescent="0.3">
      <c r="B10" s="15" t="s">
        <v>131</v>
      </c>
      <c r="C10" s="15" t="s">
        <v>77</v>
      </c>
      <c r="D10" s="16" t="s">
        <v>78</v>
      </c>
      <c r="E10" s="15" t="s">
        <v>56</v>
      </c>
      <c r="F10" s="15" t="s">
        <v>80</v>
      </c>
      <c r="G10" s="38" t="s">
        <v>58</v>
      </c>
      <c r="H10" s="16" t="s">
        <v>29</v>
      </c>
      <c r="I10" s="39"/>
      <c r="J10" s="39"/>
      <c r="K10" s="15">
        <v>4</v>
      </c>
      <c r="L10" s="15">
        <v>0</v>
      </c>
      <c r="M10" s="15">
        <v>300</v>
      </c>
    </row>
    <row r="11" spans="1:14" ht="18" customHeight="1" x14ac:dyDescent="0.3">
      <c r="B11" s="15" t="s">
        <v>132</v>
      </c>
      <c r="C11" s="15" t="s">
        <v>81</v>
      </c>
      <c r="D11" s="16" t="s">
        <v>82</v>
      </c>
      <c r="E11" s="15" t="s">
        <v>83</v>
      </c>
      <c r="F11" s="15" t="s">
        <v>76</v>
      </c>
      <c r="G11" s="38" t="s">
        <v>58</v>
      </c>
      <c r="H11" s="16" t="s">
        <v>30</v>
      </c>
      <c r="I11" s="39"/>
      <c r="J11" s="39"/>
      <c r="K11" s="15">
        <v>60</v>
      </c>
      <c r="L11" s="15">
        <v>0</v>
      </c>
      <c r="M11" s="15">
        <v>38000</v>
      </c>
    </row>
    <row r="12" spans="1:14" ht="18" customHeight="1" x14ac:dyDescent="0.3">
      <c r="B12" s="15" t="s">
        <v>133</v>
      </c>
      <c r="C12" s="15" t="s">
        <v>84</v>
      </c>
      <c r="D12" s="16" t="s">
        <v>85</v>
      </c>
      <c r="E12" s="15" t="s">
        <v>86</v>
      </c>
      <c r="F12" s="15" t="s">
        <v>64</v>
      </c>
      <c r="G12" s="38" t="s">
        <v>58</v>
      </c>
      <c r="H12" s="16" t="s">
        <v>27</v>
      </c>
      <c r="I12" s="39"/>
      <c r="J12" s="39"/>
      <c r="K12" s="15">
        <v>8</v>
      </c>
      <c r="L12" s="15">
        <v>0</v>
      </c>
      <c r="M12" s="15">
        <v>2200</v>
      </c>
    </row>
    <row r="13" spans="1:14" ht="18" customHeight="1" x14ac:dyDescent="0.3">
      <c r="B13" s="15" t="s">
        <v>134</v>
      </c>
      <c r="C13" s="15" t="s">
        <v>87</v>
      </c>
      <c r="D13" s="16" t="s">
        <v>88</v>
      </c>
      <c r="E13" s="15" t="s">
        <v>89</v>
      </c>
      <c r="F13" s="15" t="s">
        <v>59</v>
      </c>
      <c r="G13" s="38" t="s">
        <v>58</v>
      </c>
      <c r="H13" s="16" t="s">
        <v>26</v>
      </c>
      <c r="I13" s="39"/>
      <c r="J13" s="39"/>
      <c r="K13" s="15">
        <v>16</v>
      </c>
      <c r="L13" s="15">
        <v>0</v>
      </c>
      <c r="M13" s="15">
        <v>9500</v>
      </c>
    </row>
    <row r="14" spans="1:14" ht="18" customHeight="1" x14ac:dyDescent="0.3">
      <c r="B14" s="15" t="s">
        <v>135</v>
      </c>
      <c r="C14" s="15" t="s">
        <v>90</v>
      </c>
      <c r="D14" s="16" t="s">
        <v>91</v>
      </c>
      <c r="E14" s="15" t="s">
        <v>92</v>
      </c>
      <c r="F14" s="15" t="s">
        <v>64</v>
      </c>
      <c r="G14" s="38" t="s">
        <v>58</v>
      </c>
      <c r="H14" s="16" t="s">
        <v>28</v>
      </c>
      <c r="I14" s="39"/>
      <c r="J14" s="39"/>
      <c r="K14" s="15">
        <v>6</v>
      </c>
      <c r="L14" s="15">
        <v>0</v>
      </c>
      <c r="M14" s="15">
        <v>1800</v>
      </c>
    </row>
    <row r="15" spans="1:14" ht="18" customHeight="1" x14ac:dyDescent="0.3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4" ht="18" customHeight="1" x14ac:dyDescent="0.3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2:13" ht="18" customHeight="1" x14ac:dyDescent="0.3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2:13" ht="18" customHeight="1" x14ac:dyDescent="0.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2:13" ht="18" customHeight="1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2:13" ht="18" customHeigh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2:13" ht="18" customHeight="1" x14ac:dyDescent="0.3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2:13" ht="18" customHeight="1" x14ac:dyDescent="0.3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2:13" ht="18" customHeight="1" x14ac:dyDescent="0.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2:13" ht="18" customHeight="1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2:13" ht="18" customHeight="1" x14ac:dyDescent="0.3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2:13" ht="18" customHeight="1" x14ac:dyDescent="0.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2:13" ht="18" customHeight="1" x14ac:dyDescent="0.3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2:13" ht="18" customHeight="1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2:13" ht="18" customHeight="1" x14ac:dyDescent="0.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2:13" ht="18" customHeight="1" x14ac:dyDescent="0.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2:13" ht="18" customHeight="1" x14ac:dyDescent="0.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2:13" ht="18" customHeight="1" x14ac:dyDescent="0.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2:13" ht="18" customHeight="1" x14ac:dyDescent="0.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2:13" ht="18" customHeight="1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2:13" ht="18" customHeigh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2:13" ht="18" customHeight="1" x14ac:dyDescent="0.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2:13" ht="18" customHeight="1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2:13" ht="18" customHeight="1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2:13" ht="18" customHeight="1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2:13" ht="18" customHeight="1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2:13" ht="18" customHeight="1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2:13" ht="18" customHeight="1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2:13" ht="18" customHeight="1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2:13" ht="18" customHeight="1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2:13" ht="18" customHeight="1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2:13" ht="18" customHeight="1" x14ac:dyDescent="0.3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2:13" ht="18" customHeight="1" x14ac:dyDescent="0.3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2:13" ht="18" customHeight="1" x14ac:dyDescent="0.3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2:13" ht="18" customHeight="1" x14ac:dyDescent="0.3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2:13" ht="18" customHeight="1" x14ac:dyDescent="0.3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2:13" ht="18" customHeigh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2:13" ht="18" customHeight="1" x14ac:dyDescent="0.3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2:13" ht="18" customHeight="1" x14ac:dyDescent="0.3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2:13" ht="18" customHeight="1" x14ac:dyDescent="0.3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2:13" ht="18" customHeight="1" x14ac:dyDescent="0.3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2:13" ht="18" customHeight="1" x14ac:dyDescent="0.3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2:13" ht="18" customHeight="1" x14ac:dyDescent="0.3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2:13" ht="18" customHeight="1" x14ac:dyDescent="0.3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2:13" ht="18" customHeight="1" x14ac:dyDescent="0.3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2:13" ht="18" customHeight="1" x14ac:dyDescent="0.3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2:13" ht="18" customHeight="1" x14ac:dyDescent="0.3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2:13" ht="18" customHeight="1" x14ac:dyDescent="0.3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2:13" ht="18" customHeight="1" x14ac:dyDescent="0.3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2:13" ht="18" customHeight="1" x14ac:dyDescent="0.3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2:13" ht="18" customHeight="1" x14ac:dyDescent="0.3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2:13" ht="18" customHeight="1" x14ac:dyDescent="0.3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2:13" ht="18" customHeight="1" x14ac:dyDescent="0.3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2:13" ht="18" customHeight="1" x14ac:dyDescent="0.3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2:13" ht="18" customHeight="1" x14ac:dyDescent="0.3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2:13" ht="18" customHeight="1" x14ac:dyDescent="0.3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2:13" ht="18" customHeight="1" x14ac:dyDescent="0.3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2:13" ht="18" customHeight="1" x14ac:dyDescent="0.3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2:13" ht="18" customHeight="1" x14ac:dyDescent="0.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2:13" ht="18" customHeight="1" x14ac:dyDescent="0.3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2:13" ht="18" customHeight="1" x14ac:dyDescent="0.3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2:13" ht="18" customHeight="1" x14ac:dyDescent="0.3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2:13" ht="18" customHeight="1" x14ac:dyDescent="0.3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2:13" ht="18" customHeight="1" x14ac:dyDescent="0.3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2:13" ht="18" customHeight="1" x14ac:dyDescent="0.3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2:13" ht="18" customHeight="1" x14ac:dyDescent="0.3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2:13" ht="18" customHeight="1" x14ac:dyDescent="0.3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2:13" ht="18" customHeight="1" x14ac:dyDescent="0.3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2:13" ht="18" customHeight="1" x14ac:dyDescent="0.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2:13" ht="18" customHeight="1" x14ac:dyDescent="0.3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2:13" ht="18" customHeight="1" x14ac:dyDescent="0.3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2:13" ht="18" customHeight="1" x14ac:dyDescent="0.3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2:13" ht="18" customHeight="1" x14ac:dyDescent="0.3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2:13" ht="18" customHeight="1" x14ac:dyDescent="0.3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2:13" ht="18" customHeight="1" x14ac:dyDescent="0.3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2:13" ht="18" customHeight="1" x14ac:dyDescent="0.3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2:13" ht="18" customHeight="1" x14ac:dyDescent="0.3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2:13" ht="18" customHeight="1" x14ac:dyDescent="0.3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2:13" ht="18" customHeight="1" x14ac:dyDescent="0.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2:13" ht="18" customHeight="1" x14ac:dyDescent="0.3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2:13" ht="18" customHeight="1" x14ac:dyDescent="0.3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2:13" ht="18" customHeight="1" x14ac:dyDescent="0.3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2:13" ht="18" customHeight="1" x14ac:dyDescent="0.3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2:13" ht="18" customHeight="1" x14ac:dyDescent="0.3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2:13" ht="18" customHeight="1" x14ac:dyDescent="0.3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2:13" ht="18" customHeight="1" x14ac:dyDescent="0.3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2:13" ht="18" customHeight="1" x14ac:dyDescent="0.3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2:13" ht="18" customHeight="1" x14ac:dyDescent="0.3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2:13" ht="18" customHeight="1" x14ac:dyDescent="0.3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2:13" ht="18" customHeight="1" x14ac:dyDescent="0.3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2:13" ht="21.75" customHeight="1" x14ac:dyDescent="0.3">
      <c r="B105" s="5" t="s">
        <v>136</v>
      </c>
      <c r="C105" s="5"/>
      <c r="D105" s="5"/>
      <c r="E105" s="5"/>
      <c r="F105" s="5"/>
      <c r="G105" s="5"/>
      <c r="H105" s="5"/>
      <c r="I105" s="5"/>
      <c r="J105" s="5"/>
      <c r="K105" s="40">
        <f>SUM(K5:K104)</f>
        <v>195</v>
      </c>
      <c r="L105" s="40">
        <f>SUM(L5:L104)</f>
        <v>0</v>
      </c>
      <c r="M105" s="40">
        <f>SUM(M5:M104)</f>
        <v>102800</v>
      </c>
    </row>
  </sheetData>
  <mergeCells count="3">
    <mergeCell ref="B2:M2"/>
    <mergeCell ref="B3:M3"/>
    <mergeCell ref="B105:J105"/>
  </mergeCells>
  <dataValidations count="2">
    <dataValidation type="list" allowBlank="1" sqref="G5:G104" xr:uid="{00000000-0002-0000-0300-000000000000}">
      <formula1>"Planned,In Progress,Complete,Overdue,Cancelled"</formula1>
      <formula2>0</formula2>
    </dataValidation>
    <dataValidation type="list" allowBlank="1" sqref="F5:F104" xr:uid="{00000000-0002-0000-0300-000001000000}">
      <formula1>"Critical,High,Medium,Low"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8449"/>
  </sheetPr>
  <dimension ref="A2:P22"/>
  <sheetViews>
    <sheetView showGridLines="0" workbookViewId="0"/>
  </sheetViews>
  <sheetFormatPr defaultColWidth="8.6640625" defaultRowHeight="14.4" x14ac:dyDescent="0.3"/>
  <cols>
    <col min="1" max="1" width="3" customWidth="1"/>
    <col min="2" max="2" width="22" customWidth="1"/>
    <col min="3" max="14" width="9" customWidth="1"/>
    <col min="15" max="15" width="11" customWidth="1"/>
    <col min="16" max="16" width="3" customWidth="1"/>
  </cols>
  <sheetData>
    <row r="2" spans="1:16" ht="36" customHeight="1" x14ac:dyDescent="0.3">
      <c r="A2" s="18"/>
      <c r="B2" s="4" t="s">
        <v>137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7.5" customHeight="1" x14ac:dyDescent="0.3"/>
    <row r="4" spans="1:16" ht="21.75" customHeight="1" x14ac:dyDescent="0.3">
      <c r="B4" s="19" t="s">
        <v>138</v>
      </c>
      <c r="C4" s="19" t="s">
        <v>139</v>
      </c>
      <c r="D4" s="19" t="s">
        <v>140</v>
      </c>
      <c r="E4" s="19" t="s">
        <v>141</v>
      </c>
      <c r="F4" s="19" t="s">
        <v>142</v>
      </c>
      <c r="G4" s="19" t="s">
        <v>143</v>
      </c>
      <c r="H4" s="19" t="s">
        <v>144</v>
      </c>
      <c r="I4" s="19" t="s">
        <v>145</v>
      </c>
      <c r="J4" s="19" t="s">
        <v>146</v>
      </c>
      <c r="K4" s="19" t="s">
        <v>147</v>
      </c>
      <c r="L4" s="19" t="s">
        <v>148</v>
      </c>
      <c r="M4" s="19" t="s">
        <v>149</v>
      </c>
      <c r="N4" s="19" t="s">
        <v>150</v>
      </c>
      <c r="O4" s="19" t="s">
        <v>151</v>
      </c>
    </row>
    <row r="5" spans="1:16" ht="18" customHeight="1" x14ac:dyDescent="0.3">
      <c r="B5" s="14" t="s">
        <v>25</v>
      </c>
      <c r="C5" s="41">
        <v>0</v>
      </c>
      <c r="D5" s="41">
        <v>0</v>
      </c>
      <c r="E5" s="41">
        <v>0</v>
      </c>
      <c r="F5" s="41">
        <v>0</v>
      </c>
      <c r="G5" s="41">
        <v>0</v>
      </c>
      <c r="H5" s="41">
        <v>0</v>
      </c>
      <c r="I5" s="41">
        <v>0</v>
      </c>
      <c r="J5" s="41">
        <v>0</v>
      </c>
      <c r="K5" s="41">
        <v>0</v>
      </c>
      <c r="L5" s="41">
        <v>0</v>
      </c>
      <c r="M5" s="41">
        <v>0</v>
      </c>
      <c r="N5" s="41">
        <v>0</v>
      </c>
      <c r="O5" s="42">
        <f>SUM(C5:N5)</f>
        <v>0</v>
      </c>
    </row>
    <row r="6" spans="1:16" ht="18" customHeight="1" x14ac:dyDescent="0.3">
      <c r="B6" s="43" t="s">
        <v>152</v>
      </c>
      <c r="C6" s="44">
        <v>176</v>
      </c>
      <c r="D6" s="44">
        <v>176</v>
      </c>
      <c r="E6" s="44">
        <v>176</v>
      </c>
      <c r="F6" s="44">
        <v>176</v>
      </c>
      <c r="G6" s="44">
        <v>176</v>
      </c>
      <c r="H6" s="44">
        <v>176</v>
      </c>
      <c r="I6" s="44">
        <v>176</v>
      </c>
      <c r="J6" s="44">
        <v>176</v>
      </c>
      <c r="K6" s="44">
        <v>176</v>
      </c>
      <c r="L6" s="44">
        <v>176</v>
      </c>
      <c r="M6" s="44">
        <v>176</v>
      </c>
      <c r="N6" s="44">
        <v>176</v>
      </c>
      <c r="O6" s="45">
        <f>176*12</f>
        <v>2112</v>
      </c>
    </row>
    <row r="7" spans="1:16" ht="7.5" customHeight="1" x14ac:dyDescent="0.3"/>
    <row r="8" spans="1:16" ht="18" customHeight="1" x14ac:dyDescent="0.3">
      <c r="B8" s="46" t="s">
        <v>26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2">
        <f>SUM(C8:N8)</f>
        <v>0</v>
      </c>
    </row>
    <row r="9" spans="1:16" ht="18" customHeight="1" x14ac:dyDescent="0.3">
      <c r="B9" s="43" t="s">
        <v>152</v>
      </c>
      <c r="C9" s="44">
        <v>176</v>
      </c>
      <c r="D9" s="44">
        <v>176</v>
      </c>
      <c r="E9" s="44">
        <v>176</v>
      </c>
      <c r="F9" s="44">
        <v>176</v>
      </c>
      <c r="G9" s="44">
        <v>176</v>
      </c>
      <c r="H9" s="44">
        <v>176</v>
      </c>
      <c r="I9" s="44">
        <v>176</v>
      </c>
      <c r="J9" s="44">
        <v>176</v>
      </c>
      <c r="K9" s="44">
        <v>176</v>
      </c>
      <c r="L9" s="44">
        <v>176</v>
      </c>
      <c r="M9" s="44">
        <v>176</v>
      </c>
      <c r="N9" s="44">
        <v>176</v>
      </c>
      <c r="O9" s="45">
        <f>176*12</f>
        <v>2112</v>
      </c>
    </row>
    <row r="10" spans="1:16" ht="7.5" customHeight="1" x14ac:dyDescent="0.3"/>
    <row r="11" spans="1:16" ht="18" customHeight="1" x14ac:dyDescent="0.3">
      <c r="B11" s="14" t="s">
        <v>27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2">
        <f>SUM(C11:N11)</f>
        <v>0</v>
      </c>
    </row>
    <row r="12" spans="1:16" ht="18" customHeight="1" x14ac:dyDescent="0.3">
      <c r="B12" s="43" t="s">
        <v>152</v>
      </c>
      <c r="C12" s="44">
        <v>176</v>
      </c>
      <c r="D12" s="44">
        <v>176</v>
      </c>
      <c r="E12" s="44">
        <v>176</v>
      </c>
      <c r="F12" s="44">
        <v>176</v>
      </c>
      <c r="G12" s="44">
        <v>176</v>
      </c>
      <c r="H12" s="44">
        <v>176</v>
      </c>
      <c r="I12" s="44">
        <v>176</v>
      </c>
      <c r="J12" s="44">
        <v>176</v>
      </c>
      <c r="K12" s="44">
        <v>176</v>
      </c>
      <c r="L12" s="44">
        <v>176</v>
      </c>
      <c r="M12" s="44">
        <v>176</v>
      </c>
      <c r="N12" s="44">
        <v>176</v>
      </c>
      <c r="O12" s="45">
        <f>176*12</f>
        <v>2112</v>
      </c>
    </row>
    <row r="13" spans="1:16" ht="7.5" customHeight="1" x14ac:dyDescent="0.3"/>
    <row r="14" spans="1:16" ht="18" customHeight="1" x14ac:dyDescent="0.3">
      <c r="B14" s="46" t="s">
        <v>28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2">
        <f>SUM(C14:N14)</f>
        <v>0</v>
      </c>
    </row>
    <row r="15" spans="1:16" ht="18" customHeight="1" x14ac:dyDescent="0.3">
      <c r="B15" s="43" t="s">
        <v>152</v>
      </c>
      <c r="C15" s="44">
        <v>176</v>
      </c>
      <c r="D15" s="44">
        <v>176</v>
      </c>
      <c r="E15" s="44">
        <v>176</v>
      </c>
      <c r="F15" s="44">
        <v>176</v>
      </c>
      <c r="G15" s="44">
        <v>176</v>
      </c>
      <c r="H15" s="44">
        <v>176</v>
      </c>
      <c r="I15" s="44">
        <v>176</v>
      </c>
      <c r="J15" s="44">
        <v>176</v>
      </c>
      <c r="K15" s="44">
        <v>176</v>
      </c>
      <c r="L15" s="44">
        <v>176</v>
      </c>
      <c r="M15" s="44">
        <v>176</v>
      </c>
      <c r="N15" s="44">
        <v>176</v>
      </c>
      <c r="O15" s="45">
        <f>176*12</f>
        <v>2112</v>
      </c>
    </row>
    <row r="16" spans="1:16" ht="7.5" customHeight="1" x14ac:dyDescent="0.3"/>
    <row r="17" spans="2:15" ht="18" customHeight="1" x14ac:dyDescent="0.3">
      <c r="B17" s="14" t="s">
        <v>29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2">
        <f>SUM(C17:N17)</f>
        <v>0</v>
      </c>
    </row>
    <row r="18" spans="2:15" ht="18" customHeight="1" x14ac:dyDescent="0.3">
      <c r="B18" s="43" t="s">
        <v>152</v>
      </c>
      <c r="C18" s="44">
        <v>176</v>
      </c>
      <c r="D18" s="44">
        <v>176</v>
      </c>
      <c r="E18" s="44">
        <v>176</v>
      </c>
      <c r="F18" s="44">
        <v>176</v>
      </c>
      <c r="G18" s="44">
        <v>176</v>
      </c>
      <c r="H18" s="44">
        <v>176</v>
      </c>
      <c r="I18" s="44">
        <v>176</v>
      </c>
      <c r="J18" s="44">
        <v>176</v>
      </c>
      <c r="K18" s="44">
        <v>176</v>
      </c>
      <c r="L18" s="44">
        <v>176</v>
      </c>
      <c r="M18" s="44">
        <v>176</v>
      </c>
      <c r="N18" s="44">
        <v>176</v>
      </c>
      <c r="O18" s="45">
        <f>176*12</f>
        <v>2112</v>
      </c>
    </row>
    <row r="19" spans="2:15" ht="7.5" customHeight="1" x14ac:dyDescent="0.3"/>
    <row r="20" spans="2:15" ht="18" customHeight="1" x14ac:dyDescent="0.3">
      <c r="B20" s="46" t="s">
        <v>30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2">
        <f>SUM(C20:N20)</f>
        <v>0</v>
      </c>
    </row>
    <row r="21" spans="2:15" ht="18" customHeight="1" x14ac:dyDescent="0.3">
      <c r="B21" s="43" t="s">
        <v>152</v>
      </c>
      <c r="C21" s="44">
        <v>176</v>
      </c>
      <c r="D21" s="44">
        <v>176</v>
      </c>
      <c r="E21" s="44">
        <v>176</v>
      </c>
      <c r="F21" s="44">
        <v>176</v>
      </c>
      <c r="G21" s="44">
        <v>176</v>
      </c>
      <c r="H21" s="44">
        <v>176</v>
      </c>
      <c r="I21" s="44">
        <v>176</v>
      </c>
      <c r="J21" s="44">
        <v>176</v>
      </c>
      <c r="K21" s="44">
        <v>176</v>
      </c>
      <c r="L21" s="44">
        <v>176</v>
      </c>
      <c r="M21" s="44">
        <v>176</v>
      </c>
      <c r="N21" s="44">
        <v>176</v>
      </c>
      <c r="O21" s="45">
        <f>176*12</f>
        <v>2112</v>
      </c>
    </row>
    <row r="22" spans="2:15" ht="7.5" customHeight="1" x14ac:dyDescent="0.3"/>
  </sheetData>
  <mergeCells count="1">
    <mergeCell ref="B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C3483"/>
  </sheetPr>
  <dimension ref="A2:M19"/>
  <sheetViews>
    <sheetView showGridLines="0" workbookViewId="0"/>
  </sheetViews>
  <sheetFormatPr defaultColWidth="8.6640625" defaultRowHeight="14.4" x14ac:dyDescent="0.3"/>
  <cols>
    <col min="1" max="1" width="3" customWidth="1"/>
    <col min="2" max="2" width="30" customWidth="1"/>
    <col min="3" max="5" width="18" customWidth="1"/>
    <col min="6" max="6" width="3" customWidth="1"/>
  </cols>
  <sheetData>
    <row r="2" spans="1:13" ht="36" customHeight="1" x14ac:dyDescent="0.3">
      <c r="A2" s="18"/>
      <c r="B2" s="4" t="s">
        <v>153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9.75" customHeight="1" x14ac:dyDescent="0.3"/>
    <row r="4" spans="1:13" ht="9.75" customHeight="1" x14ac:dyDescent="0.3"/>
    <row r="5" spans="1:13" ht="21.75" customHeight="1" x14ac:dyDescent="0.3">
      <c r="B5" s="47" t="s">
        <v>154</v>
      </c>
      <c r="C5" s="48" t="s">
        <v>155</v>
      </c>
      <c r="D5" s="49">
        <f>IFERROR(COUNTIFS('📋 Work Orders'!G5:G104,"Complete")/COUNTA('📋 Work Orders'!B5:B104),0)</f>
        <v>0</v>
      </c>
      <c r="E5" s="50" t="s">
        <v>156</v>
      </c>
    </row>
    <row r="6" spans="1:13" ht="9.75" customHeight="1" x14ac:dyDescent="0.3"/>
    <row r="7" spans="1:13" ht="21.75" customHeight="1" x14ac:dyDescent="0.3">
      <c r="B7" s="47" t="s">
        <v>157</v>
      </c>
      <c r="C7" s="48" t="s">
        <v>158</v>
      </c>
      <c r="D7" s="49">
        <f>IFERROR(COUNTIF('📋 Work Orders'!G5:G104,"Complete")/COUNTA('📋 Work Orders'!B5:B104),0)</f>
        <v>0</v>
      </c>
      <c r="E7" s="50" t="s">
        <v>159</v>
      </c>
    </row>
    <row r="8" spans="1:13" ht="9.75" customHeight="1" x14ac:dyDescent="0.3"/>
    <row r="9" spans="1:13" ht="21.75" customHeight="1" x14ac:dyDescent="0.3">
      <c r="B9" s="47" t="s">
        <v>160</v>
      </c>
      <c r="C9" s="48" t="s">
        <v>161</v>
      </c>
      <c r="D9" s="51">
        <f>COUNTA('📋 Work Orders'!B5:B104)</f>
        <v>10</v>
      </c>
      <c r="E9" s="50"/>
    </row>
    <row r="10" spans="1:13" ht="9.75" customHeight="1" x14ac:dyDescent="0.3"/>
    <row r="11" spans="1:13" ht="21.75" customHeight="1" x14ac:dyDescent="0.3">
      <c r="B11" s="47" t="s">
        <v>162</v>
      </c>
      <c r="C11" s="48" t="s">
        <v>163</v>
      </c>
      <c r="D11" s="51">
        <f>COUNTIFS('📋 Work Orders'!G5:G104,"Planned")+COUNTIFS('📋 Work Orders'!G5:G104,"In Progress")</f>
        <v>10</v>
      </c>
      <c r="E11" s="50"/>
    </row>
    <row r="12" spans="1:13" ht="9.75" customHeight="1" x14ac:dyDescent="0.3"/>
    <row r="13" spans="1:13" ht="21.75" customHeight="1" x14ac:dyDescent="0.3">
      <c r="B13" s="47" t="s">
        <v>164</v>
      </c>
      <c r="C13" s="48" t="s">
        <v>165</v>
      </c>
      <c r="D13" s="51">
        <f>COUNTIF('📋 Work Orders'!G5:G104,"Overdue")</f>
        <v>0</v>
      </c>
      <c r="E13" s="50" t="s">
        <v>166</v>
      </c>
    </row>
    <row r="14" spans="1:13" ht="9.75" customHeight="1" x14ac:dyDescent="0.3"/>
    <row r="15" spans="1:13" ht="21.75" customHeight="1" x14ac:dyDescent="0.3">
      <c r="B15" s="47" t="s">
        <v>167</v>
      </c>
      <c r="C15" s="48" t="s">
        <v>168</v>
      </c>
      <c r="D15" s="52">
        <f>SUMPRODUCT((('📋 Work Orders'!G5:G104="Planned")+('📋 Work Orders'!G5:G104="Overdue")&gt;0)*'📋 Work Orders'!K5:K104)</f>
        <v>195</v>
      </c>
      <c r="E15" s="50"/>
    </row>
    <row r="16" spans="1:13" ht="9.75" customHeight="1" x14ac:dyDescent="0.3"/>
    <row r="17" spans="2:5" ht="21.75" customHeight="1" x14ac:dyDescent="0.3">
      <c r="B17" s="47" t="s">
        <v>169</v>
      </c>
      <c r="C17" s="48" t="s">
        <v>170</v>
      </c>
      <c r="D17" s="53">
        <f>'📋 Work Orders'!M105</f>
        <v>102800</v>
      </c>
      <c r="E17" s="50"/>
    </row>
    <row r="18" spans="2:5" ht="9.75" customHeight="1" x14ac:dyDescent="0.3"/>
    <row r="19" spans="2:5" ht="21.75" customHeight="1" x14ac:dyDescent="0.3">
      <c r="B19" s="47" t="s">
        <v>171</v>
      </c>
      <c r="C19" s="48" t="s">
        <v>172</v>
      </c>
      <c r="D19" s="51">
        <f>COUNTIFS('📋 Work Orders'!F5:F104,"Critical",'📋 Work Orders'!G5:G104,"&lt;&gt;Complete")</f>
        <v>2</v>
      </c>
      <c r="E19" s="50" t="s">
        <v>166</v>
      </c>
    </row>
  </sheetData>
  <mergeCells count="1">
    <mergeCell ref="B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workbookViewId="0"/>
  </sheetViews>
  <sheetFormatPr defaultRowHeight="14.4" x14ac:dyDescent="0.3"/>
  <cols>
    <col min="1" max="1" width="10" customWidth="1"/>
    <col min="2" max="2" width="26" customWidth="1"/>
    <col min="3" max="3" width="80" customWidth="1"/>
  </cols>
  <sheetData>
    <row r="1" spans="1:11" ht="24" customHeight="1" x14ac:dyDescent="0.3">
      <c r="A1" s="3" t="s">
        <v>173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65" customHeight="1" x14ac:dyDescent="0.3">
      <c r="A2" s="2" t="s">
        <v>174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0.85" customHeight="1" x14ac:dyDescent="0.3">
      <c r="A4" s="54" t="s">
        <v>175</v>
      </c>
      <c r="B4" s="54" t="s">
        <v>176</v>
      </c>
      <c r="C4" s="54" t="s">
        <v>177</v>
      </c>
    </row>
    <row r="5" spans="1:11" x14ac:dyDescent="0.3">
      <c r="A5" s="55" t="s">
        <v>178</v>
      </c>
      <c r="B5" s="55" t="s">
        <v>179</v>
      </c>
      <c r="C5" s="55" t="s">
        <v>180</v>
      </c>
    </row>
    <row r="6" spans="1:11" x14ac:dyDescent="0.3">
      <c r="A6" s="55" t="s">
        <v>181</v>
      </c>
      <c r="B6" s="55" t="s">
        <v>182</v>
      </c>
      <c r="C6" s="55" t="s">
        <v>183</v>
      </c>
    </row>
    <row r="7" spans="1:11" ht="28.8" x14ac:dyDescent="0.3">
      <c r="A7" s="55" t="s">
        <v>184</v>
      </c>
      <c r="B7" s="55" t="s">
        <v>185</v>
      </c>
      <c r="C7" s="55" t="s">
        <v>186</v>
      </c>
    </row>
    <row r="8" spans="1:11" ht="28.8" x14ac:dyDescent="0.3">
      <c r="A8" s="55" t="s">
        <v>187</v>
      </c>
      <c r="B8" s="55" t="s">
        <v>188</v>
      </c>
      <c r="C8" s="55" t="s">
        <v>189</v>
      </c>
    </row>
    <row r="9" spans="1:11" ht="28.8" x14ac:dyDescent="0.3">
      <c r="A9" s="55" t="s">
        <v>190</v>
      </c>
      <c r="B9" s="55" t="s">
        <v>191</v>
      </c>
      <c r="C9" s="55" t="s">
        <v>192</v>
      </c>
    </row>
    <row r="12" spans="1:11" x14ac:dyDescent="0.3">
      <c r="A12" s="56" t="s">
        <v>193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</row>
    <row r="13" spans="1:11" x14ac:dyDescent="0.3">
      <c r="A13" s="1" t="s">
        <v>194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 t="s">
        <v>195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 t="s">
        <v>196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 t="s">
        <v>197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 t="s">
        <v>198</v>
      </c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mergeCells count="7">
    <mergeCell ref="A16:K16"/>
    <mergeCell ref="A17:K17"/>
    <mergeCell ref="A1:K1"/>
    <mergeCell ref="A2:K2"/>
    <mergeCell ref="A13:K13"/>
    <mergeCell ref="A14:K14"/>
    <mergeCell ref="A15:K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RowHeight="14.4" x14ac:dyDescent="0.3"/>
  <cols>
    <col min="1" max="1" width="59.44140625" customWidth="1"/>
    <col min="2" max="2" width="6.88671875" customWidth="1"/>
    <col min="3" max="3" width="6.6640625" customWidth="1"/>
    <col min="4" max="4" width="6.77734375" customWidth="1"/>
    <col min="5" max="5" width="12.6640625" customWidth="1"/>
    <col min="6" max="6" width="10.44140625" customWidth="1"/>
    <col min="7" max="7" width="4.6640625" customWidth="1"/>
    <col min="8" max="8" width="11" customWidth="1"/>
  </cols>
  <sheetData>
    <row r="1" spans="1:8" ht="24" customHeight="1" x14ac:dyDescent="0.3">
      <c r="A1" s="3" t="s">
        <v>199</v>
      </c>
      <c r="B1" s="3"/>
      <c r="C1" s="3"/>
      <c r="D1" s="3"/>
      <c r="E1" s="3"/>
      <c r="F1" s="3"/>
      <c r="G1" s="3"/>
      <c r="H1" s="3"/>
    </row>
    <row r="2" spans="1:8" ht="25.65" customHeight="1" x14ac:dyDescent="0.3">
      <c r="A2" s="2" t="s">
        <v>200</v>
      </c>
      <c r="B2" s="2"/>
      <c r="C2" s="2"/>
      <c r="D2" s="2"/>
      <c r="E2" s="2"/>
      <c r="F2" s="2"/>
      <c r="G2" s="2"/>
      <c r="H2" s="2"/>
    </row>
    <row r="4" spans="1:8" x14ac:dyDescent="0.3">
      <c r="A4" s="57" t="s">
        <v>52</v>
      </c>
      <c r="B4" s="57" t="s">
        <v>53</v>
      </c>
      <c r="C4" s="57" t="s">
        <v>201</v>
      </c>
      <c r="D4" s="57" t="s">
        <v>202</v>
      </c>
      <c r="E4" s="57" t="s">
        <v>203</v>
      </c>
      <c r="F4" s="57" t="s">
        <v>204</v>
      </c>
      <c r="G4" s="57" t="s">
        <v>205</v>
      </c>
      <c r="H4" s="57" t="s">
        <v>206</v>
      </c>
    </row>
    <row r="5" spans="1:8" x14ac:dyDescent="0.3">
      <c r="A5" t="s">
        <v>207</v>
      </c>
      <c r="B5" t="s">
        <v>76</v>
      </c>
      <c r="C5" t="s">
        <v>208</v>
      </c>
      <c r="D5">
        <v>1</v>
      </c>
      <c r="E5" t="s">
        <v>209</v>
      </c>
      <c r="F5" t="s">
        <v>210</v>
      </c>
      <c r="G5" t="s">
        <v>211</v>
      </c>
      <c r="H5" t="s">
        <v>212</v>
      </c>
    </row>
    <row r="6" spans="1:8" x14ac:dyDescent="0.3">
      <c r="A6" t="s">
        <v>213</v>
      </c>
      <c r="B6" t="s">
        <v>59</v>
      </c>
      <c r="C6" t="s">
        <v>214</v>
      </c>
      <c r="D6">
        <v>2</v>
      </c>
      <c r="E6" t="s">
        <v>215</v>
      </c>
      <c r="F6" t="s">
        <v>216</v>
      </c>
      <c r="G6" t="s">
        <v>217</v>
      </c>
      <c r="H6" t="s">
        <v>218</v>
      </c>
    </row>
    <row r="7" spans="1:8" x14ac:dyDescent="0.3">
      <c r="A7" t="s">
        <v>219</v>
      </c>
      <c r="B7" t="s">
        <v>64</v>
      </c>
      <c r="C7" t="s">
        <v>220</v>
      </c>
      <c r="D7">
        <v>3</v>
      </c>
      <c r="E7" t="s">
        <v>79</v>
      </c>
      <c r="F7" t="s">
        <v>221</v>
      </c>
      <c r="G7" t="s">
        <v>222</v>
      </c>
      <c r="H7" t="s">
        <v>223</v>
      </c>
    </row>
    <row r="8" spans="1:8" x14ac:dyDescent="0.3">
      <c r="A8" t="s">
        <v>224</v>
      </c>
      <c r="B8" t="s">
        <v>80</v>
      </c>
      <c r="C8" t="s">
        <v>225</v>
      </c>
      <c r="D8">
        <v>4</v>
      </c>
      <c r="E8" t="s">
        <v>226</v>
      </c>
      <c r="G8" t="s">
        <v>227</v>
      </c>
    </row>
    <row r="9" spans="1:8" x14ac:dyDescent="0.3">
      <c r="A9" t="s">
        <v>228</v>
      </c>
      <c r="B9" t="s">
        <v>225</v>
      </c>
      <c r="D9">
        <v>5</v>
      </c>
      <c r="E9" t="s">
        <v>229</v>
      </c>
      <c r="G9" t="s">
        <v>230</v>
      </c>
    </row>
    <row r="10" spans="1:8" x14ac:dyDescent="0.3">
      <c r="A10" t="s">
        <v>231</v>
      </c>
      <c r="E10" t="s">
        <v>232</v>
      </c>
      <c r="G10" t="s">
        <v>233</v>
      </c>
    </row>
    <row r="11" spans="1:8" x14ac:dyDescent="0.3">
      <c r="A11" t="s">
        <v>234</v>
      </c>
      <c r="E11" t="s">
        <v>235</v>
      </c>
    </row>
    <row r="12" spans="1:8" x14ac:dyDescent="0.3">
      <c r="E12" t="s">
        <v>236</v>
      </c>
    </row>
    <row r="13" spans="1:8" x14ac:dyDescent="0.3">
      <c r="E13" t="s">
        <v>237</v>
      </c>
    </row>
    <row r="14" spans="1:8" x14ac:dyDescent="0.3">
      <c r="E14" t="s">
        <v>238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4"/>
  <sheetViews>
    <sheetView workbookViewId="0"/>
  </sheetViews>
  <sheetFormatPr defaultRowHeight="14.4" x14ac:dyDescent="0.3"/>
  <cols>
    <col min="1" max="1" width="18" customWidth="1"/>
    <col min="2" max="2" width="20" customWidth="1"/>
    <col min="3" max="3" width="34" customWidth="1"/>
    <col min="4" max="4" width="26" customWidth="1"/>
    <col min="5" max="5" width="13" customWidth="1"/>
    <col min="6" max="6" width="18" customWidth="1"/>
    <col min="7" max="7" width="13" customWidth="1"/>
    <col min="8" max="8" width="14" customWidth="1"/>
    <col min="9" max="9" width="13" customWidth="1"/>
    <col min="10" max="10" width="32" customWidth="1"/>
    <col min="11" max="11" width="12" customWidth="1"/>
  </cols>
  <sheetData>
    <row r="1" spans="1:11" ht="24" customHeight="1" x14ac:dyDescent="0.3">
      <c r="A1" s="3" t="s">
        <v>239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65" customHeight="1" x14ac:dyDescent="0.3">
      <c r="A2" s="2" t="s">
        <v>240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0.85" customHeight="1" x14ac:dyDescent="0.3">
      <c r="A4" s="54" t="s">
        <v>241</v>
      </c>
      <c r="B4" s="54" t="s">
        <v>242</v>
      </c>
      <c r="C4" s="54" t="s">
        <v>243</v>
      </c>
      <c r="D4" s="54" t="s">
        <v>244</v>
      </c>
      <c r="E4" s="54" t="s">
        <v>53</v>
      </c>
      <c r="F4" s="54" t="s">
        <v>245</v>
      </c>
      <c r="G4" s="54" t="s">
        <v>246</v>
      </c>
      <c r="H4" s="54" t="s">
        <v>52</v>
      </c>
      <c r="I4" s="54" t="s">
        <v>247</v>
      </c>
      <c r="J4" s="54" t="s">
        <v>248</v>
      </c>
      <c r="K4" s="54" t="s">
        <v>249</v>
      </c>
    </row>
    <row r="5" spans="1:11" x14ac:dyDescent="0.3">
      <c r="A5" s="55"/>
      <c r="B5" s="55"/>
      <c r="C5" s="55"/>
      <c r="D5" s="55"/>
      <c r="E5" s="55"/>
      <c r="F5" s="55"/>
      <c r="G5" s="58"/>
      <c r="H5" s="55" t="s">
        <v>207</v>
      </c>
      <c r="I5" s="58"/>
      <c r="J5" s="55"/>
      <c r="K5" s="55">
        <f t="shared" ref="K5:K34" ca="1" si="0">IF(AND(G5&lt;&gt;"",H5&lt;&gt;"Complete",H5&lt;&gt;"Verified"),MAX(0,TODAY()-G5),0)</f>
        <v>0</v>
      </c>
    </row>
    <row r="6" spans="1:11" x14ac:dyDescent="0.3">
      <c r="A6" s="55"/>
      <c r="B6" s="55"/>
      <c r="C6" s="55"/>
      <c r="D6" s="55"/>
      <c r="E6" s="55"/>
      <c r="F6" s="55"/>
      <c r="G6" s="58"/>
      <c r="H6" s="55" t="s">
        <v>207</v>
      </c>
      <c r="I6" s="58"/>
      <c r="J6" s="55"/>
      <c r="K6" s="55">
        <f t="shared" ca="1" si="0"/>
        <v>0</v>
      </c>
    </row>
    <row r="7" spans="1:11" x14ac:dyDescent="0.3">
      <c r="A7" s="55"/>
      <c r="B7" s="55"/>
      <c r="C7" s="55"/>
      <c r="D7" s="55"/>
      <c r="E7" s="55"/>
      <c r="F7" s="55"/>
      <c r="G7" s="58"/>
      <c r="H7" s="55" t="s">
        <v>207</v>
      </c>
      <c r="I7" s="58"/>
      <c r="J7" s="55"/>
      <c r="K7" s="55">
        <f t="shared" ca="1" si="0"/>
        <v>0</v>
      </c>
    </row>
    <row r="8" spans="1:11" x14ac:dyDescent="0.3">
      <c r="A8" s="55"/>
      <c r="B8" s="55"/>
      <c r="C8" s="55"/>
      <c r="D8" s="55"/>
      <c r="E8" s="55"/>
      <c r="F8" s="55"/>
      <c r="G8" s="58"/>
      <c r="H8" s="55" t="s">
        <v>207</v>
      </c>
      <c r="I8" s="58"/>
      <c r="J8" s="55"/>
      <c r="K8" s="55">
        <f t="shared" ca="1" si="0"/>
        <v>0</v>
      </c>
    </row>
    <row r="9" spans="1:11" x14ac:dyDescent="0.3">
      <c r="A9" s="55"/>
      <c r="B9" s="55"/>
      <c r="C9" s="55"/>
      <c r="D9" s="55"/>
      <c r="E9" s="55"/>
      <c r="F9" s="55"/>
      <c r="G9" s="58"/>
      <c r="H9" s="55" t="s">
        <v>207</v>
      </c>
      <c r="I9" s="58"/>
      <c r="J9" s="55"/>
      <c r="K9" s="55">
        <f t="shared" ca="1" si="0"/>
        <v>0</v>
      </c>
    </row>
    <row r="10" spans="1:11" x14ac:dyDescent="0.3">
      <c r="A10" s="55"/>
      <c r="B10" s="55"/>
      <c r="C10" s="55"/>
      <c r="D10" s="55"/>
      <c r="E10" s="55"/>
      <c r="F10" s="55"/>
      <c r="G10" s="58"/>
      <c r="H10" s="55" t="s">
        <v>207</v>
      </c>
      <c r="I10" s="58"/>
      <c r="J10" s="55"/>
      <c r="K10" s="55">
        <f t="shared" ca="1" si="0"/>
        <v>0</v>
      </c>
    </row>
    <row r="11" spans="1:11" x14ac:dyDescent="0.3">
      <c r="A11" s="55"/>
      <c r="B11" s="55"/>
      <c r="C11" s="55"/>
      <c r="D11" s="55"/>
      <c r="E11" s="55"/>
      <c r="F11" s="55"/>
      <c r="G11" s="58"/>
      <c r="H11" s="55" t="s">
        <v>207</v>
      </c>
      <c r="I11" s="58"/>
      <c r="J11" s="55"/>
      <c r="K11" s="55">
        <f t="shared" ca="1" si="0"/>
        <v>0</v>
      </c>
    </row>
    <row r="12" spans="1:11" x14ac:dyDescent="0.3">
      <c r="A12" s="55"/>
      <c r="B12" s="55"/>
      <c r="C12" s="55"/>
      <c r="D12" s="55"/>
      <c r="E12" s="55"/>
      <c r="F12" s="55"/>
      <c r="G12" s="58"/>
      <c r="H12" s="55" t="s">
        <v>207</v>
      </c>
      <c r="I12" s="58"/>
      <c r="J12" s="55"/>
      <c r="K12" s="55">
        <f t="shared" ca="1" si="0"/>
        <v>0</v>
      </c>
    </row>
    <row r="13" spans="1:11" x14ac:dyDescent="0.3">
      <c r="A13" s="55"/>
      <c r="B13" s="55"/>
      <c r="C13" s="55"/>
      <c r="D13" s="55"/>
      <c r="E13" s="55"/>
      <c r="F13" s="55"/>
      <c r="G13" s="58"/>
      <c r="H13" s="55" t="s">
        <v>207</v>
      </c>
      <c r="I13" s="58"/>
      <c r="J13" s="55"/>
      <c r="K13" s="55">
        <f t="shared" ca="1" si="0"/>
        <v>0</v>
      </c>
    </row>
    <row r="14" spans="1:11" x14ac:dyDescent="0.3">
      <c r="A14" s="55"/>
      <c r="B14" s="55"/>
      <c r="C14" s="55"/>
      <c r="D14" s="55"/>
      <c r="E14" s="55"/>
      <c r="F14" s="55"/>
      <c r="G14" s="58"/>
      <c r="H14" s="55" t="s">
        <v>207</v>
      </c>
      <c r="I14" s="58"/>
      <c r="J14" s="55"/>
      <c r="K14" s="55">
        <f t="shared" ca="1" si="0"/>
        <v>0</v>
      </c>
    </row>
    <row r="15" spans="1:11" x14ac:dyDescent="0.3">
      <c r="A15" s="55"/>
      <c r="B15" s="55"/>
      <c r="C15" s="55"/>
      <c r="D15" s="55"/>
      <c r="E15" s="55"/>
      <c r="F15" s="55"/>
      <c r="G15" s="58"/>
      <c r="H15" s="55" t="s">
        <v>207</v>
      </c>
      <c r="I15" s="58"/>
      <c r="J15" s="55"/>
      <c r="K15" s="55">
        <f t="shared" ca="1" si="0"/>
        <v>0</v>
      </c>
    </row>
    <row r="16" spans="1:11" x14ac:dyDescent="0.3">
      <c r="A16" s="55"/>
      <c r="B16" s="55"/>
      <c r="C16" s="55"/>
      <c r="D16" s="55"/>
      <c r="E16" s="55"/>
      <c r="F16" s="55"/>
      <c r="G16" s="58"/>
      <c r="H16" s="55" t="s">
        <v>207</v>
      </c>
      <c r="I16" s="58"/>
      <c r="J16" s="55"/>
      <c r="K16" s="55">
        <f t="shared" ca="1" si="0"/>
        <v>0</v>
      </c>
    </row>
    <row r="17" spans="1:11" x14ac:dyDescent="0.3">
      <c r="A17" s="55"/>
      <c r="B17" s="55"/>
      <c r="C17" s="55"/>
      <c r="D17" s="55"/>
      <c r="E17" s="55"/>
      <c r="F17" s="55"/>
      <c r="G17" s="58"/>
      <c r="H17" s="55" t="s">
        <v>207</v>
      </c>
      <c r="I17" s="58"/>
      <c r="J17" s="55"/>
      <c r="K17" s="55">
        <f t="shared" ca="1" si="0"/>
        <v>0</v>
      </c>
    </row>
    <row r="18" spans="1:11" x14ac:dyDescent="0.3">
      <c r="A18" s="55"/>
      <c r="B18" s="55"/>
      <c r="C18" s="55"/>
      <c r="D18" s="55"/>
      <c r="E18" s="55"/>
      <c r="F18" s="55"/>
      <c r="G18" s="58"/>
      <c r="H18" s="55" t="s">
        <v>207</v>
      </c>
      <c r="I18" s="58"/>
      <c r="J18" s="55"/>
      <c r="K18" s="55">
        <f t="shared" ca="1" si="0"/>
        <v>0</v>
      </c>
    </row>
    <row r="19" spans="1:11" x14ac:dyDescent="0.3">
      <c r="A19" s="55"/>
      <c r="B19" s="55"/>
      <c r="C19" s="55"/>
      <c r="D19" s="55"/>
      <c r="E19" s="55"/>
      <c r="F19" s="55"/>
      <c r="G19" s="58"/>
      <c r="H19" s="55" t="s">
        <v>207</v>
      </c>
      <c r="I19" s="58"/>
      <c r="J19" s="55"/>
      <c r="K19" s="55">
        <f t="shared" ca="1" si="0"/>
        <v>0</v>
      </c>
    </row>
    <row r="20" spans="1:11" x14ac:dyDescent="0.3">
      <c r="A20" s="55"/>
      <c r="B20" s="55"/>
      <c r="C20" s="55"/>
      <c r="D20" s="55"/>
      <c r="E20" s="55"/>
      <c r="F20" s="55"/>
      <c r="G20" s="58"/>
      <c r="H20" s="55" t="s">
        <v>207</v>
      </c>
      <c r="I20" s="58"/>
      <c r="J20" s="55"/>
      <c r="K20" s="55">
        <f t="shared" ca="1" si="0"/>
        <v>0</v>
      </c>
    </row>
    <row r="21" spans="1:11" x14ac:dyDescent="0.3">
      <c r="A21" s="55"/>
      <c r="B21" s="55"/>
      <c r="C21" s="55"/>
      <c r="D21" s="55"/>
      <c r="E21" s="55"/>
      <c r="F21" s="55"/>
      <c r="G21" s="58"/>
      <c r="H21" s="55" t="s">
        <v>207</v>
      </c>
      <c r="I21" s="58"/>
      <c r="J21" s="55"/>
      <c r="K21" s="55">
        <f t="shared" ca="1" si="0"/>
        <v>0</v>
      </c>
    </row>
    <row r="22" spans="1:11" x14ac:dyDescent="0.3">
      <c r="A22" s="55"/>
      <c r="B22" s="55"/>
      <c r="C22" s="55"/>
      <c r="D22" s="55"/>
      <c r="E22" s="55"/>
      <c r="F22" s="55"/>
      <c r="G22" s="58"/>
      <c r="H22" s="55" t="s">
        <v>207</v>
      </c>
      <c r="I22" s="58"/>
      <c r="J22" s="55"/>
      <c r="K22" s="55">
        <f t="shared" ca="1" si="0"/>
        <v>0</v>
      </c>
    </row>
    <row r="23" spans="1:11" x14ac:dyDescent="0.3">
      <c r="A23" s="55"/>
      <c r="B23" s="55"/>
      <c r="C23" s="55"/>
      <c r="D23" s="55"/>
      <c r="E23" s="55"/>
      <c r="F23" s="55"/>
      <c r="G23" s="58"/>
      <c r="H23" s="55" t="s">
        <v>207</v>
      </c>
      <c r="I23" s="58"/>
      <c r="J23" s="55"/>
      <c r="K23" s="55">
        <f t="shared" ca="1" si="0"/>
        <v>0</v>
      </c>
    </row>
    <row r="24" spans="1:11" x14ac:dyDescent="0.3">
      <c r="A24" s="55"/>
      <c r="B24" s="55"/>
      <c r="C24" s="55"/>
      <c r="D24" s="55"/>
      <c r="E24" s="55"/>
      <c r="F24" s="55"/>
      <c r="G24" s="58"/>
      <c r="H24" s="55" t="s">
        <v>207</v>
      </c>
      <c r="I24" s="58"/>
      <c r="J24" s="55"/>
      <c r="K24" s="55">
        <f t="shared" ca="1" si="0"/>
        <v>0</v>
      </c>
    </row>
    <row r="25" spans="1:11" x14ac:dyDescent="0.3">
      <c r="A25" s="55"/>
      <c r="B25" s="55"/>
      <c r="C25" s="55"/>
      <c r="D25" s="55"/>
      <c r="E25" s="55"/>
      <c r="F25" s="55"/>
      <c r="G25" s="58"/>
      <c r="H25" s="55" t="s">
        <v>207</v>
      </c>
      <c r="I25" s="58"/>
      <c r="J25" s="55"/>
      <c r="K25" s="55">
        <f t="shared" ca="1" si="0"/>
        <v>0</v>
      </c>
    </row>
    <row r="26" spans="1:11" x14ac:dyDescent="0.3">
      <c r="A26" s="55"/>
      <c r="B26" s="55"/>
      <c r="C26" s="55"/>
      <c r="D26" s="55"/>
      <c r="E26" s="55"/>
      <c r="F26" s="55"/>
      <c r="G26" s="58"/>
      <c r="H26" s="55" t="s">
        <v>207</v>
      </c>
      <c r="I26" s="58"/>
      <c r="J26" s="55"/>
      <c r="K26" s="55">
        <f t="shared" ca="1" si="0"/>
        <v>0</v>
      </c>
    </row>
    <row r="27" spans="1:11" x14ac:dyDescent="0.3">
      <c r="A27" s="55"/>
      <c r="B27" s="55"/>
      <c r="C27" s="55"/>
      <c r="D27" s="55"/>
      <c r="E27" s="55"/>
      <c r="F27" s="55"/>
      <c r="G27" s="58"/>
      <c r="H27" s="55" t="s">
        <v>207</v>
      </c>
      <c r="I27" s="58"/>
      <c r="J27" s="55"/>
      <c r="K27" s="55">
        <f t="shared" ca="1" si="0"/>
        <v>0</v>
      </c>
    </row>
    <row r="28" spans="1:11" x14ac:dyDescent="0.3">
      <c r="A28" s="55"/>
      <c r="B28" s="55"/>
      <c r="C28" s="55"/>
      <c r="D28" s="55"/>
      <c r="E28" s="55"/>
      <c r="F28" s="55"/>
      <c r="G28" s="58"/>
      <c r="H28" s="55" t="s">
        <v>207</v>
      </c>
      <c r="I28" s="58"/>
      <c r="J28" s="55"/>
      <c r="K28" s="55">
        <f t="shared" ca="1" si="0"/>
        <v>0</v>
      </c>
    </row>
    <row r="29" spans="1:11" x14ac:dyDescent="0.3">
      <c r="A29" s="55"/>
      <c r="B29" s="55"/>
      <c r="C29" s="55"/>
      <c r="D29" s="55"/>
      <c r="E29" s="55"/>
      <c r="F29" s="55"/>
      <c r="G29" s="58"/>
      <c r="H29" s="55" t="s">
        <v>207</v>
      </c>
      <c r="I29" s="58"/>
      <c r="J29" s="55"/>
      <c r="K29" s="55">
        <f t="shared" ca="1" si="0"/>
        <v>0</v>
      </c>
    </row>
    <row r="30" spans="1:11" x14ac:dyDescent="0.3">
      <c r="A30" s="55"/>
      <c r="B30" s="55"/>
      <c r="C30" s="55"/>
      <c r="D30" s="55"/>
      <c r="E30" s="55"/>
      <c r="F30" s="55"/>
      <c r="G30" s="58"/>
      <c r="H30" s="55" t="s">
        <v>207</v>
      </c>
      <c r="I30" s="58"/>
      <c r="J30" s="55"/>
      <c r="K30" s="55">
        <f t="shared" ca="1" si="0"/>
        <v>0</v>
      </c>
    </row>
    <row r="31" spans="1:11" x14ac:dyDescent="0.3">
      <c r="A31" s="55"/>
      <c r="B31" s="55"/>
      <c r="C31" s="55"/>
      <c r="D31" s="55"/>
      <c r="E31" s="55"/>
      <c r="F31" s="55"/>
      <c r="G31" s="58"/>
      <c r="H31" s="55" t="s">
        <v>207</v>
      </c>
      <c r="I31" s="58"/>
      <c r="J31" s="55"/>
      <c r="K31" s="55">
        <f t="shared" ca="1" si="0"/>
        <v>0</v>
      </c>
    </row>
    <row r="32" spans="1:11" x14ac:dyDescent="0.3">
      <c r="A32" s="55"/>
      <c r="B32" s="55"/>
      <c r="C32" s="55"/>
      <c r="D32" s="55"/>
      <c r="E32" s="55"/>
      <c r="F32" s="55"/>
      <c r="G32" s="58"/>
      <c r="H32" s="55" t="s">
        <v>207</v>
      </c>
      <c r="I32" s="58"/>
      <c r="J32" s="55"/>
      <c r="K32" s="55">
        <f t="shared" ca="1" si="0"/>
        <v>0</v>
      </c>
    </row>
    <row r="33" spans="1:11" x14ac:dyDescent="0.3">
      <c r="A33" s="55"/>
      <c r="B33" s="55"/>
      <c r="C33" s="55"/>
      <c r="D33" s="55"/>
      <c r="E33" s="55"/>
      <c r="F33" s="55"/>
      <c r="G33" s="58"/>
      <c r="H33" s="55" t="s">
        <v>207</v>
      </c>
      <c r="I33" s="58"/>
      <c r="J33" s="55"/>
      <c r="K33" s="55">
        <f t="shared" ca="1" si="0"/>
        <v>0</v>
      </c>
    </row>
    <row r="34" spans="1:11" x14ac:dyDescent="0.3">
      <c r="A34" s="55"/>
      <c r="B34" s="55"/>
      <c r="C34" s="55"/>
      <c r="D34" s="55"/>
      <c r="E34" s="55"/>
      <c r="F34" s="55"/>
      <c r="G34" s="58"/>
      <c r="H34" s="55" t="s">
        <v>207</v>
      </c>
      <c r="I34" s="58"/>
      <c r="J34" s="55"/>
      <c r="K34" s="55">
        <f t="shared" ca="1" si="0"/>
        <v>0</v>
      </c>
    </row>
  </sheetData>
  <mergeCells count="2">
    <mergeCell ref="A1:K1"/>
    <mergeCell ref="A2:K2"/>
  </mergeCells>
  <conditionalFormatting sqref="K5:K34">
    <cfRule type="cellIs" dxfId="1" priority="5" operator="greaterThan">
      <formula>0</formula>
    </cfRule>
  </conditionalFormatting>
  <dataValidations count="2">
    <dataValidation type="list" sqref="E5:E34" xr:uid="{00000000-0002-0000-0800-000000000000}">
      <formula1>"Critical,High,Medium,Low,Monitor"</formula1>
    </dataValidation>
    <dataValidation type="list" sqref="H5:H34" xr:uid="{00000000-0002-0000-0800-000001000000}">
      <formula1>"Open,In Progress,Complete,Overdue,Deferred,Cancelled,Verified"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workbookViewId="0"/>
  </sheetViews>
  <sheetFormatPr defaultRowHeight="14.4" x14ac:dyDescent="0.3"/>
  <cols>
    <col min="1" max="1" width="7.21875" customWidth="1"/>
    <col min="2" max="2" width="13.21875" customWidth="1"/>
    <col min="3" max="3" width="14.33203125" customWidth="1"/>
    <col min="4" max="4" width="10.21875" customWidth="1"/>
    <col min="5" max="5" width="9.88671875" customWidth="1"/>
    <col min="6" max="6" width="9.44140625" customWidth="1"/>
    <col min="7" max="7" width="9.6640625" customWidth="1"/>
    <col min="8" max="8" width="11.33203125" customWidth="1"/>
    <col min="9" max="9" width="12.44140625" customWidth="1"/>
    <col min="10" max="10" width="7.33203125" customWidth="1"/>
    <col min="11" max="11" width="14.109375" customWidth="1"/>
    <col min="12" max="12" width="7.109375" customWidth="1"/>
    <col min="13" max="13" width="17.109375" customWidth="1"/>
  </cols>
  <sheetData>
    <row r="1" spans="1:13" ht="24" customHeight="1" x14ac:dyDescent="0.3">
      <c r="A1" s="3" t="s">
        <v>250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5.65" customHeight="1" x14ac:dyDescent="0.3">
      <c r="A2" s="2" t="s">
        <v>251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20.85" customHeight="1" x14ac:dyDescent="0.3">
      <c r="A4" s="54" t="s">
        <v>252</v>
      </c>
      <c r="B4" s="54" t="s">
        <v>253</v>
      </c>
      <c r="C4" s="54" t="s">
        <v>254</v>
      </c>
      <c r="D4" s="54" t="s">
        <v>255</v>
      </c>
      <c r="E4" s="54" t="s">
        <v>256</v>
      </c>
      <c r="F4" s="54" t="s">
        <v>257</v>
      </c>
      <c r="G4" s="54" t="s">
        <v>204</v>
      </c>
      <c r="H4" s="54" t="s">
        <v>49</v>
      </c>
      <c r="I4" s="54" t="s">
        <v>258</v>
      </c>
      <c r="J4" s="54" t="s">
        <v>52</v>
      </c>
      <c r="K4" s="54" t="s">
        <v>259</v>
      </c>
      <c r="L4" s="54" t="s">
        <v>260</v>
      </c>
      <c r="M4" s="54" t="s">
        <v>261</v>
      </c>
    </row>
    <row r="5" spans="1:13" ht="28.8" x14ac:dyDescent="0.3">
      <c r="A5" s="55" t="s">
        <v>262</v>
      </c>
      <c r="B5" s="55"/>
      <c r="C5" s="55"/>
      <c r="D5" s="55" t="s">
        <v>263</v>
      </c>
      <c r="E5" s="58"/>
      <c r="F5" s="58" t="str">
        <f t="shared" ref="F5:F34" si="0">IF(E5="","",E5+IF(D5="D",1,IF(D5="W",7,IF(D5="M",30,IF(D5="Q",91,IF(D5="A",365,IF(D5="6M",182,30)))))))</f>
        <v/>
      </c>
      <c r="G5" s="55"/>
      <c r="H5" s="55"/>
      <c r="I5" s="55"/>
      <c r="J5" s="55" t="s">
        <v>207</v>
      </c>
      <c r="K5" s="55"/>
      <c r="L5" s="55"/>
      <c r="M5" s="55"/>
    </row>
    <row r="6" spans="1:13" ht="28.8" x14ac:dyDescent="0.3">
      <c r="A6" s="55" t="s">
        <v>264</v>
      </c>
      <c r="B6" s="55"/>
      <c r="C6" s="55"/>
      <c r="D6" s="55"/>
      <c r="E6" s="58"/>
      <c r="F6" s="58" t="str">
        <f t="shared" si="0"/>
        <v/>
      </c>
      <c r="G6" s="55"/>
      <c r="H6" s="55"/>
      <c r="I6" s="55"/>
      <c r="J6" s="55" t="s">
        <v>207</v>
      </c>
      <c r="K6" s="55"/>
      <c r="L6" s="55"/>
      <c r="M6" s="55"/>
    </row>
    <row r="7" spans="1:13" ht="28.8" x14ac:dyDescent="0.3">
      <c r="A7" s="55" t="s">
        <v>265</v>
      </c>
      <c r="B7" s="55"/>
      <c r="C7" s="55"/>
      <c r="D7" s="55"/>
      <c r="E7" s="58"/>
      <c r="F7" s="58" t="str">
        <f t="shared" si="0"/>
        <v/>
      </c>
      <c r="G7" s="55"/>
      <c r="H7" s="55"/>
      <c r="I7" s="55"/>
      <c r="J7" s="55" t="s">
        <v>207</v>
      </c>
      <c r="K7" s="55"/>
      <c r="L7" s="55"/>
      <c r="M7" s="55"/>
    </row>
    <row r="8" spans="1:13" ht="28.8" x14ac:dyDescent="0.3">
      <c r="A8" s="55" t="s">
        <v>266</v>
      </c>
      <c r="B8" s="55"/>
      <c r="C8" s="55"/>
      <c r="D8" s="55"/>
      <c r="E8" s="58"/>
      <c r="F8" s="58" t="str">
        <f t="shared" si="0"/>
        <v/>
      </c>
      <c r="G8" s="55"/>
      <c r="H8" s="55"/>
      <c r="I8" s="55"/>
      <c r="J8" s="55" t="s">
        <v>207</v>
      </c>
      <c r="K8" s="55"/>
      <c r="L8" s="55"/>
      <c r="M8" s="55"/>
    </row>
    <row r="9" spans="1:13" ht="28.8" x14ac:dyDescent="0.3">
      <c r="A9" s="55" t="s">
        <v>267</v>
      </c>
      <c r="B9" s="55"/>
      <c r="C9" s="55"/>
      <c r="D9" s="55"/>
      <c r="E9" s="58"/>
      <c r="F9" s="58" t="str">
        <f t="shared" si="0"/>
        <v/>
      </c>
      <c r="G9" s="55"/>
      <c r="H9" s="55"/>
      <c r="I9" s="55"/>
      <c r="J9" s="55" t="s">
        <v>207</v>
      </c>
      <c r="K9" s="55"/>
      <c r="L9" s="55"/>
      <c r="M9" s="55"/>
    </row>
    <row r="10" spans="1:13" ht="28.8" x14ac:dyDescent="0.3">
      <c r="A10" s="55" t="s">
        <v>268</v>
      </c>
      <c r="B10" s="55"/>
      <c r="C10" s="55"/>
      <c r="D10" s="55"/>
      <c r="E10" s="58"/>
      <c r="F10" s="58" t="str">
        <f t="shared" si="0"/>
        <v/>
      </c>
      <c r="G10" s="55"/>
      <c r="H10" s="55"/>
      <c r="I10" s="55"/>
      <c r="J10" s="55" t="s">
        <v>207</v>
      </c>
      <c r="K10" s="55"/>
      <c r="L10" s="55"/>
      <c r="M10" s="55"/>
    </row>
    <row r="11" spans="1:13" ht="28.8" x14ac:dyDescent="0.3">
      <c r="A11" s="55" t="s">
        <v>269</v>
      </c>
      <c r="B11" s="55"/>
      <c r="C11" s="55"/>
      <c r="D11" s="55"/>
      <c r="E11" s="58"/>
      <c r="F11" s="58" t="str">
        <f t="shared" si="0"/>
        <v/>
      </c>
      <c r="G11" s="55"/>
      <c r="H11" s="55"/>
      <c r="I11" s="55"/>
      <c r="J11" s="55" t="s">
        <v>207</v>
      </c>
      <c r="K11" s="55"/>
      <c r="L11" s="55"/>
      <c r="M11" s="55"/>
    </row>
    <row r="12" spans="1:13" ht="28.8" x14ac:dyDescent="0.3">
      <c r="A12" s="55" t="s">
        <v>270</v>
      </c>
      <c r="B12" s="55"/>
      <c r="C12" s="55"/>
      <c r="D12" s="55"/>
      <c r="E12" s="58"/>
      <c r="F12" s="58" t="str">
        <f t="shared" si="0"/>
        <v/>
      </c>
      <c r="G12" s="55"/>
      <c r="H12" s="55"/>
      <c r="I12" s="55"/>
      <c r="J12" s="55" t="s">
        <v>207</v>
      </c>
      <c r="K12" s="55"/>
      <c r="L12" s="55"/>
      <c r="M12" s="55"/>
    </row>
    <row r="13" spans="1:13" ht="28.8" x14ac:dyDescent="0.3">
      <c r="A13" s="55" t="s">
        <v>271</v>
      </c>
      <c r="B13" s="55"/>
      <c r="C13" s="55"/>
      <c r="D13" s="55"/>
      <c r="E13" s="58"/>
      <c r="F13" s="58" t="str">
        <f t="shared" si="0"/>
        <v/>
      </c>
      <c r="G13" s="55"/>
      <c r="H13" s="55"/>
      <c r="I13" s="55"/>
      <c r="J13" s="55" t="s">
        <v>207</v>
      </c>
      <c r="K13" s="55"/>
      <c r="L13" s="55"/>
      <c r="M13" s="55"/>
    </row>
    <row r="14" spans="1:13" ht="28.8" x14ac:dyDescent="0.3">
      <c r="A14" s="55" t="s">
        <v>272</v>
      </c>
      <c r="B14" s="55"/>
      <c r="C14" s="55"/>
      <c r="D14" s="55"/>
      <c r="E14" s="58"/>
      <c r="F14" s="58" t="str">
        <f t="shared" si="0"/>
        <v/>
      </c>
      <c r="G14" s="55"/>
      <c r="H14" s="55"/>
      <c r="I14" s="55"/>
      <c r="J14" s="55" t="s">
        <v>207</v>
      </c>
      <c r="K14" s="55"/>
      <c r="L14" s="55"/>
      <c r="M14" s="55"/>
    </row>
    <row r="15" spans="1:13" ht="28.8" x14ac:dyDescent="0.3">
      <c r="A15" s="55" t="s">
        <v>273</v>
      </c>
      <c r="B15" s="55"/>
      <c r="C15" s="55"/>
      <c r="D15" s="55"/>
      <c r="E15" s="58"/>
      <c r="F15" s="58" t="str">
        <f t="shared" si="0"/>
        <v/>
      </c>
      <c r="G15" s="55"/>
      <c r="H15" s="55"/>
      <c r="I15" s="55"/>
      <c r="J15" s="55" t="s">
        <v>207</v>
      </c>
      <c r="K15" s="55"/>
      <c r="L15" s="55"/>
      <c r="M15" s="55"/>
    </row>
    <row r="16" spans="1:13" ht="28.8" x14ac:dyDescent="0.3">
      <c r="A16" s="55" t="s">
        <v>274</v>
      </c>
      <c r="B16" s="55"/>
      <c r="C16" s="55"/>
      <c r="D16" s="55"/>
      <c r="E16" s="58"/>
      <c r="F16" s="58" t="str">
        <f t="shared" si="0"/>
        <v/>
      </c>
      <c r="G16" s="55"/>
      <c r="H16" s="55"/>
      <c r="I16" s="55"/>
      <c r="J16" s="55" t="s">
        <v>207</v>
      </c>
      <c r="K16" s="55"/>
      <c r="L16" s="55"/>
      <c r="M16" s="55"/>
    </row>
    <row r="17" spans="1:13" ht="28.8" x14ac:dyDescent="0.3">
      <c r="A17" s="55" t="s">
        <v>275</v>
      </c>
      <c r="B17" s="55"/>
      <c r="C17" s="55"/>
      <c r="D17" s="55"/>
      <c r="E17" s="58"/>
      <c r="F17" s="58" t="str">
        <f t="shared" si="0"/>
        <v/>
      </c>
      <c r="G17" s="55"/>
      <c r="H17" s="55"/>
      <c r="I17" s="55"/>
      <c r="J17" s="55" t="s">
        <v>207</v>
      </c>
      <c r="K17" s="55"/>
      <c r="L17" s="55"/>
      <c r="M17" s="55"/>
    </row>
    <row r="18" spans="1:13" ht="28.8" x14ac:dyDescent="0.3">
      <c r="A18" s="55" t="s">
        <v>276</v>
      </c>
      <c r="B18" s="55"/>
      <c r="C18" s="55"/>
      <c r="D18" s="55"/>
      <c r="E18" s="58"/>
      <c r="F18" s="58" t="str">
        <f t="shared" si="0"/>
        <v/>
      </c>
      <c r="G18" s="55"/>
      <c r="H18" s="55"/>
      <c r="I18" s="55"/>
      <c r="J18" s="55" t="s">
        <v>207</v>
      </c>
      <c r="K18" s="55"/>
      <c r="L18" s="55"/>
      <c r="M18" s="55"/>
    </row>
    <row r="19" spans="1:13" ht="28.8" x14ac:dyDescent="0.3">
      <c r="A19" s="55" t="s">
        <v>277</v>
      </c>
      <c r="B19" s="55"/>
      <c r="C19" s="55"/>
      <c r="D19" s="55"/>
      <c r="E19" s="58"/>
      <c r="F19" s="58" t="str">
        <f t="shared" si="0"/>
        <v/>
      </c>
      <c r="G19" s="55"/>
      <c r="H19" s="55"/>
      <c r="I19" s="55"/>
      <c r="J19" s="55" t="s">
        <v>207</v>
      </c>
      <c r="K19" s="55"/>
      <c r="L19" s="55"/>
      <c r="M19" s="55"/>
    </row>
    <row r="20" spans="1:13" ht="28.8" x14ac:dyDescent="0.3">
      <c r="A20" s="55" t="s">
        <v>278</v>
      </c>
      <c r="B20" s="55"/>
      <c r="C20" s="55"/>
      <c r="D20" s="55"/>
      <c r="E20" s="58"/>
      <c r="F20" s="58" t="str">
        <f t="shared" si="0"/>
        <v/>
      </c>
      <c r="G20" s="55"/>
      <c r="H20" s="55"/>
      <c r="I20" s="55"/>
      <c r="J20" s="55" t="s">
        <v>207</v>
      </c>
      <c r="K20" s="55"/>
      <c r="L20" s="55"/>
      <c r="M20" s="55"/>
    </row>
    <row r="21" spans="1:13" ht="28.8" x14ac:dyDescent="0.3">
      <c r="A21" s="55" t="s">
        <v>279</v>
      </c>
      <c r="B21" s="55"/>
      <c r="C21" s="55"/>
      <c r="D21" s="55"/>
      <c r="E21" s="58"/>
      <c r="F21" s="58" t="str">
        <f t="shared" si="0"/>
        <v/>
      </c>
      <c r="G21" s="55"/>
      <c r="H21" s="55"/>
      <c r="I21" s="55"/>
      <c r="J21" s="55" t="s">
        <v>207</v>
      </c>
      <c r="K21" s="55"/>
      <c r="L21" s="55"/>
      <c r="M21" s="55"/>
    </row>
    <row r="22" spans="1:13" ht="28.8" x14ac:dyDescent="0.3">
      <c r="A22" s="55" t="s">
        <v>280</v>
      </c>
      <c r="B22" s="55"/>
      <c r="C22" s="55"/>
      <c r="D22" s="55"/>
      <c r="E22" s="58"/>
      <c r="F22" s="58" t="str">
        <f t="shared" si="0"/>
        <v/>
      </c>
      <c r="G22" s="55"/>
      <c r="H22" s="55"/>
      <c r="I22" s="55"/>
      <c r="J22" s="55" t="s">
        <v>207</v>
      </c>
      <c r="K22" s="55"/>
      <c r="L22" s="55"/>
      <c r="M22" s="55"/>
    </row>
    <row r="23" spans="1:13" ht="28.8" x14ac:dyDescent="0.3">
      <c r="A23" s="55" t="s">
        <v>281</v>
      </c>
      <c r="B23" s="55"/>
      <c r="C23" s="55"/>
      <c r="D23" s="55"/>
      <c r="E23" s="58"/>
      <c r="F23" s="58" t="str">
        <f t="shared" si="0"/>
        <v/>
      </c>
      <c r="G23" s="55"/>
      <c r="H23" s="55"/>
      <c r="I23" s="55"/>
      <c r="J23" s="55" t="s">
        <v>207</v>
      </c>
      <c r="K23" s="55"/>
      <c r="L23" s="55"/>
      <c r="M23" s="55"/>
    </row>
    <row r="24" spans="1:13" ht="28.8" x14ac:dyDescent="0.3">
      <c r="A24" s="55" t="s">
        <v>282</v>
      </c>
      <c r="B24" s="55"/>
      <c r="C24" s="55"/>
      <c r="D24" s="55"/>
      <c r="E24" s="58"/>
      <c r="F24" s="58" t="str">
        <f t="shared" si="0"/>
        <v/>
      </c>
      <c r="G24" s="55"/>
      <c r="H24" s="55"/>
      <c r="I24" s="55"/>
      <c r="J24" s="55" t="s">
        <v>207</v>
      </c>
      <c r="K24" s="55"/>
      <c r="L24" s="55"/>
      <c r="M24" s="55"/>
    </row>
    <row r="25" spans="1:13" ht="28.8" x14ac:dyDescent="0.3">
      <c r="A25" s="55" t="s">
        <v>283</v>
      </c>
      <c r="B25" s="55"/>
      <c r="C25" s="55"/>
      <c r="D25" s="55"/>
      <c r="E25" s="58"/>
      <c r="F25" s="58" t="str">
        <f t="shared" si="0"/>
        <v/>
      </c>
      <c r="G25" s="55"/>
      <c r="H25" s="55"/>
      <c r="I25" s="55"/>
      <c r="J25" s="55" t="s">
        <v>207</v>
      </c>
      <c r="K25" s="55"/>
      <c r="L25" s="55"/>
      <c r="M25" s="55"/>
    </row>
    <row r="26" spans="1:13" ht="28.8" x14ac:dyDescent="0.3">
      <c r="A26" s="55" t="s">
        <v>284</v>
      </c>
      <c r="B26" s="55"/>
      <c r="C26" s="55"/>
      <c r="D26" s="55"/>
      <c r="E26" s="58"/>
      <c r="F26" s="58" t="str">
        <f t="shared" si="0"/>
        <v/>
      </c>
      <c r="G26" s="55"/>
      <c r="H26" s="55"/>
      <c r="I26" s="55"/>
      <c r="J26" s="55" t="s">
        <v>207</v>
      </c>
      <c r="K26" s="55"/>
      <c r="L26" s="55"/>
      <c r="M26" s="55"/>
    </row>
    <row r="27" spans="1:13" ht="28.8" x14ac:dyDescent="0.3">
      <c r="A27" s="55" t="s">
        <v>285</v>
      </c>
      <c r="B27" s="55"/>
      <c r="C27" s="55"/>
      <c r="D27" s="55"/>
      <c r="E27" s="58"/>
      <c r="F27" s="58" t="str">
        <f t="shared" si="0"/>
        <v/>
      </c>
      <c r="G27" s="55"/>
      <c r="H27" s="55"/>
      <c r="I27" s="55"/>
      <c r="J27" s="55" t="s">
        <v>207</v>
      </c>
      <c r="K27" s="55"/>
      <c r="L27" s="55"/>
      <c r="M27" s="55"/>
    </row>
    <row r="28" spans="1:13" ht="28.8" x14ac:dyDescent="0.3">
      <c r="A28" s="55" t="s">
        <v>286</v>
      </c>
      <c r="B28" s="55"/>
      <c r="C28" s="55"/>
      <c r="D28" s="55"/>
      <c r="E28" s="58"/>
      <c r="F28" s="58" t="str">
        <f t="shared" si="0"/>
        <v/>
      </c>
      <c r="G28" s="55"/>
      <c r="H28" s="55"/>
      <c r="I28" s="55"/>
      <c r="J28" s="55" t="s">
        <v>207</v>
      </c>
      <c r="K28" s="55"/>
      <c r="L28" s="55"/>
      <c r="M28" s="55"/>
    </row>
    <row r="29" spans="1:13" ht="28.8" x14ac:dyDescent="0.3">
      <c r="A29" s="55" t="s">
        <v>287</v>
      </c>
      <c r="B29" s="55"/>
      <c r="C29" s="55"/>
      <c r="D29" s="55"/>
      <c r="E29" s="58"/>
      <c r="F29" s="58" t="str">
        <f t="shared" si="0"/>
        <v/>
      </c>
      <c r="G29" s="55"/>
      <c r="H29" s="55"/>
      <c r="I29" s="55"/>
      <c r="J29" s="55" t="s">
        <v>207</v>
      </c>
      <c r="K29" s="55"/>
      <c r="L29" s="55"/>
      <c r="M29" s="55"/>
    </row>
    <row r="30" spans="1:13" ht="28.8" x14ac:dyDescent="0.3">
      <c r="A30" s="55" t="s">
        <v>288</v>
      </c>
      <c r="B30" s="55"/>
      <c r="C30" s="55"/>
      <c r="D30" s="55"/>
      <c r="E30" s="58"/>
      <c r="F30" s="58" t="str">
        <f t="shared" si="0"/>
        <v/>
      </c>
      <c r="G30" s="55"/>
      <c r="H30" s="55"/>
      <c r="I30" s="55"/>
      <c r="J30" s="55" t="s">
        <v>207</v>
      </c>
      <c r="K30" s="55"/>
      <c r="L30" s="55"/>
      <c r="M30" s="55"/>
    </row>
    <row r="31" spans="1:13" ht="28.8" x14ac:dyDescent="0.3">
      <c r="A31" s="55" t="s">
        <v>289</v>
      </c>
      <c r="B31" s="55"/>
      <c r="C31" s="55"/>
      <c r="D31" s="55"/>
      <c r="E31" s="58"/>
      <c r="F31" s="58" t="str">
        <f t="shared" si="0"/>
        <v/>
      </c>
      <c r="G31" s="55"/>
      <c r="H31" s="55"/>
      <c r="I31" s="55"/>
      <c r="J31" s="55" t="s">
        <v>207</v>
      </c>
      <c r="K31" s="55"/>
      <c r="L31" s="55"/>
      <c r="M31" s="55"/>
    </row>
    <row r="32" spans="1:13" ht="28.8" x14ac:dyDescent="0.3">
      <c r="A32" s="55" t="s">
        <v>290</v>
      </c>
      <c r="B32" s="55"/>
      <c r="C32" s="55"/>
      <c r="D32" s="55"/>
      <c r="E32" s="58"/>
      <c r="F32" s="58" t="str">
        <f t="shared" si="0"/>
        <v/>
      </c>
      <c r="G32" s="55"/>
      <c r="H32" s="55"/>
      <c r="I32" s="55"/>
      <c r="J32" s="55" t="s">
        <v>207</v>
      </c>
      <c r="K32" s="55"/>
      <c r="L32" s="55"/>
      <c r="M32" s="55"/>
    </row>
    <row r="33" spans="1:13" ht="28.8" x14ac:dyDescent="0.3">
      <c r="A33" s="55" t="s">
        <v>291</v>
      </c>
      <c r="B33" s="55"/>
      <c r="C33" s="55"/>
      <c r="D33" s="55"/>
      <c r="E33" s="58"/>
      <c r="F33" s="58" t="str">
        <f t="shared" si="0"/>
        <v/>
      </c>
      <c r="G33" s="55"/>
      <c r="H33" s="55"/>
      <c r="I33" s="55"/>
      <c r="J33" s="55" t="s">
        <v>207</v>
      </c>
      <c r="K33" s="55"/>
      <c r="L33" s="55"/>
      <c r="M33" s="55"/>
    </row>
    <row r="34" spans="1:13" ht="28.8" x14ac:dyDescent="0.3">
      <c r="A34" s="55" t="s">
        <v>292</v>
      </c>
      <c r="B34" s="55"/>
      <c r="C34" s="55"/>
      <c r="D34" s="55"/>
      <c r="E34" s="58"/>
      <c r="F34" s="58" t="str">
        <f t="shared" si="0"/>
        <v/>
      </c>
      <c r="G34" s="55"/>
      <c r="H34" s="55"/>
      <c r="I34" s="55"/>
      <c r="J34" s="55" t="s">
        <v>207</v>
      </c>
      <c r="K34" s="55"/>
      <c r="L34" s="55"/>
      <c r="M34" s="55"/>
    </row>
  </sheetData>
  <mergeCells count="2">
    <mergeCell ref="A1:M1"/>
    <mergeCell ref="A2:M2"/>
  </mergeCells>
  <conditionalFormatting sqref="F5:F34">
    <cfRule type="cellIs" dxfId="0" priority="1" operator="lessThan">
      <formula>TODAY()</formula>
    </cfRule>
  </conditionalFormatting>
  <dataValidations count="3">
    <dataValidation type="list" sqref="D5:D34" xr:uid="{00000000-0002-0000-0900-000000000000}">
      <formula1>"D,W,M,Q,6M,A,Running Hours"</formula1>
    </dataValidation>
    <dataValidation type="list" sqref="G5:G34" xr:uid="{00000000-0002-0000-0900-000001000000}">
      <formula1>"A - Critical,B - Important,C - General"</formula1>
    </dataValidation>
    <dataValidation type="list" sqref="J5:J34" xr:uid="{00000000-0002-0000-0900-000002000000}">
      <formula1>"Open,Planned,Issued,Complete,Overdue,Deferred"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4"/>
  <sheetViews>
    <sheetView workbookViewId="0"/>
  </sheetViews>
  <sheetFormatPr defaultRowHeight="14.4" x14ac:dyDescent="0.3"/>
  <cols>
    <col min="1" max="1" width="11.77734375" customWidth="1"/>
    <col min="2" max="2" width="13.21875" customWidth="1"/>
    <col min="3" max="3" width="11" customWidth="1"/>
    <col min="4" max="4" width="8.21875" customWidth="1"/>
    <col min="5" max="5" width="11.21875" customWidth="1"/>
    <col min="6" max="6" width="10.21875" customWidth="1"/>
    <col min="7" max="7" width="9.6640625" customWidth="1"/>
    <col min="8" max="8" width="7.33203125" customWidth="1"/>
    <col min="9" max="9" width="11.33203125" customWidth="1"/>
    <col min="10" max="10" width="7.44140625" customWidth="1"/>
  </cols>
  <sheetData>
    <row r="1" spans="1:10" ht="24" customHeight="1" x14ac:dyDescent="0.3">
      <c r="A1" s="3" t="s">
        <v>293</v>
      </c>
      <c r="B1" s="3"/>
      <c r="C1" s="3"/>
      <c r="D1" s="3"/>
      <c r="E1" s="3"/>
      <c r="F1" s="3"/>
      <c r="G1" s="3"/>
      <c r="H1" s="3"/>
      <c r="I1" s="3"/>
      <c r="J1" s="3"/>
    </row>
    <row r="2" spans="1:10" ht="25.65" customHeight="1" x14ac:dyDescent="0.3">
      <c r="A2" s="2" t="s">
        <v>294</v>
      </c>
      <c r="B2" s="2"/>
      <c r="C2" s="2"/>
      <c r="D2" s="2"/>
      <c r="E2" s="2"/>
      <c r="F2" s="2"/>
      <c r="G2" s="2"/>
      <c r="H2" s="2"/>
      <c r="I2" s="2"/>
      <c r="J2" s="2"/>
    </row>
    <row r="4" spans="1:10" ht="20.85" customHeight="1" x14ac:dyDescent="0.3">
      <c r="A4" s="54" t="s">
        <v>116</v>
      </c>
      <c r="B4" s="54" t="s">
        <v>253</v>
      </c>
      <c r="C4" s="54" t="s">
        <v>46</v>
      </c>
      <c r="D4" s="54" t="s">
        <v>53</v>
      </c>
      <c r="E4" s="54" t="s">
        <v>295</v>
      </c>
      <c r="F4" s="54" t="s">
        <v>296</v>
      </c>
      <c r="G4" s="54" t="s">
        <v>297</v>
      </c>
      <c r="H4" s="54" t="s">
        <v>52</v>
      </c>
      <c r="I4" s="54" t="s">
        <v>49</v>
      </c>
      <c r="J4" s="54" t="s">
        <v>298</v>
      </c>
    </row>
    <row r="5" spans="1:10" x14ac:dyDescent="0.3">
      <c r="A5" s="55"/>
      <c r="B5" s="55"/>
      <c r="C5" s="55"/>
      <c r="D5" s="55"/>
      <c r="E5" s="58"/>
      <c r="F5" s="55" t="str">
        <f t="shared" ref="F5:F34" ca="1" si="0">IF(E5="","",TODAY()-E5)</f>
        <v/>
      </c>
      <c r="G5" s="55" t="str">
        <f t="shared" ref="G5:G34" ca="1" si="1">IF(F5="","",IF(F5&lt;=7,"0-7 days",IF(F5&lt;=30,"8-30 days",IF(F5&lt;=60,"31-60 days","60+ days"))))</f>
        <v/>
      </c>
      <c r="H5" s="55" t="s">
        <v>207</v>
      </c>
      <c r="I5" s="55"/>
      <c r="J5" s="55"/>
    </row>
    <row r="6" spans="1:10" x14ac:dyDescent="0.3">
      <c r="A6" s="55"/>
      <c r="B6" s="55"/>
      <c r="C6" s="55"/>
      <c r="D6" s="55"/>
      <c r="E6" s="58"/>
      <c r="F6" s="55" t="str">
        <f t="shared" ca="1" si="0"/>
        <v/>
      </c>
      <c r="G6" s="55" t="str">
        <f t="shared" ca="1" si="1"/>
        <v/>
      </c>
      <c r="H6" s="55" t="s">
        <v>207</v>
      </c>
      <c r="I6" s="55"/>
      <c r="J6" s="55"/>
    </row>
    <row r="7" spans="1:10" x14ac:dyDescent="0.3">
      <c r="A7" s="55"/>
      <c r="B7" s="55"/>
      <c r="C7" s="55"/>
      <c r="D7" s="55"/>
      <c r="E7" s="58"/>
      <c r="F7" s="55" t="str">
        <f t="shared" ca="1" si="0"/>
        <v/>
      </c>
      <c r="G7" s="55" t="str">
        <f t="shared" ca="1" si="1"/>
        <v/>
      </c>
      <c r="H7" s="55" t="s">
        <v>207</v>
      </c>
      <c r="I7" s="55"/>
      <c r="J7" s="55"/>
    </row>
    <row r="8" spans="1:10" x14ac:dyDescent="0.3">
      <c r="A8" s="55"/>
      <c r="B8" s="55"/>
      <c r="C8" s="55"/>
      <c r="D8" s="55"/>
      <c r="E8" s="58"/>
      <c r="F8" s="55" t="str">
        <f t="shared" ca="1" si="0"/>
        <v/>
      </c>
      <c r="G8" s="55" t="str">
        <f t="shared" ca="1" si="1"/>
        <v/>
      </c>
      <c r="H8" s="55" t="s">
        <v>207</v>
      </c>
      <c r="I8" s="55"/>
      <c r="J8" s="55"/>
    </row>
    <row r="9" spans="1:10" x14ac:dyDescent="0.3">
      <c r="A9" s="55"/>
      <c r="B9" s="55"/>
      <c r="C9" s="55"/>
      <c r="D9" s="55"/>
      <c r="E9" s="58"/>
      <c r="F9" s="55" t="str">
        <f t="shared" ca="1" si="0"/>
        <v/>
      </c>
      <c r="G9" s="55" t="str">
        <f t="shared" ca="1" si="1"/>
        <v/>
      </c>
      <c r="H9" s="55" t="s">
        <v>207</v>
      </c>
      <c r="I9" s="55"/>
      <c r="J9" s="55"/>
    </row>
    <row r="10" spans="1:10" x14ac:dyDescent="0.3">
      <c r="A10" s="55"/>
      <c r="B10" s="55"/>
      <c r="C10" s="55"/>
      <c r="D10" s="55"/>
      <c r="E10" s="58"/>
      <c r="F10" s="55" t="str">
        <f t="shared" ca="1" si="0"/>
        <v/>
      </c>
      <c r="G10" s="55" t="str">
        <f t="shared" ca="1" si="1"/>
        <v/>
      </c>
      <c r="H10" s="55" t="s">
        <v>207</v>
      </c>
      <c r="I10" s="55"/>
      <c r="J10" s="55"/>
    </row>
    <row r="11" spans="1:10" x14ac:dyDescent="0.3">
      <c r="A11" s="55"/>
      <c r="B11" s="55"/>
      <c r="C11" s="55"/>
      <c r="D11" s="55"/>
      <c r="E11" s="58"/>
      <c r="F11" s="55" t="str">
        <f t="shared" ca="1" si="0"/>
        <v/>
      </c>
      <c r="G11" s="55" t="str">
        <f t="shared" ca="1" si="1"/>
        <v/>
      </c>
      <c r="H11" s="55" t="s">
        <v>207</v>
      </c>
      <c r="I11" s="55"/>
      <c r="J11" s="55"/>
    </row>
    <row r="12" spans="1:10" x14ac:dyDescent="0.3">
      <c r="A12" s="55"/>
      <c r="B12" s="55"/>
      <c r="C12" s="55"/>
      <c r="D12" s="55"/>
      <c r="E12" s="58"/>
      <c r="F12" s="55" t="str">
        <f t="shared" ca="1" si="0"/>
        <v/>
      </c>
      <c r="G12" s="55" t="str">
        <f t="shared" ca="1" si="1"/>
        <v/>
      </c>
      <c r="H12" s="55" t="s">
        <v>207</v>
      </c>
      <c r="I12" s="55"/>
      <c r="J12" s="55"/>
    </row>
    <row r="13" spans="1:10" x14ac:dyDescent="0.3">
      <c r="A13" s="55"/>
      <c r="B13" s="55"/>
      <c r="C13" s="55"/>
      <c r="D13" s="55"/>
      <c r="E13" s="58"/>
      <c r="F13" s="55" t="str">
        <f t="shared" ca="1" si="0"/>
        <v/>
      </c>
      <c r="G13" s="55" t="str">
        <f t="shared" ca="1" si="1"/>
        <v/>
      </c>
      <c r="H13" s="55" t="s">
        <v>207</v>
      </c>
      <c r="I13" s="55"/>
      <c r="J13" s="55"/>
    </row>
    <row r="14" spans="1:10" x14ac:dyDescent="0.3">
      <c r="A14" s="55"/>
      <c r="B14" s="55"/>
      <c r="C14" s="55"/>
      <c r="D14" s="55"/>
      <c r="E14" s="58"/>
      <c r="F14" s="55" t="str">
        <f t="shared" ca="1" si="0"/>
        <v/>
      </c>
      <c r="G14" s="55" t="str">
        <f t="shared" ca="1" si="1"/>
        <v/>
      </c>
      <c r="H14" s="55" t="s">
        <v>207</v>
      </c>
      <c r="I14" s="55"/>
      <c r="J14" s="55"/>
    </row>
    <row r="15" spans="1:10" x14ac:dyDescent="0.3">
      <c r="A15" s="55"/>
      <c r="B15" s="55"/>
      <c r="C15" s="55"/>
      <c r="D15" s="55"/>
      <c r="E15" s="58"/>
      <c r="F15" s="55" t="str">
        <f t="shared" ca="1" si="0"/>
        <v/>
      </c>
      <c r="G15" s="55" t="str">
        <f t="shared" ca="1" si="1"/>
        <v/>
      </c>
      <c r="H15" s="55" t="s">
        <v>207</v>
      </c>
      <c r="I15" s="55"/>
      <c r="J15" s="55"/>
    </row>
    <row r="16" spans="1:10" x14ac:dyDescent="0.3">
      <c r="A16" s="55"/>
      <c r="B16" s="55"/>
      <c r="C16" s="55"/>
      <c r="D16" s="55"/>
      <c r="E16" s="58"/>
      <c r="F16" s="55" t="str">
        <f t="shared" ca="1" si="0"/>
        <v/>
      </c>
      <c r="G16" s="55" t="str">
        <f t="shared" ca="1" si="1"/>
        <v/>
      </c>
      <c r="H16" s="55" t="s">
        <v>207</v>
      </c>
      <c r="I16" s="55"/>
      <c r="J16" s="55"/>
    </row>
    <row r="17" spans="1:10" x14ac:dyDescent="0.3">
      <c r="A17" s="55"/>
      <c r="B17" s="55"/>
      <c r="C17" s="55"/>
      <c r="D17" s="55"/>
      <c r="E17" s="58"/>
      <c r="F17" s="55" t="str">
        <f t="shared" ca="1" si="0"/>
        <v/>
      </c>
      <c r="G17" s="55" t="str">
        <f t="shared" ca="1" si="1"/>
        <v/>
      </c>
      <c r="H17" s="55" t="s">
        <v>207</v>
      </c>
      <c r="I17" s="55"/>
      <c r="J17" s="55"/>
    </row>
    <row r="18" spans="1:10" x14ac:dyDescent="0.3">
      <c r="A18" s="55"/>
      <c r="B18" s="55"/>
      <c r="C18" s="55"/>
      <c r="D18" s="55"/>
      <c r="E18" s="58"/>
      <c r="F18" s="55" t="str">
        <f t="shared" ca="1" si="0"/>
        <v/>
      </c>
      <c r="G18" s="55" t="str">
        <f t="shared" ca="1" si="1"/>
        <v/>
      </c>
      <c r="H18" s="55" t="s">
        <v>207</v>
      </c>
      <c r="I18" s="55"/>
      <c r="J18" s="55"/>
    </row>
    <row r="19" spans="1:10" x14ac:dyDescent="0.3">
      <c r="A19" s="55"/>
      <c r="B19" s="55"/>
      <c r="C19" s="55"/>
      <c r="D19" s="55"/>
      <c r="E19" s="58"/>
      <c r="F19" s="55" t="str">
        <f t="shared" ca="1" si="0"/>
        <v/>
      </c>
      <c r="G19" s="55" t="str">
        <f t="shared" ca="1" si="1"/>
        <v/>
      </c>
      <c r="H19" s="55" t="s">
        <v>207</v>
      </c>
      <c r="I19" s="55"/>
      <c r="J19" s="55"/>
    </row>
    <row r="20" spans="1:10" x14ac:dyDescent="0.3">
      <c r="A20" s="55"/>
      <c r="B20" s="55"/>
      <c r="C20" s="55"/>
      <c r="D20" s="55"/>
      <c r="E20" s="58"/>
      <c r="F20" s="55" t="str">
        <f t="shared" ca="1" si="0"/>
        <v/>
      </c>
      <c r="G20" s="55" t="str">
        <f t="shared" ca="1" si="1"/>
        <v/>
      </c>
      <c r="H20" s="55" t="s">
        <v>207</v>
      </c>
      <c r="I20" s="55"/>
      <c r="J20" s="55"/>
    </row>
    <row r="21" spans="1:10" x14ac:dyDescent="0.3">
      <c r="A21" s="55"/>
      <c r="B21" s="55"/>
      <c r="C21" s="55"/>
      <c r="D21" s="55"/>
      <c r="E21" s="58"/>
      <c r="F21" s="55" t="str">
        <f t="shared" ca="1" si="0"/>
        <v/>
      </c>
      <c r="G21" s="55" t="str">
        <f t="shared" ca="1" si="1"/>
        <v/>
      </c>
      <c r="H21" s="55" t="s">
        <v>207</v>
      </c>
      <c r="I21" s="55"/>
      <c r="J21" s="55"/>
    </row>
    <row r="22" spans="1:10" x14ac:dyDescent="0.3">
      <c r="A22" s="55"/>
      <c r="B22" s="55"/>
      <c r="C22" s="55"/>
      <c r="D22" s="55"/>
      <c r="E22" s="58"/>
      <c r="F22" s="55" t="str">
        <f t="shared" ca="1" si="0"/>
        <v/>
      </c>
      <c r="G22" s="55" t="str">
        <f t="shared" ca="1" si="1"/>
        <v/>
      </c>
      <c r="H22" s="55" t="s">
        <v>207</v>
      </c>
      <c r="I22" s="55"/>
      <c r="J22" s="55"/>
    </row>
    <row r="23" spans="1:10" x14ac:dyDescent="0.3">
      <c r="A23" s="55"/>
      <c r="B23" s="55"/>
      <c r="C23" s="55"/>
      <c r="D23" s="55"/>
      <c r="E23" s="58"/>
      <c r="F23" s="55" t="str">
        <f t="shared" ca="1" si="0"/>
        <v/>
      </c>
      <c r="G23" s="55" t="str">
        <f t="shared" ca="1" si="1"/>
        <v/>
      </c>
      <c r="H23" s="55" t="s">
        <v>207</v>
      </c>
      <c r="I23" s="55"/>
      <c r="J23" s="55"/>
    </row>
    <row r="24" spans="1:10" x14ac:dyDescent="0.3">
      <c r="A24" s="55"/>
      <c r="B24" s="55"/>
      <c r="C24" s="55"/>
      <c r="D24" s="55"/>
      <c r="E24" s="58"/>
      <c r="F24" s="55" t="str">
        <f t="shared" ca="1" si="0"/>
        <v/>
      </c>
      <c r="G24" s="55" t="str">
        <f t="shared" ca="1" si="1"/>
        <v/>
      </c>
      <c r="H24" s="55" t="s">
        <v>207</v>
      </c>
      <c r="I24" s="55"/>
      <c r="J24" s="55"/>
    </row>
    <row r="25" spans="1:10" x14ac:dyDescent="0.3">
      <c r="A25" s="55"/>
      <c r="B25" s="55"/>
      <c r="C25" s="55"/>
      <c r="D25" s="55"/>
      <c r="E25" s="58"/>
      <c r="F25" s="55" t="str">
        <f t="shared" ca="1" si="0"/>
        <v/>
      </c>
      <c r="G25" s="55" t="str">
        <f t="shared" ca="1" si="1"/>
        <v/>
      </c>
      <c r="H25" s="55" t="s">
        <v>207</v>
      </c>
      <c r="I25" s="55"/>
      <c r="J25" s="55"/>
    </row>
    <row r="26" spans="1:10" x14ac:dyDescent="0.3">
      <c r="A26" s="55"/>
      <c r="B26" s="55"/>
      <c r="C26" s="55"/>
      <c r="D26" s="55"/>
      <c r="E26" s="58"/>
      <c r="F26" s="55" t="str">
        <f t="shared" ca="1" si="0"/>
        <v/>
      </c>
      <c r="G26" s="55" t="str">
        <f t="shared" ca="1" si="1"/>
        <v/>
      </c>
      <c r="H26" s="55" t="s">
        <v>207</v>
      </c>
      <c r="I26" s="55"/>
      <c r="J26" s="55"/>
    </row>
    <row r="27" spans="1:10" x14ac:dyDescent="0.3">
      <c r="A27" s="55"/>
      <c r="B27" s="55"/>
      <c r="C27" s="55"/>
      <c r="D27" s="55"/>
      <c r="E27" s="58"/>
      <c r="F27" s="55" t="str">
        <f t="shared" ca="1" si="0"/>
        <v/>
      </c>
      <c r="G27" s="55" t="str">
        <f t="shared" ca="1" si="1"/>
        <v/>
      </c>
      <c r="H27" s="55" t="s">
        <v>207</v>
      </c>
      <c r="I27" s="55"/>
      <c r="J27" s="55"/>
    </row>
    <row r="28" spans="1:10" x14ac:dyDescent="0.3">
      <c r="A28" s="55"/>
      <c r="B28" s="55"/>
      <c r="C28" s="55"/>
      <c r="D28" s="55"/>
      <c r="E28" s="58"/>
      <c r="F28" s="55" t="str">
        <f t="shared" ca="1" si="0"/>
        <v/>
      </c>
      <c r="G28" s="55" t="str">
        <f t="shared" ca="1" si="1"/>
        <v/>
      </c>
      <c r="H28" s="55" t="s">
        <v>207</v>
      </c>
      <c r="I28" s="55"/>
      <c r="J28" s="55"/>
    </row>
    <row r="29" spans="1:10" x14ac:dyDescent="0.3">
      <c r="A29" s="55"/>
      <c r="B29" s="55"/>
      <c r="C29" s="55"/>
      <c r="D29" s="55"/>
      <c r="E29" s="58"/>
      <c r="F29" s="55" t="str">
        <f t="shared" ca="1" si="0"/>
        <v/>
      </c>
      <c r="G29" s="55" t="str">
        <f t="shared" ca="1" si="1"/>
        <v/>
      </c>
      <c r="H29" s="55" t="s">
        <v>207</v>
      </c>
      <c r="I29" s="55"/>
      <c r="J29" s="55"/>
    </row>
    <row r="30" spans="1:10" x14ac:dyDescent="0.3">
      <c r="A30" s="55"/>
      <c r="B30" s="55"/>
      <c r="C30" s="55"/>
      <c r="D30" s="55"/>
      <c r="E30" s="58"/>
      <c r="F30" s="55" t="str">
        <f t="shared" ca="1" si="0"/>
        <v/>
      </c>
      <c r="G30" s="55" t="str">
        <f t="shared" ca="1" si="1"/>
        <v/>
      </c>
      <c r="H30" s="55" t="s">
        <v>207</v>
      </c>
      <c r="I30" s="55"/>
      <c r="J30" s="55"/>
    </row>
    <row r="31" spans="1:10" x14ac:dyDescent="0.3">
      <c r="A31" s="55"/>
      <c r="B31" s="55"/>
      <c r="C31" s="55"/>
      <c r="D31" s="55"/>
      <c r="E31" s="58"/>
      <c r="F31" s="55" t="str">
        <f t="shared" ca="1" si="0"/>
        <v/>
      </c>
      <c r="G31" s="55" t="str">
        <f t="shared" ca="1" si="1"/>
        <v/>
      </c>
      <c r="H31" s="55" t="s">
        <v>207</v>
      </c>
      <c r="I31" s="55"/>
      <c r="J31" s="55"/>
    </row>
    <row r="32" spans="1:10" x14ac:dyDescent="0.3">
      <c r="A32" s="55"/>
      <c r="B32" s="55"/>
      <c r="C32" s="55"/>
      <c r="D32" s="55"/>
      <c r="E32" s="58"/>
      <c r="F32" s="55" t="str">
        <f t="shared" ca="1" si="0"/>
        <v/>
      </c>
      <c r="G32" s="55" t="str">
        <f t="shared" ca="1" si="1"/>
        <v/>
      </c>
      <c r="H32" s="55" t="s">
        <v>207</v>
      </c>
      <c r="I32" s="55"/>
      <c r="J32" s="55"/>
    </row>
    <row r="33" spans="1:10" x14ac:dyDescent="0.3">
      <c r="A33" s="55"/>
      <c r="B33" s="55"/>
      <c r="C33" s="55"/>
      <c r="D33" s="55"/>
      <c r="E33" s="58"/>
      <c r="F33" s="55" t="str">
        <f t="shared" ca="1" si="0"/>
        <v/>
      </c>
      <c r="G33" s="55" t="str">
        <f t="shared" ca="1" si="1"/>
        <v/>
      </c>
      <c r="H33" s="55" t="s">
        <v>207</v>
      </c>
      <c r="I33" s="55"/>
      <c r="J33" s="55"/>
    </row>
    <row r="34" spans="1:10" x14ac:dyDescent="0.3">
      <c r="A34" s="55"/>
      <c r="B34" s="55"/>
      <c r="C34" s="55"/>
      <c r="D34" s="55"/>
      <c r="E34" s="58"/>
      <c r="F34" s="55" t="str">
        <f t="shared" ca="1" si="0"/>
        <v/>
      </c>
      <c r="G34" s="55" t="str">
        <f t="shared" ca="1" si="1"/>
        <v/>
      </c>
      <c r="H34" s="55" t="s">
        <v>207</v>
      </c>
      <c r="I34" s="55"/>
      <c r="J34" s="55"/>
    </row>
  </sheetData>
  <mergeCells count="2">
    <mergeCell ref="A1:J1"/>
    <mergeCell ref="A2:J2"/>
  </mergeCells>
  <dataValidations count="2">
    <dataValidation type="list" sqref="D5:D34" xr:uid="{00000000-0002-0000-0A00-000000000000}">
      <formula1>"Critical,High,Medium,Low"</formula1>
    </dataValidation>
    <dataValidation type="list" sqref="H5:H34" xr:uid="{00000000-0002-0000-0A00-000001000000}">
      <formula1>"Open,In Progress,Complete,Overdue,Deferred"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9"/>
  <sheetViews>
    <sheetView workbookViewId="0"/>
  </sheetViews>
  <sheetFormatPr defaultRowHeight="14.4" x14ac:dyDescent="0.3"/>
  <cols>
    <col min="1" max="1" width="12" customWidth="1"/>
    <col min="2" max="2" width="7.88671875" customWidth="1"/>
    <col min="3" max="3" width="14.33203125" customWidth="1"/>
    <col min="4" max="4" width="10.6640625" customWidth="1"/>
    <col min="5" max="5" width="11.44140625" customWidth="1"/>
    <col min="6" max="6" width="6.33203125" customWidth="1"/>
    <col min="7" max="7" width="7.109375" customWidth="1"/>
    <col min="8" max="8" width="11.6640625" customWidth="1"/>
    <col min="9" max="9" width="15.109375" customWidth="1"/>
    <col min="10" max="10" width="13" customWidth="1"/>
    <col min="11" max="11" width="15.44140625" customWidth="1"/>
    <col min="12" max="12" width="6.88671875" customWidth="1"/>
    <col min="13" max="13" width="7.33203125" customWidth="1"/>
    <col min="14" max="14" width="10.44140625" customWidth="1"/>
  </cols>
  <sheetData>
    <row r="1" spans="1:14" ht="24" customHeight="1" x14ac:dyDescent="0.3">
      <c r="A1" s="3" t="s">
        <v>299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5.65" customHeight="1" x14ac:dyDescent="0.3">
      <c r="A2" s="2" t="s">
        <v>300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20.85" customHeight="1" x14ac:dyDescent="0.3">
      <c r="A4" s="54" t="s">
        <v>301</v>
      </c>
      <c r="B4" s="54" t="s">
        <v>45</v>
      </c>
      <c r="C4" s="54" t="s">
        <v>254</v>
      </c>
      <c r="D4" s="54" t="s">
        <v>47</v>
      </c>
      <c r="E4" s="54" t="s">
        <v>302</v>
      </c>
      <c r="F4" s="54" t="s">
        <v>303</v>
      </c>
      <c r="G4" s="54" t="s">
        <v>304</v>
      </c>
      <c r="H4" s="54" t="s">
        <v>305</v>
      </c>
      <c r="I4" s="54" t="s">
        <v>306</v>
      </c>
      <c r="J4" s="54" t="s">
        <v>307</v>
      </c>
      <c r="K4" s="54" t="s">
        <v>308</v>
      </c>
      <c r="L4" s="54" t="s">
        <v>309</v>
      </c>
      <c r="M4" s="54" t="s">
        <v>52</v>
      </c>
      <c r="N4" s="54" t="s">
        <v>310</v>
      </c>
    </row>
    <row r="5" spans="1:14" ht="28.8" x14ac:dyDescent="0.3">
      <c r="A5" s="55" t="s">
        <v>311</v>
      </c>
      <c r="B5" s="55"/>
      <c r="C5" s="55"/>
      <c r="D5" s="55"/>
      <c r="E5" s="55"/>
      <c r="F5" s="59"/>
      <c r="G5" s="59"/>
      <c r="H5" s="55"/>
      <c r="I5" s="55" t="s">
        <v>218</v>
      </c>
      <c r="J5" s="55" t="s">
        <v>218</v>
      </c>
      <c r="K5" s="55" t="s">
        <v>218</v>
      </c>
      <c r="L5" s="55" t="s">
        <v>64</v>
      </c>
      <c r="M5" s="55" t="s">
        <v>58</v>
      </c>
      <c r="N5" s="55"/>
    </row>
    <row r="6" spans="1:14" ht="28.8" x14ac:dyDescent="0.3">
      <c r="A6" s="55" t="s">
        <v>311</v>
      </c>
      <c r="B6" s="55"/>
      <c r="C6" s="55"/>
      <c r="D6" s="55"/>
      <c r="E6" s="55"/>
      <c r="F6" s="59"/>
      <c r="G6" s="59"/>
      <c r="H6" s="55"/>
      <c r="I6" s="55" t="s">
        <v>218</v>
      </c>
      <c r="J6" s="55" t="s">
        <v>218</v>
      </c>
      <c r="K6" s="55" t="s">
        <v>218</v>
      </c>
      <c r="L6" s="55" t="s">
        <v>64</v>
      </c>
      <c r="M6" s="55" t="s">
        <v>58</v>
      </c>
      <c r="N6" s="55"/>
    </row>
    <row r="7" spans="1:14" ht="28.8" x14ac:dyDescent="0.3">
      <c r="A7" s="55" t="s">
        <v>311</v>
      </c>
      <c r="B7" s="55"/>
      <c r="C7" s="55"/>
      <c r="D7" s="55"/>
      <c r="E7" s="55"/>
      <c r="F7" s="59"/>
      <c r="G7" s="59"/>
      <c r="H7" s="55"/>
      <c r="I7" s="55" t="s">
        <v>218</v>
      </c>
      <c r="J7" s="55" t="s">
        <v>218</v>
      </c>
      <c r="K7" s="55" t="s">
        <v>218</v>
      </c>
      <c r="L7" s="55" t="s">
        <v>64</v>
      </c>
      <c r="M7" s="55" t="s">
        <v>58</v>
      </c>
      <c r="N7" s="55"/>
    </row>
    <row r="8" spans="1:14" ht="28.8" x14ac:dyDescent="0.3">
      <c r="A8" s="55" t="s">
        <v>311</v>
      </c>
      <c r="B8" s="55"/>
      <c r="C8" s="55"/>
      <c r="D8" s="55"/>
      <c r="E8" s="55"/>
      <c r="F8" s="59"/>
      <c r="G8" s="59"/>
      <c r="H8" s="55"/>
      <c r="I8" s="55" t="s">
        <v>218</v>
      </c>
      <c r="J8" s="55" t="s">
        <v>218</v>
      </c>
      <c r="K8" s="55" t="s">
        <v>218</v>
      </c>
      <c r="L8" s="55" t="s">
        <v>64</v>
      </c>
      <c r="M8" s="55" t="s">
        <v>58</v>
      </c>
      <c r="N8" s="55"/>
    </row>
    <row r="9" spans="1:14" ht="28.8" x14ac:dyDescent="0.3">
      <c r="A9" s="55" t="s">
        <v>311</v>
      </c>
      <c r="B9" s="55"/>
      <c r="C9" s="55"/>
      <c r="D9" s="55"/>
      <c r="E9" s="55"/>
      <c r="F9" s="59"/>
      <c r="G9" s="59"/>
      <c r="H9" s="55"/>
      <c r="I9" s="55" t="s">
        <v>218</v>
      </c>
      <c r="J9" s="55" t="s">
        <v>218</v>
      </c>
      <c r="K9" s="55" t="s">
        <v>218</v>
      </c>
      <c r="L9" s="55" t="s">
        <v>64</v>
      </c>
      <c r="M9" s="55" t="s">
        <v>58</v>
      </c>
      <c r="N9" s="55"/>
    </row>
    <row r="10" spans="1:14" ht="28.8" x14ac:dyDescent="0.3">
      <c r="A10" s="55" t="s">
        <v>311</v>
      </c>
      <c r="B10" s="55"/>
      <c r="C10" s="55"/>
      <c r="D10" s="55"/>
      <c r="E10" s="55"/>
      <c r="F10" s="59"/>
      <c r="G10" s="59"/>
      <c r="H10" s="55"/>
      <c r="I10" s="55" t="s">
        <v>218</v>
      </c>
      <c r="J10" s="55" t="s">
        <v>218</v>
      </c>
      <c r="K10" s="55" t="s">
        <v>218</v>
      </c>
      <c r="L10" s="55" t="s">
        <v>64</v>
      </c>
      <c r="M10" s="55" t="s">
        <v>58</v>
      </c>
      <c r="N10" s="55"/>
    </row>
    <row r="11" spans="1:14" ht="28.8" x14ac:dyDescent="0.3">
      <c r="A11" s="55" t="s">
        <v>311</v>
      </c>
      <c r="B11" s="55"/>
      <c r="C11" s="55"/>
      <c r="D11" s="55"/>
      <c r="E11" s="55"/>
      <c r="F11" s="59"/>
      <c r="G11" s="59"/>
      <c r="H11" s="55"/>
      <c r="I11" s="55" t="s">
        <v>218</v>
      </c>
      <c r="J11" s="55" t="s">
        <v>218</v>
      </c>
      <c r="K11" s="55" t="s">
        <v>218</v>
      </c>
      <c r="L11" s="55" t="s">
        <v>64</v>
      </c>
      <c r="M11" s="55" t="s">
        <v>58</v>
      </c>
      <c r="N11" s="55"/>
    </row>
    <row r="12" spans="1:14" ht="28.8" x14ac:dyDescent="0.3">
      <c r="A12" s="55" t="s">
        <v>311</v>
      </c>
      <c r="B12" s="55"/>
      <c r="C12" s="55"/>
      <c r="D12" s="55"/>
      <c r="E12" s="55"/>
      <c r="F12" s="59"/>
      <c r="G12" s="59"/>
      <c r="H12" s="55"/>
      <c r="I12" s="55" t="s">
        <v>218</v>
      </c>
      <c r="J12" s="55" t="s">
        <v>218</v>
      </c>
      <c r="K12" s="55" t="s">
        <v>218</v>
      </c>
      <c r="L12" s="55" t="s">
        <v>64</v>
      </c>
      <c r="M12" s="55" t="s">
        <v>58</v>
      </c>
      <c r="N12" s="55"/>
    </row>
    <row r="13" spans="1:14" ht="28.8" x14ac:dyDescent="0.3">
      <c r="A13" s="55" t="s">
        <v>311</v>
      </c>
      <c r="B13" s="55"/>
      <c r="C13" s="55"/>
      <c r="D13" s="55"/>
      <c r="E13" s="55"/>
      <c r="F13" s="59"/>
      <c r="G13" s="59"/>
      <c r="H13" s="55"/>
      <c r="I13" s="55" t="s">
        <v>218</v>
      </c>
      <c r="J13" s="55" t="s">
        <v>218</v>
      </c>
      <c r="K13" s="55" t="s">
        <v>218</v>
      </c>
      <c r="L13" s="55" t="s">
        <v>64</v>
      </c>
      <c r="M13" s="55" t="s">
        <v>58</v>
      </c>
      <c r="N13" s="55"/>
    </row>
    <row r="14" spans="1:14" ht="28.8" x14ac:dyDescent="0.3">
      <c r="A14" s="55" t="s">
        <v>311</v>
      </c>
      <c r="B14" s="55"/>
      <c r="C14" s="55"/>
      <c r="D14" s="55"/>
      <c r="E14" s="55"/>
      <c r="F14" s="59"/>
      <c r="G14" s="59"/>
      <c r="H14" s="55"/>
      <c r="I14" s="55" t="s">
        <v>218</v>
      </c>
      <c r="J14" s="55" t="s">
        <v>218</v>
      </c>
      <c r="K14" s="55" t="s">
        <v>218</v>
      </c>
      <c r="L14" s="55" t="s">
        <v>64</v>
      </c>
      <c r="M14" s="55" t="s">
        <v>58</v>
      </c>
      <c r="N14" s="55"/>
    </row>
    <row r="15" spans="1:14" ht="28.8" x14ac:dyDescent="0.3">
      <c r="A15" s="55" t="s">
        <v>311</v>
      </c>
      <c r="B15" s="55"/>
      <c r="C15" s="55"/>
      <c r="D15" s="55"/>
      <c r="E15" s="55"/>
      <c r="F15" s="59"/>
      <c r="G15" s="59"/>
      <c r="H15" s="55"/>
      <c r="I15" s="55" t="s">
        <v>218</v>
      </c>
      <c r="J15" s="55" t="s">
        <v>218</v>
      </c>
      <c r="K15" s="55" t="s">
        <v>218</v>
      </c>
      <c r="L15" s="55" t="s">
        <v>64</v>
      </c>
      <c r="M15" s="55" t="s">
        <v>58</v>
      </c>
      <c r="N15" s="55"/>
    </row>
    <row r="16" spans="1:14" ht="28.8" x14ac:dyDescent="0.3">
      <c r="A16" s="55" t="s">
        <v>311</v>
      </c>
      <c r="B16" s="55"/>
      <c r="C16" s="55"/>
      <c r="D16" s="55"/>
      <c r="E16" s="55"/>
      <c r="F16" s="59"/>
      <c r="G16" s="59"/>
      <c r="H16" s="55"/>
      <c r="I16" s="55" t="s">
        <v>218</v>
      </c>
      <c r="J16" s="55" t="s">
        <v>218</v>
      </c>
      <c r="K16" s="55" t="s">
        <v>218</v>
      </c>
      <c r="L16" s="55" t="s">
        <v>64</v>
      </c>
      <c r="M16" s="55" t="s">
        <v>58</v>
      </c>
      <c r="N16" s="55"/>
    </row>
    <row r="17" spans="1:14" ht="28.8" x14ac:dyDescent="0.3">
      <c r="A17" s="55" t="s">
        <v>311</v>
      </c>
      <c r="B17" s="55"/>
      <c r="C17" s="55"/>
      <c r="D17" s="55"/>
      <c r="E17" s="55"/>
      <c r="F17" s="59"/>
      <c r="G17" s="59"/>
      <c r="H17" s="55"/>
      <c r="I17" s="55" t="s">
        <v>218</v>
      </c>
      <c r="J17" s="55" t="s">
        <v>218</v>
      </c>
      <c r="K17" s="55" t="s">
        <v>218</v>
      </c>
      <c r="L17" s="55" t="s">
        <v>64</v>
      </c>
      <c r="M17" s="55" t="s">
        <v>58</v>
      </c>
      <c r="N17" s="55"/>
    </row>
    <row r="18" spans="1:14" ht="28.8" x14ac:dyDescent="0.3">
      <c r="A18" s="55" t="s">
        <v>311</v>
      </c>
      <c r="B18" s="55"/>
      <c r="C18" s="55"/>
      <c r="D18" s="55"/>
      <c r="E18" s="55"/>
      <c r="F18" s="59"/>
      <c r="G18" s="59"/>
      <c r="H18" s="55"/>
      <c r="I18" s="55" t="s">
        <v>218</v>
      </c>
      <c r="J18" s="55" t="s">
        <v>218</v>
      </c>
      <c r="K18" s="55" t="s">
        <v>218</v>
      </c>
      <c r="L18" s="55" t="s">
        <v>64</v>
      </c>
      <c r="M18" s="55" t="s">
        <v>58</v>
      </c>
      <c r="N18" s="55"/>
    </row>
    <row r="19" spans="1:14" ht="28.8" x14ac:dyDescent="0.3">
      <c r="A19" s="55" t="s">
        <v>311</v>
      </c>
      <c r="B19" s="55"/>
      <c r="C19" s="55"/>
      <c r="D19" s="55"/>
      <c r="E19" s="55"/>
      <c r="F19" s="59"/>
      <c r="G19" s="59"/>
      <c r="H19" s="55"/>
      <c r="I19" s="55" t="s">
        <v>218</v>
      </c>
      <c r="J19" s="55" t="s">
        <v>218</v>
      </c>
      <c r="K19" s="55" t="s">
        <v>218</v>
      </c>
      <c r="L19" s="55" t="s">
        <v>64</v>
      </c>
      <c r="M19" s="55" t="s">
        <v>58</v>
      </c>
      <c r="N19" s="55"/>
    </row>
    <row r="20" spans="1:14" ht="28.8" x14ac:dyDescent="0.3">
      <c r="A20" s="55" t="s">
        <v>311</v>
      </c>
      <c r="B20" s="55"/>
      <c r="C20" s="55"/>
      <c r="D20" s="55"/>
      <c r="E20" s="55"/>
      <c r="F20" s="59"/>
      <c r="G20" s="59"/>
      <c r="H20" s="55"/>
      <c r="I20" s="55" t="s">
        <v>218</v>
      </c>
      <c r="J20" s="55" t="s">
        <v>218</v>
      </c>
      <c r="K20" s="55" t="s">
        <v>218</v>
      </c>
      <c r="L20" s="55" t="s">
        <v>64</v>
      </c>
      <c r="M20" s="55" t="s">
        <v>58</v>
      </c>
      <c r="N20" s="55"/>
    </row>
    <row r="21" spans="1:14" ht="28.8" x14ac:dyDescent="0.3">
      <c r="A21" s="55" t="s">
        <v>311</v>
      </c>
      <c r="B21" s="55"/>
      <c r="C21" s="55"/>
      <c r="D21" s="55"/>
      <c r="E21" s="55"/>
      <c r="F21" s="59"/>
      <c r="G21" s="59"/>
      <c r="H21" s="55"/>
      <c r="I21" s="55" t="s">
        <v>218</v>
      </c>
      <c r="J21" s="55" t="s">
        <v>218</v>
      </c>
      <c r="K21" s="55" t="s">
        <v>218</v>
      </c>
      <c r="L21" s="55" t="s">
        <v>64</v>
      </c>
      <c r="M21" s="55" t="s">
        <v>58</v>
      </c>
      <c r="N21" s="55"/>
    </row>
    <row r="22" spans="1:14" ht="28.8" x14ac:dyDescent="0.3">
      <c r="A22" s="55" t="s">
        <v>311</v>
      </c>
      <c r="B22" s="55"/>
      <c r="C22" s="55"/>
      <c r="D22" s="55"/>
      <c r="E22" s="55"/>
      <c r="F22" s="59"/>
      <c r="G22" s="59"/>
      <c r="H22" s="55"/>
      <c r="I22" s="55" t="s">
        <v>218</v>
      </c>
      <c r="J22" s="55" t="s">
        <v>218</v>
      </c>
      <c r="K22" s="55" t="s">
        <v>218</v>
      </c>
      <c r="L22" s="55" t="s">
        <v>64</v>
      </c>
      <c r="M22" s="55" t="s">
        <v>58</v>
      </c>
      <c r="N22" s="55"/>
    </row>
    <row r="23" spans="1:14" ht="28.8" x14ac:dyDescent="0.3">
      <c r="A23" s="55" t="s">
        <v>311</v>
      </c>
      <c r="B23" s="55"/>
      <c r="C23" s="55"/>
      <c r="D23" s="55"/>
      <c r="E23" s="55"/>
      <c r="F23" s="59"/>
      <c r="G23" s="59"/>
      <c r="H23" s="55"/>
      <c r="I23" s="55" t="s">
        <v>218</v>
      </c>
      <c r="J23" s="55" t="s">
        <v>218</v>
      </c>
      <c r="K23" s="55" t="s">
        <v>218</v>
      </c>
      <c r="L23" s="55" t="s">
        <v>64</v>
      </c>
      <c r="M23" s="55" t="s">
        <v>58</v>
      </c>
      <c r="N23" s="55"/>
    </row>
    <row r="24" spans="1:14" ht="28.8" x14ac:dyDescent="0.3">
      <c r="A24" s="55" t="s">
        <v>311</v>
      </c>
      <c r="B24" s="55"/>
      <c r="C24" s="55"/>
      <c r="D24" s="55"/>
      <c r="E24" s="55"/>
      <c r="F24" s="59"/>
      <c r="G24" s="59"/>
      <c r="H24" s="55"/>
      <c r="I24" s="55" t="s">
        <v>218</v>
      </c>
      <c r="J24" s="55" t="s">
        <v>218</v>
      </c>
      <c r="K24" s="55" t="s">
        <v>218</v>
      </c>
      <c r="L24" s="55" t="s">
        <v>64</v>
      </c>
      <c r="M24" s="55" t="s">
        <v>58</v>
      </c>
      <c r="N24" s="55"/>
    </row>
    <row r="25" spans="1:14" ht="28.8" x14ac:dyDescent="0.3">
      <c r="A25" s="55" t="s">
        <v>311</v>
      </c>
      <c r="B25" s="55"/>
      <c r="C25" s="55"/>
      <c r="D25" s="55"/>
      <c r="E25" s="55"/>
      <c r="F25" s="59"/>
      <c r="G25" s="59"/>
      <c r="H25" s="55"/>
      <c r="I25" s="55" t="s">
        <v>218</v>
      </c>
      <c r="J25" s="55" t="s">
        <v>218</v>
      </c>
      <c r="K25" s="55" t="s">
        <v>218</v>
      </c>
      <c r="L25" s="55" t="s">
        <v>64</v>
      </c>
      <c r="M25" s="55" t="s">
        <v>58</v>
      </c>
      <c r="N25" s="55"/>
    </row>
    <row r="26" spans="1:14" ht="28.8" x14ac:dyDescent="0.3">
      <c r="A26" s="55" t="s">
        <v>311</v>
      </c>
      <c r="B26" s="55"/>
      <c r="C26" s="55"/>
      <c r="D26" s="55"/>
      <c r="E26" s="55"/>
      <c r="F26" s="59"/>
      <c r="G26" s="59"/>
      <c r="H26" s="55"/>
      <c r="I26" s="55" t="s">
        <v>218</v>
      </c>
      <c r="J26" s="55" t="s">
        <v>218</v>
      </c>
      <c r="K26" s="55" t="s">
        <v>218</v>
      </c>
      <c r="L26" s="55" t="s">
        <v>64</v>
      </c>
      <c r="M26" s="55" t="s">
        <v>58</v>
      </c>
      <c r="N26" s="55"/>
    </row>
    <row r="27" spans="1:14" ht="28.8" x14ac:dyDescent="0.3">
      <c r="A27" s="55" t="s">
        <v>311</v>
      </c>
      <c r="B27" s="55"/>
      <c r="C27" s="55"/>
      <c r="D27" s="55"/>
      <c r="E27" s="55"/>
      <c r="F27" s="59"/>
      <c r="G27" s="59"/>
      <c r="H27" s="55"/>
      <c r="I27" s="55" t="s">
        <v>218</v>
      </c>
      <c r="J27" s="55" t="s">
        <v>218</v>
      </c>
      <c r="K27" s="55" t="s">
        <v>218</v>
      </c>
      <c r="L27" s="55" t="s">
        <v>64</v>
      </c>
      <c r="M27" s="55" t="s">
        <v>58</v>
      </c>
      <c r="N27" s="55"/>
    </row>
    <row r="28" spans="1:14" ht="28.8" x14ac:dyDescent="0.3">
      <c r="A28" s="55" t="s">
        <v>311</v>
      </c>
      <c r="B28" s="55"/>
      <c r="C28" s="55"/>
      <c r="D28" s="55"/>
      <c r="E28" s="55"/>
      <c r="F28" s="59"/>
      <c r="G28" s="59"/>
      <c r="H28" s="55"/>
      <c r="I28" s="55" t="s">
        <v>218</v>
      </c>
      <c r="J28" s="55" t="s">
        <v>218</v>
      </c>
      <c r="K28" s="55" t="s">
        <v>218</v>
      </c>
      <c r="L28" s="55" t="s">
        <v>64</v>
      </c>
      <c r="M28" s="55" t="s">
        <v>58</v>
      </c>
      <c r="N28" s="55"/>
    </row>
    <row r="29" spans="1:14" ht="28.8" x14ac:dyDescent="0.3">
      <c r="A29" s="55" t="s">
        <v>311</v>
      </c>
      <c r="B29" s="55"/>
      <c r="C29" s="55"/>
      <c r="D29" s="55"/>
      <c r="E29" s="55"/>
      <c r="F29" s="59"/>
      <c r="G29" s="59"/>
      <c r="H29" s="55"/>
      <c r="I29" s="55" t="s">
        <v>218</v>
      </c>
      <c r="J29" s="55" t="s">
        <v>218</v>
      </c>
      <c r="K29" s="55" t="s">
        <v>218</v>
      </c>
      <c r="L29" s="55" t="s">
        <v>64</v>
      </c>
      <c r="M29" s="55" t="s">
        <v>58</v>
      </c>
      <c r="N29" s="55"/>
    </row>
  </sheetData>
  <mergeCells count="2">
    <mergeCell ref="A1:N1"/>
    <mergeCell ref="A2:N2"/>
  </mergeCells>
  <dataValidations count="3">
    <dataValidation type="list" sqref="I5:K29" xr:uid="{00000000-0002-0000-0B00-000000000000}">
      <formula1>"Yes,No,TBC,N/A"</formula1>
    </dataValidation>
    <dataValidation type="list" sqref="L5:L29" xr:uid="{00000000-0002-0000-0B00-000001000000}">
      <formula1>"Critical,High,Medium,Low"</formula1>
    </dataValidation>
    <dataValidation type="list" sqref="M5:M29" xr:uid="{00000000-0002-0000-0B00-000002000000}">
      <formula1>"Planned,Ready,In Progress,Complete,Delayed,Cancelled"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4"/>
  <sheetViews>
    <sheetView workbookViewId="0"/>
  </sheetViews>
  <sheetFormatPr defaultRowHeight="14.4" x14ac:dyDescent="0.3"/>
  <cols>
    <col min="1" max="1" width="10.109375" customWidth="1"/>
    <col min="2" max="2" width="10.6640625" customWidth="1"/>
    <col min="3" max="3" width="12.6640625" customWidth="1"/>
    <col min="4" max="4" width="12.109375" customWidth="1"/>
    <col min="5" max="5" width="10.88671875" customWidth="1"/>
    <col min="6" max="6" width="9" customWidth="1"/>
    <col min="7" max="7" width="10.6640625" customWidth="1"/>
    <col min="8" max="8" width="8.109375" customWidth="1"/>
    <col min="9" max="9" width="7.77734375" customWidth="1"/>
    <col min="10" max="10" width="15" customWidth="1"/>
    <col min="11" max="11" width="7.33203125" customWidth="1"/>
  </cols>
  <sheetData>
    <row r="1" spans="1:11" ht="24" customHeight="1" x14ac:dyDescent="0.3">
      <c r="A1" s="3" t="s">
        <v>312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65" customHeight="1" x14ac:dyDescent="0.3">
      <c r="A2" s="2" t="s">
        <v>313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0.85" customHeight="1" x14ac:dyDescent="0.3">
      <c r="A4" s="54" t="s">
        <v>314</v>
      </c>
      <c r="B4" s="54" t="s">
        <v>47</v>
      </c>
      <c r="C4" s="54" t="s">
        <v>315</v>
      </c>
      <c r="D4" s="54" t="s">
        <v>316</v>
      </c>
      <c r="E4" s="54" t="s">
        <v>317</v>
      </c>
      <c r="F4" s="54" t="s">
        <v>318</v>
      </c>
      <c r="G4" s="54" t="s">
        <v>319</v>
      </c>
      <c r="H4" s="54" t="s">
        <v>320</v>
      </c>
      <c r="I4" s="54" t="s">
        <v>321</v>
      </c>
      <c r="J4" s="54" t="s">
        <v>322</v>
      </c>
      <c r="K4" s="54" t="s">
        <v>52</v>
      </c>
    </row>
    <row r="5" spans="1:11" x14ac:dyDescent="0.3">
      <c r="A5" s="55"/>
      <c r="B5" s="55"/>
      <c r="C5" s="55"/>
      <c r="D5" s="60"/>
      <c r="E5" s="60"/>
      <c r="F5" s="60" t="str">
        <f t="shared" ref="F5:F34" si="0">IF(OR(D5="",E5=""),"",E5-D5)</f>
        <v/>
      </c>
      <c r="G5" s="61" t="str">
        <f t="shared" ref="G5:G34" si="1">IFERROR(F5/D5,"")</f>
        <v/>
      </c>
      <c r="H5" s="55"/>
      <c r="I5" s="55"/>
      <c r="J5" s="55"/>
      <c r="K5" s="55" t="s">
        <v>207</v>
      </c>
    </row>
    <row r="6" spans="1:11" x14ac:dyDescent="0.3">
      <c r="A6" s="55"/>
      <c r="B6" s="55"/>
      <c r="C6" s="55"/>
      <c r="D6" s="60"/>
      <c r="E6" s="60"/>
      <c r="F6" s="60" t="str">
        <f t="shared" si="0"/>
        <v/>
      </c>
      <c r="G6" s="61" t="str">
        <f t="shared" si="1"/>
        <v/>
      </c>
      <c r="H6" s="55"/>
      <c r="I6" s="55"/>
      <c r="J6" s="55"/>
      <c r="K6" s="55" t="s">
        <v>207</v>
      </c>
    </row>
    <row r="7" spans="1:11" x14ac:dyDescent="0.3">
      <c r="A7" s="55"/>
      <c r="B7" s="55"/>
      <c r="C7" s="55"/>
      <c r="D7" s="60"/>
      <c r="E7" s="60"/>
      <c r="F7" s="60" t="str">
        <f t="shared" si="0"/>
        <v/>
      </c>
      <c r="G7" s="61" t="str">
        <f t="shared" si="1"/>
        <v/>
      </c>
      <c r="H7" s="55"/>
      <c r="I7" s="55"/>
      <c r="J7" s="55"/>
      <c r="K7" s="55" t="s">
        <v>207</v>
      </c>
    </row>
    <row r="8" spans="1:11" x14ac:dyDescent="0.3">
      <c r="A8" s="55"/>
      <c r="B8" s="55"/>
      <c r="C8" s="55"/>
      <c r="D8" s="60"/>
      <c r="E8" s="60"/>
      <c r="F8" s="60" t="str">
        <f t="shared" si="0"/>
        <v/>
      </c>
      <c r="G8" s="61" t="str">
        <f t="shared" si="1"/>
        <v/>
      </c>
      <c r="H8" s="55"/>
      <c r="I8" s="55"/>
      <c r="J8" s="55"/>
      <c r="K8" s="55" t="s">
        <v>207</v>
      </c>
    </row>
    <row r="9" spans="1:11" x14ac:dyDescent="0.3">
      <c r="A9" s="55"/>
      <c r="B9" s="55"/>
      <c r="C9" s="55"/>
      <c r="D9" s="60"/>
      <c r="E9" s="60"/>
      <c r="F9" s="60" t="str">
        <f t="shared" si="0"/>
        <v/>
      </c>
      <c r="G9" s="61" t="str">
        <f t="shared" si="1"/>
        <v/>
      </c>
      <c r="H9" s="55"/>
      <c r="I9" s="55"/>
      <c r="J9" s="55"/>
      <c r="K9" s="55" t="s">
        <v>207</v>
      </c>
    </row>
    <row r="10" spans="1:11" x14ac:dyDescent="0.3">
      <c r="A10" s="55"/>
      <c r="B10" s="55"/>
      <c r="C10" s="55"/>
      <c r="D10" s="60"/>
      <c r="E10" s="60"/>
      <c r="F10" s="60" t="str">
        <f t="shared" si="0"/>
        <v/>
      </c>
      <c r="G10" s="61" t="str">
        <f t="shared" si="1"/>
        <v/>
      </c>
      <c r="H10" s="55"/>
      <c r="I10" s="55"/>
      <c r="J10" s="55"/>
      <c r="K10" s="55" t="s">
        <v>207</v>
      </c>
    </row>
    <row r="11" spans="1:11" x14ac:dyDescent="0.3">
      <c r="A11" s="55"/>
      <c r="B11" s="55"/>
      <c r="C11" s="55"/>
      <c r="D11" s="60"/>
      <c r="E11" s="60"/>
      <c r="F11" s="60" t="str">
        <f t="shared" si="0"/>
        <v/>
      </c>
      <c r="G11" s="61" t="str">
        <f t="shared" si="1"/>
        <v/>
      </c>
      <c r="H11" s="55"/>
      <c r="I11" s="55"/>
      <c r="J11" s="55"/>
      <c r="K11" s="55" t="s">
        <v>207</v>
      </c>
    </row>
    <row r="12" spans="1:11" x14ac:dyDescent="0.3">
      <c r="A12" s="55"/>
      <c r="B12" s="55"/>
      <c r="C12" s="55"/>
      <c r="D12" s="60"/>
      <c r="E12" s="60"/>
      <c r="F12" s="60" t="str">
        <f t="shared" si="0"/>
        <v/>
      </c>
      <c r="G12" s="61" t="str">
        <f t="shared" si="1"/>
        <v/>
      </c>
      <c r="H12" s="55"/>
      <c r="I12" s="55"/>
      <c r="J12" s="55"/>
      <c r="K12" s="55" t="s">
        <v>207</v>
      </c>
    </row>
    <row r="13" spans="1:11" x14ac:dyDescent="0.3">
      <c r="A13" s="55"/>
      <c r="B13" s="55"/>
      <c r="C13" s="55"/>
      <c r="D13" s="60"/>
      <c r="E13" s="60"/>
      <c r="F13" s="60" t="str">
        <f t="shared" si="0"/>
        <v/>
      </c>
      <c r="G13" s="61" t="str">
        <f t="shared" si="1"/>
        <v/>
      </c>
      <c r="H13" s="55"/>
      <c r="I13" s="55"/>
      <c r="J13" s="55"/>
      <c r="K13" s="55" t="s">
        <v>207</v>
      </c>
    </row>
    <row r="14" spans="1:11" x14ac:dyDescent="0.3">
      <c r="A14" s="55"/>
      <c r="B14" s="55"/>
      <c r="C14" s="55"/>
      <c r="D14" s="60"/>
      <c r="E14" s="60"/>
      <c r="F14" s="60" t="str">
        <f t="shared" si="0"/>
        <v/>
      </c>
      <c r="G14" s="61" t="str">
        <f t="shared" si="1"/>
        <v/>
      </c>
      <c r="H14" s="55"/>
      <c r="I14" s="55"/>
      <c r="J14" s="55"/>
      <c r="K14" s="55" t="s">
        <v>207</v>
      </c>
    </row>
    <row r="15" spans="1:11" x14ac:dyDescent="0.3">
      <c r="A15" s="55"/>
      <c r="B15" s="55"/>
      <c r="C15" s="55"/>
      <c r="D15" s="60"/>
      <c r="E15" s="60"/>
      <c r="F15" s="60" t="str">
        <f t="shared" si="0"/>
        <v/>
      </c>
      <c r="G15" s="61" t="str">
        <f t="shared" si="1"/>
        <v/>
      </c>
      <c r="H15" s="55"/>
      <c r="I15" s="55"/>
      <c r="J15" s="55"/>
      <c r="K15" s="55" t="s">
        <v>207</v>
      </c>
    </row>
    <row r="16" spans="1:11" x14ac:dyDescent="0.3">
      <c r="A16" s="55"/>
      <c r="B16" s="55"/>
      <c r="C16" s="55"/>
      <c r="D16" s="60"/>
      <c r="E16" s="60"/>
      <c r="F16" s="60" t="str">
        <f t="shared" si="0"/>
        <v/>
      </c>
      <c r="G16" s="61" t="str">
        <f t="shared" si="1"/>
        <v/>
      </c>
      <c r="H16" s="55"/>
      <c r="I16" s="55"/>
      <c r="J16" s="55"/>
      <c r="K16" s="55" t="s">
        <v>207</v>
      </c>
    </row>
    <row r="17" spans="1:11" x14ac:dyDescent="0.3">
      <c r="A17" s="55"/>
      <c r="B17" s="55"/>
      <c r="C17" s="55"/>
      <c r="D17" s="60"/>
      <c r="E17" s="60"/>
      <c r="F17" s="60" t="str">
        <f t="shared" si="0"/>
        <v/>
      </c>
      <c r="G17" s="61" t="str">
        <f t="shared" si="1"/>
        <v/>
      </c>
      <c r="H17" s="55"/>
      <c r="I17" s="55"/>
      <c r="J17" s="55"/>
      <c r="K17" s="55" t="s">
        <v>207</v>
      </c>
    </row>
    <row r="18" spans="1:11" x14ac:dyDescent="0.3">
      <c r="A18" s="55"/>
      <c r="B18" s="55"/>
      <c r="C18" s="55"/>
      <c r="D18" s="60"/>
      <c r="E18" s="60"/>
      <c r="F18" s="60" t="str">
        <f t="shared" si="0"/>
        <v/>
      </c>
      <c r="G18" s="61" t="str">
        <f t="shared" si="1"/>
        <v/>
      </c>
      <c r="H18" s="55"/>
      <c r="I18" s="55"/>
      <c r="J18" s="55"/>
      <c r="K18" s="55" t="s">
        <v>207</v>
      </c>
    </row>
    <row r="19" spans="1:11" x14ac:dyDescent="0.3">
      <c r="A19" s="55"/>
      <c r="B19" s="55"/>
      <c r="C19" s="55"/>
      <c r="D19" s="60"/>
      <c r="E19" s="60"/>
      <c r="F19" s="60" t="str">
        <f t="shared" si="0"/>
        <v/>
      </c>
      <c r="G19" s="61" t="str">
        <f t="shared" si="1"/>
        <v/>
      </c>
      <c r="H19" s="55"/>
      <c r="I19" s="55"/>
      <c r="J19" s="55"/>
      <c r="K19" s="55" t="s">
        <v>207</v>
      </c>
    </row>
    <row r="20" spans="1:11" x14ac:dyDescent="0.3">
      <c r="A20" s="55"/>
      <c r="B20" s="55"/>
      <c r="C20" s="55"/>
      <c r="D20" s="60"/>
      <c r="E20" s="60"/>
      <c r="F20" s="60" t="str">
        <f t="shared" si="0"/>
        <v/>
      </c>
      <c r="G20" s="61" t="str">
        <f t="shared" si="1"/>
        <v/>
      </c>
      <c r="H20" s="55"/>
      <c r="I20" s="55"/>
      <c r="J20" s="55"/>
      <c r="K20" s="55" t="s">
        <v>207</v>
      </c>
    </row>
    <row r="21" spans="1:11" x14ac:dyDescent="0.3">
      <c r="A21" s="55"/>
      <c r="B21" s="55"/>
      <c r="C21" s="55"/>
      <c r="D21" s="60"/>
      <c r="E21" s="60"/>
      <c r="F21" s="60" t="str">
        <f t="shared" si="0"/>
        <v/>
      </c>
      <c r="G21" s="61" t="str">
        <f t="shared" si="1"/>
        <v/>
      </c>
      <c r="H21" s="55"/>
      <c r="I21" s="55"/>
      <c r="J21" s="55"/>
      <c r="K21" s="55" t="s">
        <v>207</v>
      </c>
    </row>
    <row r="22" spans="1:11" x14ac:dyDescent="0.3">
      <c r="A22" s="55"/>
      <c r="B22" s="55"/>
      <c r="C22" s="55"/>
      <c r="D22" s="60"/>
      <c r="E22" s="60"/>
      <c r="F22" s="60" t="str">
        <f t="shared" si="0"/>
        <v/>
      </c>
      <c r="G22" s="61" t="str">
        <f t="shared" si="1"/>
        <v/>
      </c>
      <c r="H22" s="55"/>
      <c r="I22" s="55"/>
      <c r="J22" s="55"/>
      <c r="K22" s="55" t="s">
        <v>207</v>
      </c>
    </row>
    <row r="23" spans="1:11" x14ac:dyDescent="0.3">
      <c r="A23" s="55"/>
      <c r="B23" s="55"/>
      <c r="C23" s="55"/>
      <c r="D23" s="60"/>
      <c r="E23" s="60"/>
      <c r="F23" s="60" t="str">
        <f t="shared" si="0"/>
        <v/>
      </c>
      <c r="G23" s="61" t="str">
        <f t="shared" si="1"/>
        <v/>
      </c>
      <c r="H23" s="55"/>
      <c r="I23" s="55"/>
      <c r="J23" s="55"/>
      <c r="K23" s="55" t="s">
        <v>207</v>
      </c>
    </row>
    <row r="24" spans="1:11" x14ac:dyDescent="0.3">
      <c r="A24" s="55"/>
      <c r="B24" s="55"/>
      <c r="C24" s="55"/>
      <c r="D24" s="60"/>
      <c r="E24" s="60"/>
      <c r="F24" s="60" t="str">
        <f t="shared" si="0"/>
        <v/>
      </c>
      <c r="G24" s="61" t="str">
        <f t="shared" si="1"/>
        <v/>
      </c>
      <c r="H24" s="55"/>
      <c r="I24" s="55"/>
      <c r="J24" s="55"/>
      <c r="K24" s="55" t="s">
        <v>207</v>
      </c>
    </row>
    <row r="25" spans="1:11" x14ac:dyDescent="0.3">
      <c r="A25" s="55"/>
      <c r="B25" s="55"/>
      <c r="C25" s="55"/>
      <c r="D25" s="60"/>
      <c r="E25" s="60"/>
      <c r="F25" s="60" t="str">
        <f t="shared" si="0"/>
        <v/>
      </c>
      <c r="G25" s="61" t="str">
        <f t="shared" si="1"/>
        <v/>
      </c>
      <c r="H25" s="55"/>
      <c r="I25" s="55"/>
      <c r="J25" s="55"/>
      <c r="K25" s="55" t="s">
        <v>207</v>
      </c>
    </row>
    <row r="26" spans="1:11" x14ac:dyDescent="0.3">
      <c r="A26" s="55"/>
      <c r="B26" s="55"/>
      <c r="C26" s="55"/>
      <c r="D26" s="60"/>
      <c r="E26" s="60"/>
      <c r="F26" s="60" t="str">
        <f t="shared" si="0"/>
        <v/>
      </c>
      <c r="G26" s="61" t="str">
        <f t="shared" si="1"/>
        <v/>
      </c>
      <c r="H26" s="55"/>
      <c r="I26" s="55"/>
      <c r="J26" s="55"/>
      <c r="K26" s="55" t="s">
        <v>207</v>
      </c>
    </row>
    <row r="27" spans="1:11" x14ac:dyDescent="0.3">
      <c r="A27" s="55"/>
      <c r="B27" s="55"/>
      <c r="C27" s="55"/>
      <c r="D27" s="60"/>
      <c r="E27" s="60"/>
      <c r="F27" s="60" t="str">
        <f t="shared" si="0"/>
        <v/>
      </c>
      <c r="G27" s="61" t="str">
        <f t="shared" si="1"/>
        <v/>
      </c>
      <c r="H27" s="55"/>
      <c r="I27" s="55"/>
      <c r="J27" s="55"/>
      <c r="K27" s="55" t="s">
        <v>207</v>
      </c>
    </row>
    <row r="28" spans="1:11" x14ac:dyDescent="0.3">
      <c r="A28" s="55"/>
      <c r="B28" s="55"/>
      <c r="C28" s="55"/>
      <c r="D28" s="60"/>
      <c r="E28" s="60"/>
      <c r="F28" s="60" t="str">
        <f t="shared" si="0"/>
        <v/>
      </c>
      <c r="G28" s="61" t="str">
        <f t="shared" si="1"/>
        <v/>
      </c>
      <c r="H28" s="55"/>
      <c r="I28" s="55"/>
      <c r="J28" s="55"/>
      <c r="K28" s="55" t="s">
        <v>207</v>
      </c>
    </row>
    <row r="29" spans="1:11" x14ac:dyDescent="0.3">
      <c r="A29" s="55"/>
      <c r="B29" s="55"/>
      <c r="C29" s="55"/>
      <c r="D29" s="60"/>
      <c r="E29" s="60"/>
      <c r="F29" s="60" t="str">
        <f t="shared" si="0"/>
        <v/>
      </c>
      <c r="G29" s="61" t="str">
        <f t="shared" si="1"/>
        <v/>
      </c>
      <c r="H29" s="55"/>
      <c r="I29" s="55"/>
      <c r="J29" s="55"/>
      <c r="K29" s="55" t="s">
        <v>207</v>
      </c>
    </row>
    <row r="30" spans="1:11" x14ac:dyDescent="0.3">
      <c r="A30" s="55"/>
      <c r="B30" s="55"/>
      <c r="C30" s="55"/>
      <c r="D30" s="60"/>
      <c r="E30" s="60"/>
      <c r="F30" s="60" t="str">
        <f t="shared" si="0"/>
        <v/>
      </c>
      <c r="G30" s="61" t="str">
        <f t="shared" si="1"/>
        <v/>
      </c>
      <c r="H30" s="55"/>
      <c r="I30" s="55"/>
      <c r="J30" s="55"/>
      <c r="K30" s="55" t="s">
        <v>207</v>
      </c>
    </row>
    <row r="31" spans="1:11" x14ac:dyDescent="0.3">
      <c r="A31" s="55"/>
      <c r="B31" s="55"/>
      <c r="C31" s="55"/>
      <c r="D31" s="60"/>
      <c r="E31" s="60"/>
      <c r="F31" s="60" t="str">
        <f t="shared" si="0"/>
        <v/>
      </c>
      <c r="G31" s="61" t="str">
        <f t="shared" si="1"/>
        <v/>
      </c>
      <c r="H31" s="55"/>
      <c r="I31" s="55"/>
      <c r="J31" s="55"/>
      <c r="K31" s="55" t="s">
        <v>207</v>
      </c>
    </row>
    <row r="32" spans="1:11" x14ac:dyDescent="0.3">
      <c r="A32" s="55"/>
      <c r="B32" s="55"/>
      <c r="C32" s="55"/>
      <c r="D32" s="60"/>
      <c r="E32" s="60"/>
      <c r="F32" s="60" t="str">
        <f t="shared" si="0"/>
        <v/>
      </c>
      <c r="G32" s="61" t="str">
        <f t="shared" si="1"/>
        <v/>
      </c>
      <c r="H32" s="55"/>
      <c r="I32" s="55"/>
      <c r="J32" s="55"/>
      <c r="K32" s="55" t="s">
        <v>207</v>
      </c>
    </row>
    <row r="33" spans="1:11" x14ac:dyDescent="0.3">
      <c r="A33" s="55"/>
      <c r="B33" s="55"/>
      <c r="C33" s="55"/>
      <c r="D33" s="60"/>
      <c r="E33" s="60"/>
      <c r="F33" s="60" t="str">
        <f t="shared" si="0"/>
        <v/>
      </c>
      <c r="G33" s="61" t="str">
        <f t="shared" si="1"/>
        <v/>
      </c>
      <c r="H33" s="55"/>
      <c r="I33" s="55"/>
      <c r="J33" s="55"/>
      <c r="K33" s="55" t="s">
        <v>207</v>
      </c>
    </row>
    <row r="34" spans="1:11" x14ac:dyDescent="0.3">
      <c r="A34" s="55"/>
      <c r="B34" s="55"/>
      <c r="C34" s="55"/>
      <c r="D34" s="60"/>
      <c r="E34" s="60"/>
      <c r="F34" s="60" t="str">
        <f t="shared" si="0"/>
        <v/>
      </c>
      <c r="G34" s="61" t="str">
        <f t="shared" si="1"/>
        <v/>
      </c>
      <c r="H34" s="55"/>
      <c r="I34" s="55"/>
      <c r="J34" s="55"/>
      <c r="K34" s="55" t="s">
        <v>207</v>
      </c>
    </row>
  </sheetData>
  <mergeCells count="2">
    <mergeCell ref="A1:K1"/>
    <mergeCell ref="A2:K2"/>
  </mergeCells>
  <dataValidations count="1">
    <dataValidation type="list" sqref="K5:K34" xr:uid="{00000000-0002-0000-0C00-000000000000}">
      <formula1>"Open,In Progress,Complete,Deferred"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"/>
  <sheetViews>
    <sheetView workbookViewId="0"/>
  </sheetViews>
  <sheetFormatPr defaultRowHeight="14.4" x14ac:dyDescent="0.3"/>
  <cols>
    <col min="1" max="1" width="30" customWidth="1"/>
    <col min="2" max="2" width="18" customWidth="1"/>
    <col min="3" max="3" width="58" customWidth="1"/>
  </cols>
  <sheetData>
    <row r="1" spans="1:10" ht="24" customHeight="1" x14ac:dyDescent="0.3">
      <c r="A1" s="3" t="s">
        <v>323</v>
      </c>
      <c r="B1" s="3"/>
      <c r="C1" s="3"/>
      <c r="D1" s="3"/>
      <c r="E1" s="3"/>
      <c r="F1" s="3"/>
      <c r="G1" s="3"/>
      <c r="H1" s="3"/>
      <c r="I1" s="3"/>
      <c r="J1" s="3"/>
    </row>
    <row r="2" spans="1:10" ht="25.65" customHeight="1" x14ac:dyDescent="0.3">
      <c r="A2" s="2" t="s">
        <v>324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3">
      <c r="A4" s="57" t="s">
        <v>325</v>
      </c>
      <c r="B4" s="57" t="s">
        <v>326</v>
      </c>
      <c r="C4" s="57" t="s">
        <v>327</v>
      </c>
    </row>
    <row r="5" spans="1:10" x14ac:dyDescent="0.3">
      <c r="A5" s="62" t="s">
        <v>328</v>
      </c>
      <c r="B5">
        <f>COUNTA('PM Frequency Engine'!A5:A34)</f>
        <v>30</v>
      </c>
      <c r="C5" t="s">
        <v>329</v>
      </c>
    </row>
    <row r="6" spans="1:10" x14ac:dyDescent="0.3">
      <c r="A6" s="62" t="s">
        <v>330</v>
      </c>
      <c r="B6">
        <f ca="1">COUNTIF('PM Frequency Engine'!F5:F34,"&lt;"&amp;TODAY())</f>
        <v>0</v>
      </c>
      <c r="C6" t="s">
        <v>331</v>
      </c>
    </row>
    <row r="7" spans="1:10" x14ac:dyDescent="0.3">
      <c r="A7" s="62" t="s">
        <v>332</v>
      </c>
      <c r="B7">
        <f>COUNTIFS('Backlog Aging'!H:H,"&lt;&gt;Complete",'Backlog Aging'!A:A,"&lt;&gt;")</f>
        <v>3</v>
      </c>
      <c r="C7" t="s">
        <v>333</v>
      </c>
    </row>
    <row r="8" spans="1:10" x14ac:dyDescent="0.3">
      <c r="A8" s="62" t="s">
        <v>334</v>
      </c>
      <c r="B8">
        <f ca="1">COUNTIF('Backlog Aging'!G:G,"60+ days")</f>
        <v>0</v>
      </c>
      <c r="C8" t="s">
        <v>335</v>
      </c>
    </row>
    <row r="9" spans="1:10" x14ac:dyDescent="0.3">
      <c r="A9" s="62" t="s">
        <v>336</v>
      </c>
      <c r="B9">
        <f>COUNTIF('Shutdown Planner'!M:M,"Planned")+COUNTIF('Shutdown Planner'!M:M,"Delayed")</f>
        <v>25</v>
      </c>
      <c r="C9" t="s">
        <v>337</v>
      </c>
    </row>
    <row r="10" spans="1:10" x14ac:dyDescent="0.3">
      <c r="A10" s="62" t="s">
        <v>338</v>
      </c>
      <c r="B10" s="63">
        <f>SUMIF('Cost Variance'!F:F,"&gt;0",'Cost Variance'!F:F)</f>
        <v>0</v>
      </c>
      <c r="C10" t="s">
        <v>339</v>
      </c>
    </row>
    <row r="11" spans="1:10" x14ac:dyDescent="0.3">
      <c r="A11" s="62" t="s">
        <v>340</v>
      </c>
      <c r="B11">
        <f>COUNTIFS('Action Tracker'!H:H,"&lt;&gt;Complete",'Action Tracker'!H:H,"&lt;&gt;Verified",'Action Tracker'!A:A,"&lt;&gt;")</f>
        <v>3</v>
      </c>
      <c r="C11" t="s">
        <v>341</v>
      </c>
    </row>
    <row r="12" spans="1:10" x14ac:dyDescent="0.3">
      <c r="A12" s="62" t="s">
        <v>342</v>
      </c>
      <c r="B12" t="str">
        <f ca="1">IF(B6&gt;0,"BACKLOG AGEING RISK",IF(B5&gt;0,"PM OVERDUE","CONTROLLED"))</f>
        <v>PM OVERDUE</v>
      </c>
      <c r="C12" t="s">
        <v>343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ℹ Instructions</vt:lpstr>
      <vt:lpstr>⚙ Settings</vt:lpstr>
      <vt:lpstr>📅 Annual Planner</vt:lpstr>
      <vt:lpstr>📋 Work Orders</vt:lpstr>
      <vt:lpstr>👥 Resources</vt:lpstr>
      <vt:lpstr>📊 KPIs</vt:lpstr>
      <vt:lpstr>Premium Guide</vt:lpstr>
      <vt:lpstr>Lists</vt:lpstr>
      <vt:lpstr>Action Tracker</vt:lpstr>
      <vt:lpstr>PM Frequency Engine</vt:lpstr>
      <vt:lpstr>Backlog Aging</vt:lpstr>
      <vt:lpstr>Shutdown Planner</vt:lpstr>
      <vt:lpstr>Cost Variance</vt:lpstr>
      <vt:lpstr>Premium 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2 11</dc:creator>
  <cp:lastModifiedBy>2 11</cp:lastModifiedBy>
  <dcterms:created xsi:type="dcterms:W3CDTF">2026-06-26T00:57:13Z</dcterms:created>
  <dcterms:modified xsi:type="dcterms:W3CDTF">2026-06-26T00:57:29Z</dcterms:modified>
</cp:coreProperties>
</file>