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f4983e3f4e44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📋 Bearing Failure Analysis" sheetId="1" r:id="Rd023e9ed47524a7b"/>
    <x:sheet xmlns:r="http://schemas.openxmlformats.org/officeDocument/2006/relationships" name="Premium Guide" sheetId="2" r:id="R922d3421f6084d74"/>
    <x:sheet xmlns:r="http://schemas.openxmlformats.org/officeDocument/2006/relationships" name="Lists" sheetId="3" r:id="R938888d5b90b429a"/>
    <x:sheet xmlns:r="http://schemas.openxmlformats.org/officeDocument/2006/relationships" name="Action Tracker" sheetId="4" r:id="Rf01971f7f92749aa"/>
    <x:sheet xmlns:r="http://schemas.openxmlformats.org/officeDocument/2006/relationships" name="Photo Evidence Log" sheetId="5" r:id="R0fc5aa854a904714"/>
    <x:sheet xmlns:r="http://schemas.openxmlformats.org/officeDocument/2006/relationships" name="Diagnosis Guide" sheetId="6" r:id="R2f7b67de231a46ca"/>
    <x:sheet xmlns:r="http://schemas.openxmlformats.org/officeDocument/2006/relationships" name="Premium Dashboard" sheetId="7" r:id="R5b1da8a284b847b2"/>
  </x:sheets>
</x:workbook>
</file>

<file path=xl/sharedStrings.xml><?xml version="1.0" encoding="utf-8"?>
<x:sst xmlns:x="http://schemas.openxmlformats.org/spreadsheetml/2006/main">
  <x:si>
    <x:t xml:space="preserve">BEARING FAILURE ANALYSIS SHEET</x:t>
  </x:si>
  <x:si>
    <x:t xml:space="preserve">► Document the failed bearing before disposal. Attach photos if possible. Yellow = fill in.</x:t>
  </x:si>
  <x:si>
    <x:t xml:space="preserve">Date of Failure:</x:t>
  </x:si>
  <x:si>
    <x:t xml:space="preserve">Equipment Tag:</x:t>
  </x:si>
  <x:si>
    <x:t xml:space="preserve">Equipment Name:</x:t>
  </x:si>
  <x:si>
    <x:t xml:space="preserve">Bearing Position (DE/NDE/Other):</x:t>
  </x:si>
  <x:si>
    <x:t xml:space="preserve">Bearing Manufacturer:</x:t>
  </x:si>
  <x:si>
    <x:t xml:space="preserve">Bearing Part Number:</x:t>
  </x:si>
  <x:si>
    <x:t xml:space="preserve">Bearing Type (e.g. Deep Groove Ball):</x:t>
  </x:si>
  <x:si>
    <x:t xml:space="preserve">Bearing Size (bore × OD × width):</x:t>
  </x:si>
  <x:si>
    <x:t xml:space="preserve">Hours in Service:</x:t>
  </x:si>
  <x:si>
    <x:t xml:space="preserve">Hours Since Last Replacement:</x:t>
  </x:si>
  <x:si>
    <x:t xml:space="preserve">Analyst:</x:t>
  </x:si>
  <x:si>
    <x:t xml:space="preserve">Work Order #:</x:t>
  </x:si>
  <x:si>
    <x:t xml:space="preserve">  SECTION 1 — FAILURE MODE CLASSIFICATION</x:t>
  </x:si>
  <x:si>
    <x:t xml:space="preserve">Failure Mode</x:t>
  </x:si>
  <x:si>
    <x:t xml:space="preserve">Visual Indicators</x:t>
  </x:si>
  <x:si>
    <x:t xml:space="preserve">Tick if Observed</x:t>
  </x:si>
  <x:si>
    <x:t xml:space="preserve">Severity (1-5)</x:t>
  </x:si>
  <x:si>
    <x:t xml:space="preserve">Notes</x:t>
  </x:si>
  <x:si>
    <x:t xml:space="preserve">Rolling Contact Fatigue</x:t>
  </x:si>
  <x:si>
    <x:t xml:space="preserve">Spalling / pitting on raceway or rolling elements</x:t>
  </x:si>
  <x:si>
    <x:t xml:space="preserve">Wear (Abrasive)</x:t>
  </x:si>
  <x:si>
    <x:t xml:space="preserve">Scratching / scoring on races; dull grey surface</x:t>
  </x:si>
  <x:si>
    <x:t xml:space="preserve">Wear (Adhesive / Smearing)</x:t>
  </x:si>
  <x:si>
    <x:t xml:space="preserve">Metal transfer between surfaces; smear marks</x:t>
  </x:si>
  <x:si>
    <x:t xml:space="preserve">Corrosion</x:t>
  </x:si>
  <x:si>
    <x:t xml:space="preserve">Rust pitting; reddish-brown deposits on races</x:t>
  </x:si>
  <x:si>
    <x:t xml:space="preserve">Fretting Corrosion</x:t>
  </x:si>
  <x:si>
    <x:t xml:space="preserve">Red-brown powder at bore/OD fit; fretted surfaces</x:t>
  </x:si>
  <x:si>
    <x:t xml:space="preserve">Electrical Pitting (Fluting)</x:t>
  </x:si>
  <x:si>
    <x:t xml:space="preserve">Regular fluting / washboard pattern on raceway</x:t>
  </x:si>
  <x:si>
    <x:t xml:space="preserve">Brinelling (Static Overload)</x:t>
  </x:si>
  <x:si>
    <x:t xml:space="preserve">Dents in raceway matching rolling element spacing</x:t>
  </x:si>
  <x:si>
    <x:t xml:space="preserve">False Brinelling (Vibration)</x:t>
  </x:si>
  <x:si>
    <x:t xml:space="preserve">Dull, elliptical dents; bearing not rotating</x:t>
  </x:si>
  <x:si>
    <x:t xml:space="preserve">Fracture / Cracking</x:t>
  </x:si>
  <x:si>
    <x:t xml:space="preserve">Cracks or fracture of ring, cage or rolling element</x:t>
  </x:si>
  <x:si>
    <x:t xml:space="preserve">Cage Failure</x:t>
  </x:si>
  <x:si>
    <x:t xml:space="preserve">Deformed, cracked or worn cage</x:t>
  </x:si>
  <x:si>
    <x:t xml:space="preserve">Lubrication Failure</x:t>
  </x:si>
  <x:si>
    <x:t xml:space="preserve">Discoloured/burnt grease; overheating marks; seizure</x:t>
  </x:si>
  <x:si>
    <x:t xml:space="preserve">Contamination</x:t>
  </x:si>
  <x:si>
    <x:t xml:space="preserve">Scoring from hard particles; embedded debris</x:t>
  </x:si>
  <x:si>
    <x:t xml:space="preserve">Misalignment</x:t>
  </x:si>
  <x:si>
    <x:t xml:space="preserve">Non-uniform raceway contact; edge loading marks</x:t>
  </x:si>
  <x:si>
    <x:t xml:space="preserve">Overloading</x:t>
  </x:si>
  <x:si>
    <x:t xml:space="preserve">Spalling over full raceway width; heavy wear</x:t>
  </x:si>
  <x:si>
    <x:t xml:space="preserve">  SECTION 2 — ROOT CAUSE DETERMINATION</x:t>
  </x:si>
  <x:si>
    <x:t xml:space="preserve">Primary Failure Mode (from above):</x:t>
  </x:si>
  <x:si>
    <x:t xml:space="preserve">Root Cause (installation / design / maintenance / operation / material):</x:t>
  </x:si>
  <x:si>
    <x:t xml:space="preserve">Contributing Factors:</x:t>
  </x:si>
  <x:si>
    <x:t xml:space="preserve">Was lubrication correct? (type, quantity, interval):</x:t>
  </x:si>
  <x:si>
    <x:t xml:space="preserve">Was installation correct? (fit, preload, handling):</x:t>
  </x:si>
  <x:si>
    <x:t xml:space="preserve">Were operating conditions within spec? (load, speed, temp):</x:t>
  </x:si>
  <x:si>
    <x:t xml:space="preserve">  SECTION 3 — CORRECTIVE ACTIONS</x:t>
  </x:si>
  <x:si>
    <x:t xml:space="preserve">Corrective Action</x:t>
  </x:si>
  <x:si>
    <x:t xml:space="preserve">Responsible</x:t>
  </x:si>
  <x:si>
    <x:t xml:space="preserve">Target Date</x:t>
  </x:si>
  <x:si>
    <x:t xml:space="preserve">Status</x:t>
  </x:si>
  <x:si>
    <x:t xml:space="preserve">WO#</x:t>
  </x:si>
  <x:si>
    <x:t xml:space="preserve">  SECTION 4 — REPLACEMENT BEARING DETAILS</x:t>
  </x:si>
  <x:si>
    <x:t xml:space="preserve">Replacement Bearing P/N:</x:t>
  </x:si>
  <x:si>
    <x:t xml:space="preserve">Replacement Bearing Manufacturer:</x:t>
  </x:si>
  <x:si>
    <x:t xml:space="preserve">Date Installed:</x:t>
  </x:si>
  <x:si>
    <x:t xml:space="preserve">Installed By:</x:t>
  </x:si>
  <x:si>
    <x:t xml:space="preserve">Lubrication Type/Grade Used:</x:t>
  </x:si>
  <x:si>
    <x:t xml:space="preserve">Quantity (g or ml):</x:t>
  </x:si>
  <x:si>
    <x:t xml:space="preserve">Installation Method (press/puller/induction):</x:t>
  </x:si>
  <x:si>
    <x:t xml:space="preserve">Interference Fit Measured:</x:t>
  </x:si>
  <x:si>
    <x:t xml:space="preserve">Analyst Signature:</x:t>
  </x:si>
  <x:si>
    <x:t xml:space="preserve">Supervisor Sign-off:</x:t>
  </x:si>
  <x:si>
    <x:t xml:space="preserve">Date:</x:t>
  </x:si>
  <x:si>
    <x:t xml:space="preserve">Distribution:</x:t>
  </x:si>
</x:sst>
</file>

<file path=xl/styles.xml><?xml version="1.0" encoding="utf-8"?>
<x:styleSheet xmlns:x="http://schemas.openxmlformats.org/spreadsheetml/2006/main">
  <x:numFmts count="2">
    <x:numFmt numFmtId="164" formatCode="General"/>
    <x:numFmt numFmtId="200" formatCode="yyyy-mm-dd"/>
  </x:numFmts>
  <x:fonts count="15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3"/>
      <x:color rgb="FFE8A020"/>
      <x:name val="Arial"/>
    </x:font>
    <x:font>
      <x:i/>
      <x:sz val="8"/>
      <x:color rgb="FF717D7E"/>
      <x:name val="Arial"/>
    </x:font>
    <x:font>
      <x:b/>
      <x:sz val="9"/>
      <x:color rgb="FFFFFFFF"/>
      <x:name val="Arial"/>
    </x:font>
    <x:font>
      <x:b/>
      <x:sz val="10"/>
      <x:color rgb="FFFFFFFF"/>
      <x:name val="Arial"/>
    </x:font>
    <x:font>
      <x:sz val="9"/>
      <x:color rgb="FF1A1A2E"/>
      <x:name val="Arial"/>
    </x:font>
    <x:font>
      <x:b/>
      <x:sz val="9"/>
      <x:color rgb="FF1A1A2E"/>
      <x:name val="Arial"/>
    </x:font>
    <x:font>
      <x:b/>
      <x:sz val="16"/>
      <x:color rgb="FFFFFFFF"/>
      <x:name val="Calibri"/>
    </x:font>
    <x:font>
      <x:i/>
      <x:sz val="10"/>
      <x:color rgb="FF1F2937"/>
      <x:name val="Calibri"/>
    </x:font>
    <x:font>
      <x:b/>
      <x:sz val="10"/>
      <x:color rgb="FFFFFFFF"/>
      <x:name val="Calibri"/>
    </x:font>
    <x:font>
      <x:b/>
      <x:sz val="11"/>
      <x:color rgb="FFFFFFFF"/>
      <x:name val="Calibri"/>
    </x:font>
    <x:font>
      <x:b/>
      <x:sz val="11"/>
      <x:color theme="1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1A1A2E"/>
      </x:patternFill>
    </x:fill>
    <x:fill>
      <x:patternFill patternType="solid">
        <x:fgColor rgb="FFFFF9E6"/>
      </x:patternFill>
    </x:fill>
    <x:fill>
      <x:patternFill patternType="solid">
        <x:fgColor rgb="FF16213E"/>
      </x:patternFill>
    </x:fill>
    <x:fill>
      <x:patternFill patternType="solid">
        <x:fgColor rgb="FFF2F3F4"/>
      </x:patternFill>
    </x:fill>
    <x:fill>
      <x:patternFill patternType="solid">
        <x:fgColor rgb="FFFFFFFF"/>
      </x:patternFill>
    </x:fill>
    <x:fill>
      <x:patternFill patternType="solid">
        <x:fgColor rgb="FF111827"/>
      </x:patternFill>
    </x:fill>
    <x:fill>
      <x:patternFill patternType="solid">
        <x:fgColor rgb="FFF3F4F6"/>
      </x:patternFill>
    </x:fill>
    <x:fill>
      <x:patternFill patternType="solid">
        <x:fgColor rgb="FF1F2937"/>
      </x:patternFill>
    </x:fill>
    <x:fill>
      <x:patternFill patternType="solid">
        <x:fgColor rgb="FF0F766E"/>
      </x:patternFill>
    </x:fill>
    <x:fill>
      <x:patternFill patternType="solid">
        <x:fgColor rgb="FFDBEAFE"/>
      </x:patternFill>
    </x:fill>
  </x:fills>
  <x:borders count="6">
    <x:border diagonalUp="0" diagonalDown="0"/>
    <x:border diagonalUp="0" diagonalDown="0"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 diagonalUp="0" diagonalDown="0">
      <x:left style="thin">
        <x:color rgb="FFCCCCCC"/>
      </x:left>
      <x:top style="thin">
        <x:color rgb="FFCCCCCC"/>
      </x:top>
      <x:bottom style="thin">
        <x:color rgb="FFCCCCCC"/>
      </x:bottom>
    </x:border>
    <x:border diagonalUp="0" diagonalDown="0"/>
    <x:border diagonalUp="0" diagonalDown="0"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 diagonalUp="0" diagonalDown="0">
      <x:left style="thin">
        <x:color rgb="FFCCCCCC"/>
      </x:left>
      <x:top style="thin">
        <x:color rgb="FFCCCCCC"/>
      </x:top>
      <x:bottom style="thin">
        <x:color rgb="FFCCCCCC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81">
    <x:xf numFmtId="164" fontId="0" fillId="0" borderId="0" xfId="0" applyFont="0" applyBorder="0" applyAlignment="0">
      <x:alignment horizontal="general" vertical="bottom" wrapText="0"/>
    </x:xf>
    <x:xf numFmtId="164" fontId="0" fillId="2" borderId="0" xfId="0" applyFont="0" applyBorder="0" applyAlignment="0">
      <x:alignment horizontal="general" vertical="bottom" wrapText="0"/>
    </x:xf>
    <x:xf numFmtId="164" fontId="4" fillId="2" borderId="0" xfId="0" applyFont="1" applyBorder="1" applyAlignment="1">
      <x:alignment horizontal="center" vertical="center" wrapText="0"/>
    </x:xf>
    <x:xf numFmtId="164" fontId="5" fillId="3" borderId="0" xfId="0" applyFont="1" applyBorder="1" applyAlignment="1">
      <x:alignment horizontal="left" vertical="center" wrapText="0"/>
    </x:xf>
    <x:xf numFmtId="164" fontId="6" fillId="4" borderId="1" xfId="0" applyFont="1" applyBorder="1" applyAlignment="1">
      <x:alignment horizontal="right" vertical="center" wrapText="0"/>
    </x:xf>
    <x:xf numFmtId="164" fontId="0" fillId="3" borderId="1" xfId="0" applyFont="0" applyBorder="1" applyAlignment="0">
      <x:alignment horizontal="general" vertical="bottom" wrapText="0"/>
    </x:xf>
    <x:xf numFmtId="164" fontId="7" fillId="2" borderId="2" xfId="0" applyFont="1" applyBorder="1" applyAlignment="0">
      <x:alignment horizontal="general" vertical="bottom" wrapText="0"/>
    </x:xf>
    <x:xf numFmtId="164" fontId="6" fillId="4" borderId="1" xfId="0" applyFont="1" applyBorder="1" applyAlignment="1">
      <x:alignment horizontal="center" vertical="center" wrapText="1"/>
    </x:xf>
    <x:xf numFmtId="164" fontId="8" fillId="5" borderId="1" xfId="0" applyFont="1" applyBorder="1" applyAlignment="1">
      <x:alignment horizontal="left" vertical="center" wrapText="0"/>
    </x:xf>
    <x:xf numFmtId="164" fontId="8" fillId="3" borderId="1" xfId="0" applyFont="1" applyBorder="1" applyAlignment="1">
      <x:alignment horizontal="center" vertical="center" wrapText="0"/>
    </x:xf>
    <x:xf numFmtId="164" fontId="8" fillId="3" borderId="1" xfId="0" applyFont="1" applyBorder="1" applyAlignment="1">
      <x:alignment horizontal="left" vertical="center" wrapText="0"/>
    </x:xf>
    <x:xf numFmtId="164" fontId="8" fillId="6" borderId="1" xfId="0" applyFont="1" applyBorder="1" applyAlignment="1">
      <x:alignment horizontal="left" vertical="center" wrapText="0"/>
    </x:xf>
    <x:xf numFmtId="164" fontId="6" fillId="4" borderId="1" xfId="0" applyFont="1" applyBorder="1" applyAlignment="1">
      <x:alignment horizontal="left" vertical="center" wrapText="0"/>
    </x:xf>
    <x:xf numFmtId="164" fontId="9" fillId="5" borderId="1" xfId="0" applyFont="1" applyBorder="1" applyAlignment="1">
      <x:alignment horizontal="left" vertical="center" wrapText="0"/>
    </x:xf>
    <x:xf numFmtId="164" fontId="8" fillId="3" borderId="2" xfId="0" applyFont="1" applyBorder="1" applyAlignment="0">
      <x:alignment horizontal="general" vertical="bottom" wrapText="0"/>
    </x:xf>
    <x:xf numFmtId="164" fontId="8" fillId="3" borderId="1" xfId="0" applyFont="1" applyBorder="1" applyAlignment="0">
      <x:alignment horizontal="general" vertical="bottom" wrapText="0"/>
    </x:xf>
    <x:xf numFmtId="164" fontId="6" fillId="2" borderId="1" xfId="0" applyFont="1" applyBorder="1" applyAlignment="1">
      <x:alignment horizontal="center" vertical="center" wrapText="1"/>
    </x:xf>
    <x:xf numFmtId="164" fontId="0" fillId="0" borderId="3" xfId="0" applyNumberFormat="1" applyFont="1" applyFill="1" applyBorder="1" applyAlignment="1">
      <x:alignment horizontal="general" vertical="bottom" wrapText="0"/>
    </x:xf>
    <x:xf numFmtId="164" fontId="0" fillId="2" borderId="3" xfId="0" applyNumberFormat="1" applyFont="1" applyFill="1" applyBorder="1" applyAlignment="1">
      <x:alignment horizontal="general" vertical="bottom" wrapText="0"/>
    </x:xf>
    <x:xf numFmtId="164" fontId="4" fillId="2" borderId="3" xfId="0" applyNumberFormat="1" applyFont="1" applyFill="1" applyBorder="1" applyAlignment="1">
      <x:alignment horizontal="center" vertical="center" wrapText="0"/>
    </x:xf>
    <x:xf numFmtId="164" fontId="5" fillId="3" borderId="3" xfId="0" applyNumberFormat="1" applyFont="1" applyFill="1" applyBorder="1" applyAlignment="1">
      <x:alignment horizontal="left" vertical="center" wrapText="0"/>
    </x:xf>
    <x:xf numFmtId="164" fontId="6" fillId="4" borderId="4" xfId="0" applyNumberFormat="1" applyFont="1" applyFill="1" applyBorder="1" applyAlignment="1">
      <x:alignment horizontal="right" vertical="center" wrapText="0"/>
    </x:xf>
    <x:xf numFmtId="164" fontId="0" fillId="3" borderId="4" xfId="0" applyNumberFormat="1" applyFont="1" applyFill="1" applyBorder="1" applyAlignment="1">
      <x:alignment horizontal="general" vertical="bottom" wrapText="0"/>
    </x:xf>
    <x:xf numFmtId="164" fontId="7" fillId="2" borderId="5" xfId="0" applyNumberFormat="1" applyFont="1" applyFill="1" applyBorder="1" applyAlignment="1">
      <x:alignment horizontal="general" vertical="bottom" wrapText="0"/>
    </x:xf>
    <x:xf numFmtId="164" fontId="6" fillId="4" borderId="4" xfId="0" applyNumberFormat="1" applyFont="1" applyFill="1" applyBorder="1" applyAlignment="1">
      <x:alignment horizontal="center" vertical="center" wrapText="1"/>
    </x:xf>
    <x:xf numFmtId="164" fontId="8" fillId="5" borderId="4" xfId="0" applyNumberFormat="1" applyFont="1" applyFill="1" applyBorder="1" applyAlignment="1">
      <x:alignment horizontal="left" vertical="center" wrapText="0"/>
    </x:xf>
    <x:xf numFmtId="164" fontId="8" fillId="3" borderId="4" xfId="0" applyNumberFormat="1" applyFont="1" applyFill="1" applyBorder="1" applyAlignment="1">
      <x:alignment horizontal="center" vertical="center" wrapText="0"/>
    </x:xf>
    <x:xf numFmtId="164" fontId="8" fillId="3" borderId="4" xfId="0" applyNumberFormat="1" applyFont="1" applyFill="1" applyBorder="1" applyAlignment="1">
      <x:alignment horizontal="left" vertical="center" wrapText="0"/>
    </x:xf>
    <x:xf numFmtId="164" fontId="8" fillId="6" borderId="4" xfId="0" applyNumberFormat="1" applyFont="1" applyFill="1" applyBorder="1" applyAlignment="1">
      <x:alignment horizontal="left" vertical="center" wrapText="0"/>
    </x:xf>
    <x:xf numFmtId="164" fontId="6" fillId="4" borderId="4" xfId="0" applyNumberFormat="1" applyFont="1" applyFill="1" applyBorder="1" applyAlignment="1">
      <x:alignment horizontal="left" vertical="center" wrapText="0"/>
    </x:xf>
    <x:xf numFmtId="164" fontId="9" fillId="5" borderId="4" xfId="0" applyNumberFormat="1" applyFont="1" applyFill="1" applyBorder="1" applyAlignment="1">
      <x:alignment horizontal="left" vertical="center" wrapText="0"/>
    </x:xf>
    <x:xf numFmtId="164" fontId="8" fillId="3" borderId="5" xfId="0" applyNumberFormat="1" applyFont="1" applyFill="1" applyBorder="1" applyAlignment="1">
      <x:alignment horizontal="general" vertical="bottom" wrapText="0"/>
    </x:xf>
    <x:xf numFmtId="164" fontId="8" fillId="3" borderId="4" xfId="0" applyNumberFormat="1" applyFont="1" applyFill="1" applyBorder="1" applyAlignment="1">
      <x:alignment horizontal="general" vertical="bottom" wrapText="0"/>
    </x:xf>
    <x:xf numFmtId="164" fontId="6" fillId="2" borderId="4" xfId="0" applyNumberFormat="1" applyFont="1" applyFill="1" applyBorder="1" applyAlignment="1">
      <x:alignment horizontal="center" vertical="center" wrapText="1"/>
    </x:xf>
    <x:xf numFmtId="164" fontId="0" fillId="7" borderId="0" xfId="0" applyNumberFormat="1" applyFont="1" applyFill="1" applyBorder="1" applyAlignment="1">
      <x:alignment horizontal="general" vertical="bottom" wrapText="0"/>
    </x:xf>
    <x:xf numFmtId="164" fontId="10" fillId="7" borderId="0" xfId="0" applyNumberFormat="1" applyFont="1" applyFill="1" applyBorder="1" applyAlignment="1">
      <x:alignment horizontal="general" vertical="bottom" wrapText="0"/>
    </x:xf>
    <x:xf numFmtId="164" fontId="10" fillId="7" borderId="0" xfId="0" applyNumberFormat="1" applyFont="1" applyFill="1" applyBorder="1" applyAlignment="1">
      <x:alignment horizontal="left" vertical="bottom" wrapText="0"/>
    </x:xf>
    <x:xf numFmtId="164" fontId="10" fillId="7" borderId="0" xfId="0" applyNumberFormat="1" applyFont="1" applyFill="1" applyBorder="1" applyAlignment="1">
      <x:alignment horizontal="left" vertical="center" wrapText="0"/>
    </x:xf>
    <x:xf numFmtId="164" fontId="0" fillId="7" borderId="3" xfId="0" applyNumberFormat="1" applyFont="1" applyFill="1" applyBorder="1" applyAlignment="1">
      <x:alignment horizontal="general" vertical="bottom" wrapText="0"/>
    </x:xf>
    <x:xf numFmtId="164" fontId="10" fillId="7" borderId="3" xfId="0" applyNumberFormat="1" applyFont="1" applyFill="1" applyBorder="1" applyAlignment="1">
      <x:alignment horizontal="general" vertical="bottom" wrapText="0"/>
    </x:xf>
    <x:xf numFmtId="164" fontId="10" fillId="7" borderId="3" xfId="0" applyNumberFormat="1" applyFont="1" applyFill="1" applyBorder="1" applyAlignment="1">
      <x:alignment horizontal="left" vertical="bottom" wrapText="0"/>
    </x:xf>
    <x:xf numFmtId="164" fontId="10" fillId="7" borderId="3" xfId="0" applyNumberFormat="1" applyFont="1" applyFill="1" applyBorder="1" applyAlignment="1">
      <x:alignment horizontal="left" vertical="center" wrapText="0"/>
    </x:xf>
    <x:xf numFmtId="164" fontId="0" fillId="8" borderId="0" xfId="0" applyNumberFormat="1" applyFont="1" applyFill="1" applyBorder="1" applyAlignment="1">
      <x:alignment horizontal="general" vertical="bottom" wrapText="0"/>
    </x:xf>
    <x:xf numFmtId="164" fontId="11" fillId="8" borderId="0" xfId="0" applyNumberFormat="1" applyFont="1" applyFill="1" applyBorder="1" applyAlignment="1">
      <x:alignment horizontal="general" vertical="bottom" wrapText="0"/>
    </x:xf>
    <x:xf numFmtId="164" fontId="11" fillId="8" borderId="0" xfId="0" applyNumberFormat="1" applyFont="1" applyFill="1" applyBorder="1" applyAlignment="1">
      <x:alignment horizontal="general" vertical="bottom" wrapText="1"/>
    </x:xf>
    <x:xf numFmtId="164" fontId="0" fillId="8" borderId="3" xfId="0" applyNumberFormat="1" applyFont="1" applyFill="1" applyBorder="1" applyAlignment="1">
      <x:alignment horizontal="general" vertical="bottom" wrapText="0"/>
    </x:xf>
    <x:xf numFmtId="164" fontId="11" fillId="8" borderId="3" xfId="0" applyNumberFormat="1" applyFont="1" applyFill="1" applyBorder="1" applyAlignment="1">
      <x:alignment horizontal="general" vertical="bottom" wrapText="0"/>
    </x:xf>
    <x:xf numFmtId="164" fontId="11" fillId="8" borderId="3" xfId="0" applyNumberFormat="1" applyFont="1" applyFill="1" applyBorder="1" applyAlignment="1">
      <x:alignment horizontal="general" vertical="bottom" wrapText="1"/>
    </x:xf>
    <x:xf numFmtId="164" fontId="0" fillId="9" borderId="0" xfId="0" applyNumberFormat="1" applyFont="1" applyFill="1" applyBorder="1" applyAlignment="1">
      <x:alignment horizontal="general" vertical="bottom" wrapText="0"/>
    </x:xf>
    <x:xf numFmtId="164" fontId="12" fillId="9" borderId="0" xfId="0" applyNumberFormat="1" applyFont="1" applyFill="1" applyBorder="1" applyAlignment="1">
      <x:alignment horizontal="general" vertical="bottom" wrapText="0"/>
    </x:xf>
    <x:xf numFmtId="164" fontId="12" fillId="9" borderId="0" xfId="0" applyNumberFormat="1" applyFont="1" applyFill="1" applyBorder="1" applyAlignment="1">
      <x:alignment horizontal="general" vertical="bottom" wrapText="1"/>
    </x:xf>
    <x:xf numFmtId="164" fontId="12" fillId="9" borderId="0" xfId="0" applyNumberFormat="1" applyFont="1" applyFill="1" applyBorder="1" applyAlignment="1">
      <x:alignment horizontal="center" vertical="bottom" wrapText="1"/>
    </x:xf>
    <x:xf numFmtId="164" fontId="12" fillId="9" borderId="0" xfId="0" applyNumberFormat="1" applyFont="1" applyFill="1" applyBorder="1" applyAlignment="1">
      <x:alignment horizontal="center" vertical="center" wrapText="1"/>
    </x:xf>
    <x:xf numFmtId="164" fontId="0" fillId="9" borderId="3" xfId="0" applyNumberFormat="1" applyFont="1" applyFill="1" applyBorder="1" applyAlignment="1">
      <x:alignment horizontal="general" vertical="bottom" wrapText="0"/>
    </x:xf>
    <x:xf numFmtId="164" fontId="12" fillId="9" borderId="3" xfId="0" applyNumberFormat="1" applyFont="1" applyFill="1" applyBorder="1" applyAlignment="1">
      <x:alignment horizontal="general" vertical="bottom" wrapText="0"/>
    </x:xf>
    <x:xf numFmtId="164" fontId="12" fillId="9" borderId="3" xfId="0" applyNumberFormat="1" applyFont="1" applyFill="1" applyBorder="1" applyAlignment="1">
      <x:alignment horizontal="general" vertical="bottom" wrapText="1"/>
    </x:xf>
    <x:xf numFmtId="164" fontId="12" fillId="9" borderId="3" xfId="0" applyNumberFormat="1" applyFont="1" applyFill="1" applyBorder="1" applyAlignment="1">
      <x:alignment horizontal="center" vertical="bottom" wrapText="1"/>
    </x:xf>
    <x:xf numFmtId="164" fontId="12" fillId="9" borderId="3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top" wrapText="1"/>
    </x:xf>
    <x:xf numFmtId="164" fontId="0" fillId="0" borderId="3" xfId="0" applyNumberFormat="1" applyFont="1" applyFill="1" applyBorder="1" applyAlignment="1">
      <x:alignment horizontal="general" vertical="bottom" wrapText="1"/>
    </x:xf>
    <x:xf numFmtId="164" fontId="0" fillId="0" borderId="3" xfId="0" applyNumberFormat="1" applyFont="1" applyFill="1" applyBorder="1" applyAlignment="1">
      <x:alignment horizontal="general" vertical="top" wrapText="1"/>
    </x:xf>
    <x:xf numFmtId="164" fontId="0" fillId="10" borderId="0" xfId="0" applyNumberFormat="1" applyFont="1" applyFill="1" applyBorder="1" applyAlignment="1">
      <x:alignment horizontal="general" vertical="bottom" wrapText="0"/>
    </x:xf>
    <x:xf numFmtId="164" fontId="13" fillId="10" borderId="0" xfId="0" applyNumberFormat="1" applyFont="1" applyFill="1" applyBorder="1" applyAlignment="1">
      <x:alignment horizontal="general" vertical="bottom" wrapText="0"/>
    </x:xf>
    <x:xf numFmtId="164" fontId="0" fillId="10" borderId="3" xfId="0" applyNumberFormat="1" applyFont="1" applyFill="1" applyBorder="1" applyAlignment="1">
      <x:alignment horizontal="general" vertical="bottom" wrapText="0"/>
    </x:xf>
    <x:xf numFmtId="164" fontId="13" fillId="10" borderId="3" xfId="0" applyNumberFormat="1" applyFont="1" applyFill="1" applyBorder="1" applyAlignment="1">
      <x:alignment horizontal="general" vertical="bottom" wrapText="0"/>
    </x:xf>
    <x:xf numFmtId="164" fontId="0" fillId="11" borderId="0" xfId="0" applyNumberFormat="1" applyFont="1" applyFill="1" applyBorder="1" applyAlignment="1">
      <x:alignment horizontal="general" vertical="bottom" wrapText="0"/>
    </x:xf>
    <x:xf numFmtId="164" fontId="0" fillId="11" borderId="0" xfId="0" applyNumberFormat="1" applyFont="1" applyFill="1" applyBorder="1" applyAlignment="1">
      <x:alignment horizontal="general" vertical="bottom" wrapText="1"/>
    </x:xf>
    <x:xf numFmtId="164" fontId="0" fillId="11" borderId="3" xfId="0" applyNumberFormat="1" applyFont="1" applyFill="1" applyBorder="1" applyAlignment="1">
      <x:alignment horizontal="general" vertical="bottom" wrapText="0"/>
    </x:xf>
    <x:xf numFmtId="164" fontId="0" fillId="11" borderId="3" xfId="0" applyNumberFormat="1" applyFont="1" applyFill="1" applyBorder="1" applyAlignment="1">
      <x:alignment horizontal="general" vertical="bottom" wrapText="1"/>
    </x:xf>
    <x:xf numFmtId="164" fontId="13" fillId="9" borderId="0" xfId="0" applyNumberFormat="1" applyFont="1" applyFill="1" applyBorder="1" applyAlignment="1">
      <x:alignment horizontal="general" vertical="bottom" wrapText="0"/>
    </x:xf>
    <x:xf numFmtId="164" fontId="13" fillId="9" borderId="3" xfId="0" applyNumberFormat="1" applyFont="1" applyFill="1" applyBorder="1" applyAlignment="1">
      <x:alignment horizontal="general" vertical="bottom" wrapText="0"/>
    </x:xf>
    <x:xf numFmtId="200" fontId="0" fillId="0" borderId="0" xfId="0" applyNumberFormat="1" applyFont="1" applyFill="1" applyBorder="1" applyAlignment="1">
      <x:alignment horizontal="general" vertical="top" wrapText="1"/>
    </x:xf>
    <x:xf numFmtId="200" fontId="0" fillId="0" borderId="3" xfId="0" applyNumberFormat="1" applyFont="1" applyFill="1" applyBorder="1" applyAlignment="1">
      <x:alignment horizontal="general" vertical="top" wrapText="1"/>
    </x:xf>
    <x:xf numFmtId="164" fontId="13" fillId="10" borderId="0" xfId="0" applyNumberFormat="1" applyFont="1" applyFill="1" applyBorder="1" applyAlignment="1">
      <x:alignment horizontal="general" vertical="bottom" wrapText="1"/>
    </x:xf>
    <x:xf numFmtId="164" fontId="13" fillId="10" borderId="3" xfId="0" applyNumberFormat="1" applyFont="1" applyFill="1" applyBorder="1" applyAlignment="1">
      <x:alignment horizontal="general" vertical="bottom" wrapText="1"/>
    </x:xf>
    <x:xf numFmtId="164" fontId="14" fillId="8" borderId="0" xfId="0" applyNumberFormat="1" applyFont="1" applyFill="1" applyBorder="1" applyAlignment="1">
      <x:alignment horizontal="general" vertical="bottom" wrapText="0"/>
    </x:xf>
    <x:xf numFmtId="164" fontId="14" fillId="8" borderId="3" xfId="0" applyNumberFormat="1" applyFont="1" applyFill="1" applyBorder="1" applyAlignment="1">
      <x:alignment horizontal="general" vertical="bottom" wrapText="0"/>
    </x:xf>
    <x:xf numFmtId="164" fontId="13" fillId="9" borderId="0" xfId="0" applyNumberFormat="1" applyFont="1" applyFill="1" applyBorder="1" applyAlignment="1">
      <x:alignment horizontal="general" vertical="bottom" wrapText="1"/>
    </x:xf>
    <x:xf numFmtId="164" fontId="14" fillId="8" borderId="0" xfId="0" applyNumberFormat="1" applyFont="1" applyFill="1" applyBorder="1" applyAlignment="1">
      <x:alignment horizontal="general" vertical="bottom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6">
    <x:dxf>
      <x:fill>
        <x:patternFill patternType="solid">
          <x:bgColor rgb="FFDCFCE7"/>
        </x:patternFill>
      </x:fill>
    </x:dxf>
    <x:dxf>
      <x:fill>
        <x:patternFill patternType="solid">
          <x:bgColor rgb="FFDCFCE7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FEE2E2"/>
        </x:patternFill>
      </x:fill>
    </x:dxf>
    <x:dxf>
      <x:fill>
        <x:patternFill patternType="solid">
          <x:bgColor rgb="FFFEE2E2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CCCCC"/>
      <x:rgbColor rgb="FF717D7E"/>
      <x:rgbColor rgb="FF9999FF"/>
      <x:rgbColor rgb="FF993366"/>
      <x:rgbColor rgb="FFFFF9E6"/>
      <x:rgbColor rgb="FFF2F3F4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E8A020"/>
      <x:rgbColor rgb="FFFF6600"/>
      <x:rgbColor rgb="FF666699"/>
      <x:rgbColor rgb="FF969696"/>
      <x:rgbColor rgb="FF003366"/>
      <x:rgbColor rgb="FF339966"/>
      <x:rgbColor rgb="FF003300"/>
      <x:rgbColor rgb="FF1A1A2E"/>
      <x:rgbColor rgb="FFC0392B"/>
      <x:rgbColor rgb="FF993366"/>
      <x:rgbColor rgb="FF333399"/>
      <x:rgbColor rgb="FF16213E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e77d091bc84d79" /><Relationship Type="http://schemas.openxmlformats.org/officeDocument/2006/relationships/theme" Target="/xl/theme/theme1.xml" Id="Rb866fa14c9434808" /><Relationship Type="http://schemas.openxmlformats.org/officeDocument/2006/relationships/sharedStrings" Target="/xl/sharedStrings.xml" Id="Ra3903356deb6481d" /><Relationship Type="http://schemas.openxmlformats.org/officeDocument/2006/relationships/worksheet" Target="/xl/worksheets/sheet1.xml" Id="Rd023e9ed47524a7b" /><Relationship Type="http://schemas.openxmlformats.org/officeDocument/2006/relationships/worksheet" Target="/xl/worksheets/sheet2.xml" Id="R922d3421f6084d74" /><Relationship Type="http://schemas.openxmlformats.org/officeDocument/2006/relationships/worksheet" Target="/xl/worksheets/sheet3.xml" Id="R938888d5b90b429a" /><Relationship Type="http://schemas.openxmlformats.org/officeDocument/2006/relationships/worksheet" Target="/xl/worksheets/sheet4.xml" Id="Rf01971f7f92749aa" /><Relationship Type="http://schemas.openxmlformats.org/officeDocument/2006/relationships/worksheet" Target="/xl/worksheets/sheet5.xml" Id="R0fc5aa854a904714" /><Relationship Type="http://schemas.openxmlformats.org/officeDocument/2006/relationships/worksheet" Target="/xl/worksheets/sheet6.xml" Id="R2f7b67de231a46ca" /><Relationship Type="http://schemas.openxmlformats.org/officeDocument/2006/relationships/worksheet" Target="/xl/worksheets/sheet7.xml" Id="R5b1da8a284b847b2" /></Relationships>
</file>

<file path=xl/tables/table1.xml><?xml version="1.0" encoding="utf-8"?>
<x:table xmlns:x="http://schemas.openxmlformats.org/spreadsheetml/2006/main" id="1" name="BearingActionTracker" displayName="BearingActionTracker" ref="A4:K34" headerRowCount="1">
  <x:tableColumns count="11">
    <x:tableColumn id="1" name="Source/Sheet"/>
    <x:tableColumn id="2" name="Asset / Equipment"/>
    <x:tableColumn id="3" name="Finding / Defect"/>
    <x:tableColumn id="4" name="Risk / Impact"/>
    <x:tableColumn id="5" name="Priority"/>
    <x:tableColumn id="6" name="Responsible Person"/>
    <x:tableColumn id="7" name="Due Date"/>
    <x:tableColumn id="8" name="Status"/>
    <x:tableColumn id="9" name="Close-out Date"/>
    <x:tableColumn id="10" name="Verification / Evidence"/>
    <x:tableColumn id="11" name="Days Overdue"/>
  </x:tableColumns>
  <x:tableStyleInfo name="TableStyleMedium2" showRowStripes="1"/>
</x:table>
</file>

<file path=xl/tables/table2.xml><?xml version="1.0" encoding="utf-8"?>
<x:table xmlns:x="http://schemas.openxmlformats.org/spreadsheetml/2006/main" id="2" name="BearingPhotoLog" displayName="BearingPhotoLog" ref="A4:J19" headerRowCount="1">
  <x:tableColumns count="10">
    <x:tableColumn id="1" name="Photo Ref"/>
    <x:tableColumn id="2" name="Bearing / Equipment"/>
    <x:tableColumn id="3" name="Component / Location"/>
    <x:tableColumn id="4" name="Finding Shown"/>
    <x:tableColumn id="5" name="File/Folder Link"/>
    <x:tableColumn id="6" name="Taken By"/>
    <x:tableColumn id="7" name="Date"/>
    <x:tableColumn id="8" name="Severity"/>
    <x:tableColumn id="9" name="Action Ref"/>
    <x:tableColumn id="10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BearingDiagnosis" displayName="BearingDiagnosis" ref="A4:D11" headerRowCount="1">
  <x:tableColumns count="4">
    <x:tableColumn id="1" name="Visual symptom"/>
    <x:tableColumn id="2" name="Likely cause"/>
    <x:tableColumn id="3" name="Evidence to check"/>
    <x:tableColumn id="4" name="Typical corrective action"/>
  </x:tableColumns>
  <x:tableStyleInfo name="TableStyleMedium2" showRowStripes="1"/>
</x: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26f8c9fb400a4a9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2.xml" Id="Ra6583ca94b1d433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6e3d800db0334d14" /></Relationships>
</file>

<file path=xl/worksheets/sheet1.xml><?xml version="1.0" encoding="utf-8"?>
<x:worksheet xmlns:x="http://schemas.openxmlformats.org/spreadsheetml/2006/main">
  <x:sheetPr>
    <x:tabColor rgb="FFC0392B"/>
  </x:sheetPr>
  <x:sheetViews>
    <x:sheetView showGridLines="0" workbookViewId="0"/>
  </x:sheetViews>
  <x:sheetFormatPr defaultColWidth="8.6796875" defaultRowHeight="15"/>
  <x:cols>
    <x:col min="1" max="1" width="2" hidden="0" customWidth="1"/>
    <x:col min="2" max="2" width="8" hidden="0" customWidth="1"/>
    <x:col min="3" max="4" width="28" hidden="0" customWidth="1"/>
    <x:col min="5" max="8" width="14" hidden="0" customWidth="1"/>
    <x:col min="9" max="9" width="13" hidden="0" customWidth="1"/>
    <x:col min="10" max="10" width="11" hidden="0" customWidth="1"/>
    <x:col min="11" max="11" width="30" hidden="0" customWidth="1"/>
    <x:col min="12" max="12" width="15" hidden="0" customWidth="1"/>
    <x:col min="13" max="13" width="13" hidden="0" customWidth="1"/>
  </x:cols>
  <x:sheetData>
    <x:row r="1" ht="7.5" hidden="0" customHeight="1"/>
    <x:row r="2" ht="37.5" hidden="0" customHeight="1">
      <x:c r="A2" s="1"/>
      <x:c r="B2" s="2" t="s">
        <x:v>0</x:v>
      </x:c>
      <x:c r="C2" s="2"/>
      <x:c r="D2" s="2"/>
      <x:c r="E2" s="2"/>
      <x:c r="F2" s="2"/>
      <x:c r="G2" s="2"/>
      <x:c r="H2" s="2"/>
      <x:c r="I2" s="1"/>
    </x:row>
    <x:row r="3" ht="18" hidden="0" customHeight="1">
      <x:c r="B3" s="3" t="s">
        <x:v>1</x:v>
      </x:c>
      <x:c r="C3" s="3"/>
      <x:c r="D3" s="3"/>
      <x:c r="E3" s="3"/>
      <x:c r="F3" s="3"/>
      <x:c r="G3" s="3"/>
    </x:row>
    <x:row r="4" ht="19.5" hidden="0" customHeight="1">
      <x:c r="B4" s="4" t="s">
        <x:v>2</x:v>
      </x:c>
      <x:c r="C4" s="5"/>
      <x:c r="D4" s="5"/>
      <x:c r="E4" s="4" t="s">
        <x:v>3</x:v>
      </x:c>
      <x:c r="F4" s="5"/>
      <x:c r="G4" s="5"/>
    </x:row>
    <x:row r="5" ht="19.5" hidden="0" customHeight="1">
      <x:c r="B5" s="4" t="s">
        <x:v>4</x:v>
      </x:c>
      <x:c r="C5" s="5"/>
      <x:c r="D5" s="5"/>
      <x:c r="E5" s="4" t="s">
        <x:v>5</x:v>
      </x:c>
      <x:c r="F5" s="5"/>
      <x:c r="G5" s="5"/>
    </x:row>
    <x:row r="6" ht="19.5" hidden="0" customHeight="1">
      <x:c r="B6" s="4" t="s">
        <x:v>6</x:v>
      </x:c>
      <x:c r="C6" s="5"/>
      <x:c r="D6" s="5"/>
      <x:c r="E6" s="4" t="s">
        <x:v>7</x:v>
      </x:c>
      <x:c r="F6" s="5"/>
      <x:c r="G6" s="5"/>
    </x:row>
    <x:row r="7" ht="19.5" hidden="0" customHeight="1">
      <x:c r="B7" s="4" t="s">
        <x:v>8</x:v>
      </x:c>
      <x:c r="C7" s="5"/>
      <x:c r="D7" s="5"/>
      <x:c r="E7" s="4" t="s">
        <x:v>9</x:v>
      </x:c>
      <x:c r="F7" s="5"/>
      <x:c r="G7" s="5"/>
    </x:row>
    <x:row r="8" ht="19.5" hidden="0" customHeight="1">
      <x:c r="B8" s="4" t="s">
        <x:v>10</x:v>
      </x:c>
      <x:c r="C8" s="5"/>
      <x:c r="D8" s="5"/>
      <x:c r="E8" s="4" t="s">
        <x:v>11</x:v>
      </x:c>
      <x:c r="F8" s="5"/>
      <x:c r="G8" s="5"/>
    </x:row>
    <x:row r="9" ht="19.5" hidden="0" customHeight="1">
      <x:c r="B9" s="4" t="s">
        <x:v>12</x:v>
      </x:c>
      <x:c r="C9" s="5"/>
      <x:c r="D9" s="5"/>
      <x:c r="E9" s="4" t="s">
        <x:v>13</x:v>
      </x:c>
      <x:c r="F9" s="5"/>
      <x:c r="G9" s="5"/>
    </x:row>
    <x:row r="10" ht="9.75" hidden="0" customHeight="1"/>
    <x:row r="11" ht="21.75" hidden="0" customHeight="1">
      <x:c r="B11" s="6" t="s">
        <x:v>14</x:v>
      </x:c>
      <x:c r="C11" s="6"/>
      <x:c r="D11" s="6"/>
      <x:c r="E11" s="6"/>
      <x:c r="F11" s="6"/>
      <x:c r="G11" s="6"/>
      <x:c r="H11" s="6"/>
    </x:row>
    <x:row r="12" ht="22.350000381469727" hidden="0">
      <x:c r="B12" s="7" t="s">
        <x:v>15</x:v>
      </x:c>
      <x:c r="D12" s="7" t="s">
        <x:v>16</x:v>
      </x:c>
      <x:c r="F12" s="7" t="s">
        <x:v>17</x:v>
      </x:c>
      <x:c r="G12" s="7" t="s">
        <x:v>18</x:v>
      </x:c>
      <x:c r="H12" s="7" t="s">
        <x:v>19</x:v>
      </x:c>
      <x:c r="I12" s="75" t="str">
        <x:v>Frequency (1-5)</x:v>
      </x:c>
      <x:c r="J12" s="75" t="str">
        <x:v>Risk Score</x:v>
      </x:c>
      <x:c r="K12" s="75" t="str">
        <x:v>Probable Root Cause</x:v>
      </x:c>
      <x:c r="L12" s="75" t="str">
        <x:v>Evidence Ref</x:v>
      </x:c>
      <x:c r="M12" s="75" t="str">
        <x:v>Priority</x:v>
      </x:c>
    </x:row>
    <x:row r="13" ht="18" hidden="0" customHeight="1">
      <x:c r="B13" s="8" t="s">
        <x:v>20</x:v>
      </x:c>
      <x:c r="C13" s="8"/>
      <x:c r="D13" s="8" t="s">
        <x:v>21</x:v>
      </x:c>
      <x:c r="E13" s="8"/>
      <x:c r="F13" s="9"/>
      <x:c r="G13" s="9"/>
      <x:c r="H13" s="10"/>
      <x:c r="J13" t="str">
        <x:f>IF(OR(F13="",G13="",I13=""),"",G13*I13)</x:f>
      </x:c>
    </x:row>
    <x:row r="14" ht="18" hidden="0" customHeight="1">
      <x:c r="B14" s="11" t="s">
        <x:v>22</x:v>
      </x:c>
      <x:c r="C14" s="11"/>
      <x:c r="D14" s="11" t="s">
        <x:v>23</x:v>
      </x:c>
      <x:c r="E14" s="11"/>
      <x:c r="F14" s="9"/>
      <x:c r="G14" s="9"/>
      <x:c r="H14" s="10"/>
      <x:c r="J14" t="str">
        <x:f>IF(OR(F14="",G14="",I14=""),"",G14*I14)</x:f>
      </x:c>
    </x:row>
    <x:row r="15" ht="18" hidden="0" customHeight="1">
      <x:c r="B15" s="8" t="s">
        <x:v>24</x:v>
      </x:c>
      <x:c r="C15" s="8"/>
      <x:c r="D15" s="8" t="s">
        <x:v>25</x:v>
      </x:c>
      <x:c r="E15" s="8"/>
      <x:c r="F15" s="9"/>
      <x:c r="G15" s="9"/>
      <x:c r="H15" s="10"/>
      <x:c r="J15" t="str">
        <x:f>IF(OR(F15="",G15="",I15=""),"",G15*I15)</x:f>
      </x:c>
    </x:row>
    <x:row r="16" ht="18" hidden="0" customHeight="1">
      <x:c r="B16" s="11" t="s">
        <x:v>26</x:v>
      </x:c>
      <x:c r="C16" s="11"/>
      <x:c r="D16" s="11" t="s">
        <x:v>27</x:v>
      </x:c>
      <x:c r="E16" s="11"/>
      <x:c r="F16" s="9"/>
      <x:c r="G16" s="9"/>
      <x:c r="H16" s="10"/>
      <x:c r="J16" t="str">
        <x:f>IF(OR(F16="",G16="",I16=""),"",G16*I16)</x:f>
      </x:c>
    </x:row>
    <x:row r="17" ht="18" hidden="0" customHeight="1">
      <x:c r="B17" s="8" t="s">
        <x:v>28</x:v>
      </x:c>
      <x:c r="C17" s="8"/>
      <x:c r="D17" s="8" t="s">
        <x:v>29</x:v>
      </x:c>
      <x:c r="E17" s="8"/>
      <x:c r="F17" s="9"/>
      <x:c r="G17" s="9"/>
      <x:c r="H17" s="10"/>
      <x:c r="J17" t="str">
        <x:f>IF(OR(F17="",G17="",I17=""),"",G17*I17)</x:f>
      </x:c>
    </x:row>
    <x:row r="18" ht="18" hidden="0" customHeight="1">
      <x:c r="B18" s="11" t="s">
        <x:v>30</x:v>
      </x:c>
      <x:c r="C18" s="11"/>
      <x:c r="D18" s="11" t="s">
        <x:v>31</x:v>
      </x:c>
      <x:c r="E18" s="11"/>
      <x:c r="F18" s="9"/>
      <x:c r="G18" s="9"/>
      <x:c r="H18" s="10"/>
      <x:c r="J18" t="str">
        <x:f>IF(OR(F18="",G18="",I18=""),"",G18*I18)</x:f>
      </x:c>
    </x:row>
    <x:row r="19" ht="18" hidden="0" customHeight="1">
      <x:c r="B19" s="8" t="s">
        <x:v>32</x:v>
      </x:c>
      <x:c r="C19" s="8"/>
      <x:c r="D19" s="8" t="s">
        <x:v>33</x:v>
      </x:c>
      <x:c r="E19" s="8"/>
      <x:c r="F19" s="9"/>
      <x:c r="G19" s="9"/>
      <x:c r="H19" s="10"/>
      <x:c r="J19" t="str">
        <x:f>IF(OR(F19="",G19="",I19=""),"",G19*I19)</x:f>
      </x:c>
    </x:row>
    <x:row r="20" ht="18" hidden="0" customHeight="1">
      <x:c r="B20" s="11" t="s">
        <x:v>34</x:v>
      </x:c>
      <x:c r="C20" s="11"/>
      <x:c r="D20" s="11" t="s">
        <x:v>35</x:v>
      </x:c>
      <x:c r="E20" s="11"/>
      <x:c r="F20" s="9"/>
      <x:c r="G20" s="9"/>
      <x:c r="H20" s="10"/>
      <x:c r="J20" t="str">
        <x:f>IF(OR(F20="",G20="",I20=""),"",G20*I20)</x:f>
      </x:c>
    </x:row>
    <x:row r="21" ht="18" hidden="0" customHeight="1">
      <x:c r="B21" s="8" t="s">
        <x:v>36</x:v>
      </x:c>
      <x:c r="C21" s="8"/>
      <x:c r="D21" s="8" t="s">
        <x:v>37</x:v>
      </x:c>
      <x:c r="E21" s="8"/>
      <x:c r="F21" s="9"/>
      <x:c r="G21" s="9"/>
      <x:c r="H21" s="10"/>
      <x:c r="J21" t="str">
        <x:f>IF(OR(F21="",G21="",I21=""),"",G21*I21)</x:f>
      </x:c>
    </x:row>
    <x:row r="22" ht="18" hidden="0" customHeight="1">
      <x:c r="B22" s="11" t="s">
        <x:v>38</x:v>
      </x:c>
      <x:c r="C22" s="11"/>
      <x:c r="D22" s="11" t="s">
        <x:v>39</x:v>
      </x:c>
      <x:c r="E22" s="11"/>
      <x:c r="F22" s="9"/>
      <x:c r="G22" s="9"/>
      <x:c r="H22" s="10"/>
      <x:c r="J22" t="str">
        <x:f>IF(OR(F22="",G22="",I22=""),"",G22*I22)</x:f>
      </x:c>
    </x:row>
    <x:row r="23" ht="18" hidden="0" customHeight="1">
      <x:c r="B23" s="8" t="s">
        <x:v>40</x:v>
      </x:c>
      <x:c r="C23" s="8"/>
      <x:c r="D23" s="8" t="s">
        <x:v>41</x:v>
      </x:c>
      <x:c r="E23" s="8"/>
      <x:c r="F23" s="9"/>
      <x:c r="G23" s="9"/>
      <x:c r="H23" s="10"/>
      <x:c r="J23" t="str">
        <x:f>IF(OR(F23="",G23="",I23=""),"",G23*I23)</x:f>
      </x:c>
    </x:row>
    <x:row r="24" ht="18" hidden="0" customHeight="1">
      <x:c r="B24" s="11" t="s">
        <x:v>42</x:v>
      </x:c>
      <x:c r="C24" s="11"/>
      <x:c r="D24" s="11" t="s">
        <x:v>43</x:v>
      </x:c>
      <x:c r="E24" s="11"/>
      <x:c r="F24" s="9"/>
      <x:c r="G24" s="9"/>
      <x:c r="H24" s="10"/>
      <x:c r="J24" t="str">
        <x:f>IF(OR(F24="",G24="",I24=""),"",G24*I24)</x:f>
      </x:c>
    </x:row>
    <x:row r="25" ht="18" hidden="0" customHeight="1">
      <x:c r="B25" s="8" t="s">
        <x:v>44</x:v>
      </x:c>
      <x:c r="C25" s="8"/>
      <x:c r="D25" s="8" t="s">
        <x:v>45</x:v>
      </x:c>
      <x:c r="E25" s="8"/>
      <x:c r="F25" s="9"/>
      <x:c r="G25" s="9"/>
      <x:c r="H25" s="10"/>
      <x:c r="J25" t="str">
        <x:f>IF(OR(F25="",G25="",I25=""),"",G25*I25)</x:f>
      </x:c>
    </x:row>
    <x:row r="26" ht="18" hidden="0" customHeight="1">
      <x:c r="B26" s="11" t="s">
        <x:v>46</x:v>
      </x:c>
      <x:c r="C26" s="11"/>
      <x:c r="D26" s="11" t="s">
        <x:v>47</x:v>
      </x:c>
      <x:c r="E26" s="11"/>
      <x:c r="F26" s="9"/>
      <x:c r="G26" s="9"/>
      <x:c r="H26" s="10"/>
      <x:c r="J26" t="str">
        <x:f>IF(OR(F26="",G26="",I26=""),"",G26*I26)</x:f>
      </x:c>
    </x:row>
    <x:row r="27" ht="9.75" hidden="0" customHeight="1"/>
    <x:row r="28" ht="21.75" hidden="0" customHeight="1">
      <x:c r="B28" s="6" t="s">
        <x:v>48</x:v>
      </x:c>
      <x:c r="C28" s="6"/>
      <x:c r="D28" s="6"/>
      <x:c r="E28" s="6"/>
      <x:c r="F28" s="6"/>
      <x:c r="G28" s="6"/>
      <x:c r="H28" s="6"/>
    </x:row>
    <x:row r="29" ht="21.75" hidden="0" customHeight="1">
      <x:c r="B29" s="12" t="s">
        <x:v>49</x:v>
      </x:c>
      <x:c r="C29" s="12"/>
      <x:c r="D29" s="5"/>
      <x:c r="E29" s="5"/>
      <x:c r="F29" s="5"/>
      <x:c r="G29" s="5"/>
      <x:c r="H29" s="5"/>
    </x:row>
    <x:row r="30" ht="21.75" hidden="0" customHeight="1">
      <x:c r="B30" s="13" t="s">
        <x:v>50</x:v>
      </x:c>
      <x:c r="C30" s="13"/>
      <x:c r="D30" s="5"/>
      <x:c r="E30" s="5"/>
      <x:c r="F30" s="5"/>
      <x:c r="G30" s="5"/>
      <x:c r="H30" s="5"/>
    </x:row>
    <x:row r="31" ht="21.75" hidden="0" customHeight="1">
      <x:c r="B31" s="12" t="s">
        <x:v>51</x:v>
      </x:c>
      <x:c r="C31" s="12"/>
      <x:c r="D31" s="5"/>
      <x:c r="E31" s="5"/>
      <x:c r="F31" s="5"/>
      <x:c r="G31" s="5"/>
      <x:c r="H31" s="5"/>
    </x:row>
    <x:row r="32" ht="21.75" hidden="0" customHeight="1">
      <x:c r="B32" s="13" t="s">
        <x:v>52</x:v>
      </x:c>
      <x:c r="C32" s="13"/>
      <x:c r="D32" s="5"/>
      <x:c r="E32" s="5"/>
      <x:c r="F32" s="5"/>
      <x:c r="G32" s="5"/>
      <x:c r="H32" s="5"/>
    </x:row>
    <x:row r="33" ht="21.75" hidden="0" customHeight="1">
      <x:c r="B33" s="12" t="s">
        <x:v>53</x:v>
      </x:c>
      <x:c r="C33" s="12"/>
      <x:c r="D33" s="5"/>
      <x:c r="E33" s="5"/>
      <x:c r="F33" s="5"/>
      <x:c r="G33" s="5"/>
      <x:c r="H33" s="5"/>
    </x:row>
    <x:row r="34" ht="21.75" hidden="0" customHeight="1">
      <x:c r="B34" s="13" t="s">
        <x:v>54</x:v>
      </x:c>
      <x:c r="C34" s="13"/>
      <x:c r="D34" s="5"/>
      <x:c r="E34" s="5"/>
      <x:c r="F34" s="5"/>
      <x:c r="G34" s="5"/>
      <x:c r="H34" s="5"/>
    </x:row>
    <x:row r="35" ht="9.75" hidden="0" customHeight="1"/>
    <x:row r="36" ht="21.75" hidden="0" customHeight="1">
      <x:c r="B36" s="6" t="s">
        <x:v>55</x:v>
      </x:c>
      <x:c r="C36" s="6"/>
      <x:c r="D36" s="6"/>
      <x:c r="E36" s="6"/>
      <x:c r="F36" s="6"/>
      <x:c r="G36" s="6"/>
      <x:c r="H36" s="6"/>
    </x:row>
    <x:row r="37" ht="22.350000381469727" hidden="0">
      <x:c r="B37" s="7" t="s">
        <x:v>56</x:v>
      </x:c>
      <x:c r="E37" s="7" t="s">
        <x:v>57</x:v>
      </x:c>
      <x:c r="F37" s="7" t="s">
        <x:v>58</x:v>
      </x:c>
      <x:c r="G37" s="7" t="s">
        <x:v>59</x:v>
      </x:c>
      <x:c r="H37" s="7" t="s">
        <x:v>60</x:v>
      </x:c>
    </x:row>
    <x:row r="38" ht="19.5" hidden="0" customHeight="1">
      <x:c r="B38" s="14"/>
      <x:c r="C38" s="14"/>
      <x:c r="D38" s="14"/>
      <x:c r="E38" s="15"/>
      <x:c r="F38" s="15"/>
      <x:c r="G38" s="15"/>
      <x:c r="H38" s="15"/>
    </x:row>
    <x:row r="39" ht="19.5" hidden="0" customHeight="1">
      <x:c r="B39" s="14"/>
      <x:c r="C39" s="14"/>
      <x:c r="D39" s="14"/>
      <x:c r="E39" s="15"/>
      <x:c r="F39" s="15"/>
      <x:c r="G39" s="15"/>
      <x:c r="H39" s="15"/>
    </x:row>
    <x:row r="40" ht="19.5" hidden="0" customHeight="1">
      <x:c r="B40" s="14"/>
      <x:c r="C40" s="14"/>
      <x:c r="D40" s="14"/>
      <x:c r="E40" s="15"/>
      <x:c r="F40" s="15"/>
      <x:c r="G40" s="15"/>
      <x:c r="H40" s="15"/>
    </x:row>
    <x:row r="41" ht="19.5" hidden="0" customHeight="1">
      <x:c r="B41" s="14"/>
      <x:c r="C41" s="14"/>
      <x:c r="D41" s="14"/>
      <x:c r="E41" s="15"/>
      <x:c r="F41" s="15"/>
      <x:c r="G41" s="15"/>
      <x:c r="H41" s="15"/>
    </x:row>
    <x:row r="42" ht="19.5" hidden="0" customHeight="1">
      <x:c r="B42" s="14"/>
      <x:c r="C42" s="14"/>
      <x:c r="D42" s="14"/>
      <x:c r="E42" s="15"/>
      <x:c r="F42" s="15"/>
      <x:c r="G42" s="15"/>
      <x:c r="H42" s="15"/>
    </x:row>
    <x:row r="43" ht="9.75" hidden="0" customHeight="1"/>
    <x:row r="44" ht="21.75" hidden="0" customHeight="1">
      <x:c r="B44" s="6" t="s">
        <x:v>61</x:v>
      </x:c>
      <x:c r="C44" s="6"/>
      <x:c r="D44" s="6"/>
      <x:c r="E44" s="6"/>
      <x:c r="F44" s="6"/>
      <x:c r="G44" s="6"/>
      <x:c r="H44" s="6"/>
    </x:row>
    <x:row r="45" ht="19.5" hidden="0" customHeight="1">
      <x:c r="B45" s="4" t="s">
        <x:v>62</x:v>
      </x:c>
      <x:c r="C45" s="5"/>
      <x:c r="E45" s="4" t="s">
        <x:v>63</x:v>
      </x:c>
      <x:c r="F45" s="5"/>
    </x:row>
    <x:row r="46" ht="19.5" hidden="0" customHeight="1">
      <x:c r="B46" s="4" t="s">
        <x:v>64</x:v>
      </x:c>
      <x:c r="C46" s="5"/>
      <x:c r="E46" s="4" t="s">
        <x:v>65</x:v>
      </x:c>
      <x:c r="F46" s="5"/>
    </x:row>
    <x:row r="47" ht="19.5" hidden="0" customHeight="1">
      <x:c r="B47" s="4" t="s">
        <x:v>66</x:v>
      </x:c>
      <x:c r="C47" s="5"/>
      <x:c r="E47" s="4" t="s">
        <x:v>67</x:v>
      </x:c>
      <x:c r="F47" s="5"/>
    </x:row>
    <x:row r="48" ht="19.5" hidden="0" customHeight="1">
      <x:c r="B48" s="4" t="s">
        <x:v>68</x:v>
      </x:c>
      <x:c r="C48" s="5"/>
      <x:c r="E48" s="4" t="s">
        <x:v>69</x:v>
      </x:c>
      <x:c r="F48" s="5"/>
    </x:row>
    <x:row r="49" ht="9.75" hidden="0" customHeight="1"/>
    <x:row r="50" ht="32.79999923706055" hidden="0">
      <x:c r="B50" s="16" t="s">
        <x:v>70</x:v>
      </x:c>
      <x:c r="D50" s="16" t="s">
        <x:v>71</x:v>
      </x:c>
      <x:c r="F50" s="16" t="s">
        <x:v>72</x:v>
      </x:c>
      <x:c r="G50" s="16" t="s">
        <x:v>73</x:v>
      </x:c>
    </x:row>
    <x:row r="51" ht="27.75" hidden="0" customHeight="1">
      <x:c r="B51" s="5"/>
      <x:c r="C51" s="5"/>
      <x:c r="D51" s="5"/>
      <x:c r="E51" s="5"/>
      <x:c r="F51" s="5"/>
      <x:c r="G51" s="5"/>
      <x:c r="H51" s="5"/>
    </x:row>
  </x:sheetData>
  <x:mergeCells>
    <x:mergeCell ref="B2:H2"/>
    <x:mergeCell ref="B3:G3"/>
    <x:mergeCell ref="B11:H11"/>
    <x:mergeCell ref="B13:C13"/>
    <x:mergeCell ref="D13:E13"/>
    <x:mergeCell ref="B14:C14"/>
    <x:mergeCell ref="D14:E14"/>
    <x:mergeCell ref="B15:C15"/>
    <x:mergeCell ref="D15:E15"/>
    <x:mergeCell ref="B16:C16"/>
    <x:mergeCell ref="D16:E16"/>
    <x:mergeCell ref="B17:C17"/>
    <x:mergeCell ref="D17:E17"/>
    <x:mergeCell ref="B18:C18"/>
    <x:mergeCell ref="D18:E18"/>
    <x:mergeCell ref="B19:C19"/>
    <x:mergeCell ref="D19:E19"/>
    <x:mergeCell ref="B20:C20"/>
    <x:mergeCell ref="D20:E20"/>
    <x:mergeCell ref="B21:C21"/>
    <x:mergeCell ref="D21:E21"/>
    <x:mergeCell ref="B22:C22"/>
    <x:mergeCell ref="D22:E22"/>
    <x:mergeCell ref="B23:C23"/>
    <x:mergeCell ref="D23:E23"/>
    <x:mergeCell ref="B24:C24"/>
    <x:mergeCell ref="D24:E24"/>
    <x:mergeCell ref="B25:C25"/>
    <x:mergeCell ref="D25:E25"/>
    <x:mergeCell ref="B26:C26"/>
    <x:mergeCell ref="D26:E26"/>
    <x:mergeCell ref="B28:H28"/>
    <x:mergeCell ref="B29:C29"/>
    <x:mergeCell ref="D29:H29"/>
    <x:mergeCell ref="B30:C30"/>
    <x:mergeCell ref="D30:H30"/>
    <x:mergeCell ref="B31:C31"/>
    <x:mergeCell ref="D31:H31"/>
    <x:mergeCell ref="B32:C32"/>
    <x:mergeCell ref="D32:H32"/>
    <x:mergeCell ref="B33:C33"/>
    <x:mergeCell ref="D33:H33"/>
    <x:mergeCell ref="B34:C34"/>
    <x:mergeCell ref="D34:H34"/>
    <x:mergeCell ref="B36:H36"/>
    <x:mergeCell ref="B38:D38"/>
    <x:mergeCell ref="B39:D39"/>
    <x:mergeCell ref="B40:D40"/>
    <x:mergeCell ref="B41:D41"/>
    <x:mergeCell ref="B42:D42"/>
    <x:mergeCell ref="B44:H44"/>
  </x:mergeCells>
  <x:conditionalFormatting sqref="J13:J26">
    <x:cfRule type="cellIs" dxfId="5" priority="1" operator="greaterThanOrEqual">
      <x:formula>15</x:formula>
    </x:cfRule>
  </x:conditionalFormatting>
  <x:dataValidations count="3">
    <x:dataValidation type="list" sqref="F13:F26">
      <x:formula1>"✓,Observed,Not Observed,TBC"</x:formula1>
    </x:dataValidation>
    <x:dataValidation type="list" sqref="I13:I26">
      <x:formula1>"1,2,3,4,5"</x:formula1>
    </x:dataValidation>
    <x:dataValidation type="list" sqref="M13:M26">
      <x:formula1>"Critical,High,Medium,Low,Monitor"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80" hidden="0" customWidth="1"/>
  </x:cols>
  <x:sheetData>
    <x:row r="1" ht="30" customHeight="1">
      <x:c r="A1" s="37" t="str">
        <x:v>Bearing Failure Analysis Sheet — PREMIUM UPGRADE GUIDE</x:v>
      </x:c>
      <x:c r="B1" s="37"/>
      <x:c r="C1" s="37"/>
      <x:c r="D1" s="37"/>
      <x:c r="E1" s="37"/>
      <x:c r="F1" s="37"/>
      <x:c r="G1" s="37"/>
      <x:c r="H1" s="37"/>
      <x:c r="I1" s="37"/>
      <x:c r="J1" s="37"/>
      <x:c r="K1" s="37"/>
    </x:row>
    <x:row r="2" ht="32" customHeight="1">
      <x:c r="A2" s="44" t="str">
        <x:v>Original template preserved. Added premium sheets turn the file into a semi-automated maintenance management tool.</x:v>
      </x:c>
      <x:c r="B2" s="44"/>
      <x:c r="C2" s="44"/>
      <x:c r="D2" s="44"/>
      <x:c r="E2" s="44"/>
      <x:c r="F2" s="44"/>
      <x:c r="G2" s="44"/>
      <x:c r="H2" s="44"/>
      <x:c r="I2" s="44"/>
      <x:c r="J2" s="44"/>
      <x:c r="K2" s="44"/>
    </x:row>
    <x:row r="4" ht="26" customHeight="1">
      <x:c r="A4" s="52" t="str">
        <x:v>Step</x:v>
      </x:c>
      <x:c r="B4" s="52" t="str">
        <x:v>What to do</x:v>
      </x:c>
      <x:c r="C4" s="52" t="str">
        <x:v>Outcome</x:v>
      </x:c>
    </x:row>
    <x:row r="5">
      <x:c r="A5" s="60" t="str">
        <x:v>1</x:v>
      </x:c>
      <x:c r="B5" s="60" t="str">
        <x:v>Enter field data</x:v>
      </x:c>
      <x:c r="C5" s="60" t="str">
        <x:v>Complete the original inspection/report sheet. Yellow cells and result columns are input fields.</x:v>
      </x:c>
    </x:row>
    <x:row r="6">
      <x:c r="A6" s="60" t="str">
        <x:v>2</x:v>
      </x:c>
      <x:c r="B6" s="60" t="str">
        <x:v>Use dropdowns</x:v>
      </x:c>
      <x:c r="C6" s="60" t="str">
        <x:v>Use standardised results, priority, status, criticality and RCA decision fields to keep data clean.</x:v>
      </x:c>
    </x:row>
    <x:row r="7">
      <x:c r="A7" s="60" t="str">
        <x:v>3</x:v>
      </x:c>
      <x:c r="B7" s="60" t="str">
        <x:v>Review dashboard</x:v>
      </x:c>
      <x:c r="C7" s="60" t="str">
        <x:v>Open the dashboard/summary sheet to view compliance, open actions, overdue actions and management risk indicators.</x:v>
      </x:c>
    </x:row>
    <x:row r="8">
      <x:c r="A8" s="60" t="str">
        <x:v>4</x:v>
      </x:c>
      <x:c r="B8" s="60" t="str">
        <x:v>Close actions</x:v>
      </x:c>
      <x:c r="C8" s="60" t="str">
        <x:v>Transfer defects/recommendations to the Action Tracker with owner, due date, status and verification evidence.</x:v>
      </x:c>
    </x:row>
    <x:row r="9">
      <x:c r="A9" s="60" t="str">
        <x:v>5</x:v>
      </x:c>
      <x:c r="B9" s="60" t="str">
        <x:v>Issue report</x:v>
      </x:c>
      <x:c r="C9" s="60" t="str">
        <x:v>Use the original form for site records and the added registers for meetings, audits and maintenance planning.</x:v>
      </x:c>
    </x:row>
    <x:row r="12">
      <x:c r="A12" s="64" t="str">
        <x:v>Upgrades Implemented</x:v>
      </x:c>
      <x:c r="B12" s="64"/>
      <x:c r="C12" s="64"/>
      <x:c r="D12" s="64"/>
      <x:c r="E12" s="64"/>
      <x:c r="F12" s="64"/>
      <x:c r="G12" s="64"/>
      <x:c r="H12" s="64"/>
      <x:c r="I12" s="64"/>
      <x:c r="J12" s="64"/>
      <x:c r="K12" s="64"/>
    </x:row>
    <x:row r="13">
      <x:c r="A13" s="68" t="str">
        <x:v>• Risk scoring added: severity × frequency by failure mode.</x:v>
      </x:c>
      <x:c r="B13" s="68" t="str"/>
      <x:c r="C13" s="68" t="str"/>
      <x:c r="D13" s="68" t="str"/>
      <x:c r="E13" s="68" t="str"/>
      <x:c r="F13" s="68" t="str"/>
      <x:c r="G13" s="68" t="str"/>
      <x:c r="H13" s="68" t="str"/>
      <x:c r="I13" s="68" t="str"/>
      <x:c r="J13" s="68" t="str"/>
      <x:c r="K13" s="68" t="str"/>
    </x:row>
    <x:row r="14">
      <x:c r="A14" s="68" t="str">
        <x:v>• Photo/evidence log added for races, cage, rolling elements, shaft fit, housing fit and lubricant evidence.</x:v>
      </x:c>
      <x:c r="B14" s="68" t="str"/>
      <x:c r="C14" s="68" t="str"/>
      <x:c r="D14" s="68" t="str"/>
      <x:c r="E14" s="68" t="str"/>
      <x:c r="F14" s="68" t="str"/>
      <x:c r="G14" s="68" t="str"/>
      <x:c r="H14" s="68" t="str"/>
      <x:c r="I14" s="68" t="str"/>
      <x:c r="J14" s="68" t="str"/>
      <x:c r="K14" s="68" t="str"/>
    </x:row>
    <x:row r="15">
      <x:c r="A15" s="68" t="str">
        <x:v>• Diagnostic guide added to link symptoms to likely causes and checks.</x:v>
      </x:c>
      <x:c r="B15" s="68" t="str"/>
      <x:c r="C15" s="68" t="str"/>
      <x:c r="D15" s="68" t="str"/>
      <x:c r="E15" s="68" t="str"/>
      <x:c r="F15" s="68" t="str"/>
      <x:c r="G15" s="68" t="str"/>
      <x:c r="H15" s="68" t="str"/>
      <x:c r="I15" s="68" t="str"/>
      <x:c r="J15" s="68" t="str"/>
      <x:c r="K15" s="68" t="str"/>
    </x:row>
    <x:row r="16">
      <x:c r="A16" s="68" t="str">
        <x:v>• Action tracker added with due dates, status, close-out verification and overdue calculation.</x:v>
      </x:c>
      <x:c r="B16" s="68" t="str"/>
      <x:c r="C16" s="68" t="str"/>
      <x:c r="D16" s="68" t="str"/>
      <x:c r="E16" s="68" t="str"/>
      <x:c r="F16" s="68" t="str"/>
      <x:c r="G16" s="68" t="str"/>
      <x:c r="H16" s="68" t="str"/>
      <x:c r="I16" s="68" t="str"/>
      <x:c r="J16" s="68" t="str"/>
      <x:c r="K16" s="68" t="str"/>
    </x:row>
    <x:row r="17">
      <x:c r="A17" s="68" t="str">
        <x:v>• Dashboard added for observed failure modes, maximum risk, critical findings and action status.</x:v>
      </x:c>
      <x:c r="B17" s="68" t="str"/>
      <x:c r="C17" s="68" t="str"/>
      <x:c r="D17" s="68" t="str"/>
      <x:c r="E17" s="68" t="str"/>
      <x:c r="F17" s="68" t="str"/>
      <x:c r="G17" s="68" t="str"/>
      <x:c r="H17" s="68" t="str"/>
      <x:c r="I17" s="68" t="str"/>
      <x:c r="J17" s="68" t="str"/>
      <x:c r="K17" s="68" t="str"/>
    </x:row>
  </x:sheetData>
  <x:mergeCells>
    <x:mergeCell ref="A1:K1"/>
    <x:mergeCell ref="A2:K2"/>
    <x:mergeCell ref="A13:K13"/>
    <x:mergeCell ref="A14:K14"/>
    <x:mergeCell ref="A15:K15"/>
    <x:mergeCell ref="A16:K16"/>
    <x:mergeCell ref="A17:K1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59.5" hidden="0" customWidth="1"/>
    <x:col min="2" max="2" width="6.880000114440918" hidden="0" customWidth="1"/>
    <x:col min="3" max="3" width="6.630000114440918" hidden="0" customWidth="1"/>
    <x:col min="4" max="4" width="6.75" hidden="0" customWidth="1"/>
    <x:col min="5" max="5" width="12.630000114440918" hidden="0" customWidth="1"/>
    <x:col min="6" max="6" width="10.5" hidden="0" customWidth="1"/>
    <x:col min="7" max="7" width="4.630000114440918" hidden="0" customWidth="1"/>
    <x:col min="8" max="8" width="11" hidden="0" customWidth="1"/>
  </x:cols>
  <x:sheetData>
    <x:row r="1" ht="30" customHeight="1">
      <x:c r="A1" s="37" t="str">
        <x:v>CONTROL LISTS / DROPDOWNS</x:v>
      </x:c>
      <x:c r="B1" s="37"/>
      <x:c r="C1" s="37"/>
      <x:c r="D1" s="37"/>
      <x:c r="E1" s="37"/>
      <x:c r="F1" s="37"/>
      <x:c r="G1" s="37"/>
      <x:c r="H1" s="37"/>
    </x:row>
    <x:row r="2" ht="32" customHeight="1">
      <x:c r="A2" s="44" t="str">
        <x:v>Edit these lists if your site uses different status, priority, failure mode or criticality labels.</x:v>
      </x:c>
      <x:c r="B2" s="44"/>
      <x:c r="C2" s="44"/>
      <x:c r="D2" s="44"/>
      <x:c r="E2" s="44"/>
      <x:c r="F2" s="44"/>
      <x:c r="G2" s="44"/>
      <x:c r="H2" s="44"/>
    </x:row>
    <x:row r="4">
      <x:c r="A4" s="71" t="str">
        <x:v>Status</x:v>
      </x:c>
      <x:c r="B4" s="71" t="str">
        <x:v>Priority</x:v>
      </x:c>
      <x:c r="C4" s="71" t="str">
        <x:v>Result</x:v>
      </x:c>
      <x:c r="D4" s="71" t="str">
        <x:v>Severity</x:v>
      </x:c>
      <x:c r="E4" s="71" t="str">
        <x:v>Failure Mode</x:v>
      </x:c>
      <x:c r="F4" s="71" t="str">
        <x:v>Criticality</x:v>
      </x:c>
      <x:c r="G4" s="71" t="str">
        <x:v>Shift</x:v>
      </x:c>
      <x:c r="H4" s="71" t="str">
        <x:v>RCA Required</x:v>
      </x:c>
    </x:row>
    <x:row r="5">
      <x:c r="A5" t="str">
        <x:v>Open</x:v>
      </x:c>
      <x:c r="B5" t="str">
        <x:v>Critical</x:v>
      </x:c>
      <x:c r="C5" t="str">
        <x:v>✓</x:v>
      </x:c>
      <x:c r="D5" t="n">
        <x:v>1</x:v>
      </x:c>
      <x:c r="E5" t="str">
        <x:v>Mechanical</x:v>
      </x:c>
      <x:c r="F5" t="str">
        <x:v>A - Critical</x:v>
      </x:c>
      <x:c r="G5" t="str">
        <x:v>Day</x:v>
      </x:c>
      <x:c r="H5" t="str">
        <x:v>Yes</x:v>
      </x:c>
    </x:row>
    <x:row r="6">
      <x:c r="A6" t="str">
        <x:v>In Progress</x:v>
      </x:c>
      <x:c r="B6" t="str">
        <x:v>High</x:v>
      </x:c>
      <x:c r="C6" t="str">
        <x:v>✗</x:v>
      </x:c>
      <x:c r="D6" t="n">
        <x:v>2</x:v>
      </x:c>
      <x:c r="E6" t="str">
        <x:v>Electrical</x:v>
      </x:c>
      <x:c r="F6" t="str">
        <x:v>B - Important</x:v>
      </x:c>
      <x:c r="G6" t="str">
        <x:v>Night</x:v>
      </x:c>
      <x:c r="H6" t="str">
        <x:v>No</x:v>
      </x:c>
    </x:row>
    <x:row r="7">
      <x:c r="A7" t="str">
        <x:v>Complete</x:v>
      </x:c>
      <x:c r="B7" t="str">
        <x:v>Medium</x:v>
      </x:c>
      <x:c r="C7" t="str">
        <x:v>N/A</x:v>
      </x:c>
      <x:c r="D7" t="n">
        <x:v>3</x:v>
      </x:c>
      <x:c r="E7" t="str">
        <x:v>Lubrication</x:v>
      </x:c>
      <x:c r="F7" t="str">
        <x:v>C - General</x:v>
      </x:c>
      <x:c r="G7" t="str">
        <x:v>A</x:v>
      </x:c>
      <x:c r="H7" t="str">
        <x:v>TBC</x:v>
      </x:c>
    </x:row>
    <x:row r="8">
      <x:c r="A8" t="str">
        <x:v>Overdue</x:v>
      </x:c>
      <x:c r="B8" t="str">
        <x:v>Low</x:v>
      </x:c>
      <x:c r="C8" t="str">
        <x:v>Monitor</x:v>
      </x:c>
      <x:c r="D8" t="n">
        <x:v>4</x:v>
      </x:c>
      <x:c r="E8" t="str">
        <x:v>Hydraulic</x:v>
      </x:c>
      <x:c r="G8" t="str">
        <x:v>B</x:v>
      </x:c>
    </x:row>
    <x:row r="9">
      <x:c r="A9" t="str">
        <x:v>Deferred</x:v>
      </x:c>
      <x:c r="B9" t="str">
        <x:v>Monitor</x:v>
      </x:c>
      <x:c r="D9" t="n">
        <x:v>5</x:v>
      </x:c>
      <x:c r="E9" t="str">
        <x:v>Pneumatic</x:v>
      </x:c>
      <x:c r="G9" t="str">
        <x:v>C</x:v>
      </x:c>
    </x:row>
    <x:row r="10">
      <x:c r="A10" t="str">
        <x:v>Cancelled</x:v>
      </x:c>
      <x:c r="E10" t="str">
        <x:v>Instrumentation</x:v>
      </x:c>
      <x:c r="G10" t="str">
        <x:v>D</x:v>
      </x:c>
    </x:row>
    <x:row r="11">
      <x:c r="A11" t="str">
        <x:v>Verified</x:v>
      </x:c>
      <x:c r="E11" t="str">
        <x:v>Process</x:v>
      </x:c>
    </x:row>
    <x:row r="12">
      <x:c r="E12" t="str">
        <x:v>Operator</x:v>
      </x:c>
    </x:row>
    <x:row r="13">
      <x:c r="E13" t="str">
        <x:v>Design</x:v>
      </x:c>
    </x:row>
    <x:row r="14">
      <x:c r="E14" t="str">
        <x:v>Unknown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34" hidden="0" customWidth="1"/>
    <x:col min="4" max="4" width="26" hidden="0" customWidth="1"/>
    <x:col min="5" max="5" width="13" hidden="0" customWidth="1"/>
    <x:col min="6" max="6" width="18" hidden="0" customWidth="1"/>
    <x:col min="7" max="7" width="13" hidden="0" customWidth="1"/>
    <x:col min="8" max="8" width="14" hidden="0" customWidth="1"/>
    <x:col min="9" max="9" width="13" hidden="0" customWidth="1"/>
    <x:col min="10" max="10" width="32" hidden="0" customWidth="1"/>
    <x:col min="11" max="11" width="12" hidden="0" customWidth="1"/>
  </x:cols>
  <x:sheetData>
    <x:row r="1" ht="30" customHeight="1">
      <x:c r="A1" s="37" t="str">
        <x:v>ACTION TRACKER</x:v>
      </x:c>
      <x:c r="B1" s="37"/>
      <x:c r="C1" s="37"/>
      <x:c r="D1" s="37"/>
      <x:c r="E1" s="37"/>
      <x:c r="F1" s="37"/>
      <x:c r="G1" s="37"/>
      <x:c r="H1" s="37"/>
      <x:c r="I1" s="37"/>
      <x:c r="J1" s="37"/>
      <x:c r="K1" s="37"/>
    </x:row>
    <x:row r="2" ht="32" customHeight="1">
      <x:c r="A2" s="44" t="str">
        <x:v>Central register for defects, recommendations, close-out dates, and verification.</x:v>
      </x:c>
      <x:c r="B2" s="44"/>
      <x:c r="C2" s="44"/>
      <x:c r="D2" s="44"/>
      <x:c r="E2" s="44"/>
      <x:c r="F2" s="44"/>
      <x:c r="G2" s="44"/>
      <x:c r="H2" s="44"/>
      <x:c r="I2" s="44"/>
      <x:c r="J2" s="44"/>
      <x:c r="K2" s="44"/>
    </x:row>
    <x:row r="4" ht="26" customHeight="1">
      <x:c r="A4" s="52" t="str">
        <x:v>Source/Sheet</x:v>
      </x:c>
      <x:c r="B4" s="52" t="str">
        <x:v>Asset / Equipment</x:v>
      </x:c>
      <x:c r="C4" s="52" t="str">
        <x:v>Finding / Defect</x:v>
      </x:c>
      <x:c r="D4" s="52" t="str">
        <x:v>Risk / Impact</x:v>
      </x:c>
      <x:c r="E4" s="52" t="str">
        <x:v>Priority</x:v>
      </x:c>
      <x:c r="F4" s="52" t="str">
        <x:v>Responsible Person</x:v>
      </x:c>
      <x:c r="G4" s="52" t="str">
        <x:v>Due Date</x:v>
      </x:c>
      <x:c r="H4" s="52" t="str">
        <x:v>Status</x:v>
      </x:c>
      <x:c r="I4" s="52" t="str">
        <x:v>Close-out Date</x:v>
      </x:c>
      <x:c r="J4" s="52" t="str">
        <x:v>Verification / Evidence</x:v>
      </x:c>
      <x:c r="K4" s="52" t="str">
        <x:v>Days Overdue</x:v>
      </x:c>
    </x:row>
    <x:row r="5">
      <x:c r="A5" s="60" t="str"/>
      <x:c r="B5" s="60" t="str"/>
      <x:c r="C5" s="60" t="str"/>
      <x:c r="D5" s="60" t="str"/>
      <x:c r="E5" s="60" t="str"/>
      <x:c r="F5" s="60" t="str"/>
      <x:c r="G5" s="73" t="str"/>
      <x:c r="H5" s="60" t="str">
        <x:v>Open</x:v>
      </x:c>
      <x:c r="I5" s="73" t="str"/>
      <x:c r="J5" s="60" t="str"/>
      <x:c r="K5" s="60" t="n">
        <x:f>IF(AND(G5&lt;&gt;"",H5&lt;&gt;"Complete",H5&lt;&gt;"Verified"),MAX(0,TODAY()-G5),0)</x:f>
        <x:v>0</x:v>
      </x:c>
    </x:row>
    <x:row r="6">
      <x:c r="A6" s="60" t="str"/>
      <x:c r="B6" s="60" t="str"/>
      <x:c r="C6" s="60" t="str"/>
      <x:c r="D6" s="60" t="str"/>
      <x:c r="E6" s="60" t="str"/>
      <x:c r="F6" s="60" t="str"/>
      <x:c r="G6" s="73" t="str"/>
      <x:c r="H6" s="60" t="str">
        <x:v>Open</x:v>
      </x:c>
      <x:c r="I6" s="73" t="str"/>
      <x:c r="J6" s="60" t="str"/>
      <x:c r="K6" s="60" t="n">
        <x:f>IF(AND(G6&lt;&gt;"",H6&lt;&gt;"Complete",H6&lt;&gt;"Verified"),MAX(0,TODAY()-G6),0)</x:f>
        <x:v>0</x:v>
      </x:c>
    </x:row>
    <x:row r="7">
      <x:c r="A7" s="60" t="str"/>
      <x:c r="B7" s="60" t="str"/>
      <x:c r="C7" s="60" t="str"/>
      <x:c r="D7" s="60" t="str"/>
      <x:c r="E7" s="60" t="str"/>
      <x:c r="F7" s="60" t="str"/>
      <x:c r="G7" s="73" t="str"/>
      <x:c r="H7" s="60" t="str">
        <x:v>Open</x:v>
      </x:c>
      <x:c r="I7" s="73" t="str"/>
      <x:c r="J7" s="60" t="str"/>
      <x:c r="K7" s="60" t="n">
        <x:f>IF(AND(G7&lt;&gt;"",H7&lt;&gt;"Complete",H7&lt;&gt;"Verified"),MAX(0,TODAY()-G7),0)</x:f>
        <x:v>0</x:v>
      </x:c>
    </x:row>
    <x:row r="8">
      <x:c r="A8" s="60" t="str"/>
      <x:c r="B8" s="60" t="str"/>
      <x:c r="C8" s="60" t="str"/>
      <x:c r="D8" s="60" t="str"/>
      <x:c r="E8" s="60" t="str"/>
      <x:c r="F8" s="60" t="str"/>
      <x:c r="G8" s="73" t="str"/>
      <x:c r="H8" s="60" t="str">
        <x:v>Open</x:v>
      </x:c>
      <x:c r="I8" s="73" t="str"/>
      <x:c r="J8" s="60" t="str"/>
      <x:c r="K8" s="60" t="n">
        <x:f>IF(AND(G8&lt;&gt;"",H8&lt;&gt;"Complete",H8&lt;&gt;"Verified"),MAX(0,TODAY()-G8),0)</x:f>
        <x:v>0</x:v>
      </x:c>
    </x:row>
    <x:row r="9">
      <x:c r="A9" s="60" t="str"/>
      <x:c r="B9" s="60" t="str"/>
      <x:c r="C9" s="60" t="str"/>
      <x:c r="D9" s="60" t="str"/>
      <x:c r="E9" s="60" t="str"/>
      <x:c r="F9" s="60" t="str"/>
      <x:c r="G9" s="73" t="str"/>
      <x:c r="H9" s="60" t="str">
        <x:v>Open</x:v>
      </x:c>
      <x:c r="I9" s="73" t="str"/>
      <x:c r="J9" s="60" t="str"/>
      <x:c r="K9" s="60" t="n">
        <x:f>IF(AND(G9&lt;&gt;"",H9&lt;&gt;"Complete",H9&lt;&gt;"Verified"),MAX(0,TODAY()-G9),0)</x:f>
        <x:v>0</x:v>
      </x:c>
    </x:row>
    <x:row r="10">
      <x:c r="A10" s="60" t="str"/>
      <x:c r="B10" s="60" t="str"/>
      <x:c r="C10" s="60" t="str"/>
      <x:c r="D10" s="60" t="str"/>
      <x:c r="E10" s="60" t="str"/>
      <x:c r="F10" s="60" t="str"/>
      <x:c r="G10" s="73" t="str"/>
      <x:c r="H10" s="60" t="str">
        <x:v>Open</x:v>
      </x:c>
      <x:c r="I10" s="73" t="str"/>
      <x:c r="J10" s="60" t="str"/>
      <x:c r="K10" s="60" t="n">
        <x:f>IF(AND(G10&lt;&gt;"",H10&lt;&gt;"Complete",H10&lt;&gt;"Verified"),MAX(0,TODAY()-G10),0)</x:f>
        <x:v>0</x:v>
      </x:c>
    </x:row>
    <x:row r="11">
      <x:c r="A11" s="60" t="str"/>
      <x:c r="B11" s="60" t="str"/>
      <x:c r="C11" s="60" t="str"/>
      <x:c r="D11" s="60" t="str"/>
      <x:c r="E11" s="60" t="str"/>
      <x:c r="F11" s="60" t="str"/>
      <x:c r="G11" s="73" t="str"/>
      <x:c r="H11" s="60" t="str">
        <x:v>Open</x:v>
      </x:c>
      <x:c r="I11" s="73" t="str"/>
      <x:c r="J11" s="60" t="str"/>
      <x:c r="K11" s="60" t="n">
        <x:f>IF(AND(G11&lt;&gt;"",H11&lt;&gt;"Complete",H11&lt;&gt;"Verified"),MAX(0,TODAY()-G11),0)</x:f>
        <x:v>0</x:v>
      </x:c>
    </x:row>
    <x:row r="12">
      <x:c r="A12" s="60" t="str"/>
      <x:c r="B12" s="60" t="str"/>
      <x:c r="C12" s="60" t="str"/>
      <x:c r="D12" s="60" t="str"/>
      <x:c r="E12" s="60" t="str"/>
      <x:c r="F12" s="60" t="str"/>
      <x:c r="G12" s="73" t="str"/>
      <x:c r="H12" s="60" t="str">
        <x:v>Open</x:v>
      </x:c>
      <x:c r="I12" s="73" t="str"/>
      <x:c r="J12" s="60" t="str"/>
      <x:c r="K12" s="60" t="n">
        <x:f>IF(AND(G12&lt;&gt;"",H12&lt;&gt;"Complete",H12&lt;&gt;"Verified"),MAX(0,TODAY()-G12),0)</x:f>
        <x:v>0</x:v>
      </x:c>
    </x:row>
    <x:row r="13">
      <x:c r="A13" s="60" t="str"/>
      <x:c r="B13" s="60" t="str"/>
      <x:c r="C13" s="60" t="str"/>
      <x:c r="D13" s="60" t="str"/>
      <x:c r="E13" s="60" t="str"/>
      <x:c r="F13" s="60" t="str"/>
      <x:c r="G13" s="73" t="str"/>
      <x:c r="H13" s="60" t="str">
        <x:v>Open</x:v>
      </x:c>
      <x:c r="I13" s="73" t="str"/>
      <x:c r="J13" s="60" t="str"/>
      <x:c r="K13" s="60" t="n">
        <x:f>IF(AND(G13&lt;&gt;"",H13&lt;&gt;"Complete",H13&lt;&gt;"Verified"),MAX(0,TODAY()-G13),0)</x:f>
        <x:v>0</x:v>
      </x:c>
    </x:row>
    <x:row r="14">
      <x:c r="A14" s="60" t="str"/>
      <x:c r="B14" s="60" t="str"/>
      <x:c r="C14" s="60" t="str"/>
      <x:c r="D14" s="60" t="str"/>
      <x:c r="E14" s="60" t="str"/>
      <x:c r="F14" s="60" t="str"/>
      <x:c r="G14" s="73" t="str"/>
      <x:c r="H14" s="60" t="str">
        <x:v>Open</x:v>
      </x:c>
      <x:c r="I14" s="73" t="str"/>
      <x:c r="J14" s="60" t="str"/>
      <x:c r="K14" s="60" t="n">
        <x:f>IF(AND(G14&lt;&gt;"",H14&lt;&gt;"Complete",H14&lt;&gt;"Verified"),MAX(0,TODAY()-G14),0)</x:f>
        <x:v>0</x:v>
      </x:c>
    </x:row>
    <x:row r="15">
      <x:c r="A15" s="60" t="str"/>
      <x:c r="B15" s="60" t="str"/>
      <x:c r="C15" s="60" t="str"/>
      <x:c r="D15" s="60" t="str"/>
      <x:c r="E15" s="60" t="str"/>
      <x:c r="F15" s="60" t="str"/>
      <x:c r="G15" s="73" t="str"/>
      <x:c r="H15" s="60" t="str">
        <x:v>Open</x:v>
      </x:c>
      <x:c r="I15" s="73" t="str"/>
      <x:c r="J15" s="60" t="str"/>
      <x:c r="K15" s="60" t="n">
        <x:f>IF(AND(G15&lt;&gt;"",H15&lt;&gt;"Complete",H15&lt;&gt;"Verified"),MAX(0,TODAY()-G15),0)</x:f>
        <x:v>0</x:v>
      </x:c>
    </x:row>
    <x:row r="16">
      <x:c r="A16" s="60" t="str"/>
      <x:c r="B16" s="60" t="str"/>
      <x:c r="C16" s="60" t="str"/>
      <x:c r="D16" s="60" t="str"/>
      <x:c r="E16" s="60" t="str"/>
      <x:c r="F16" s="60" t="str"/>
      <x:c r="G16" s="73" t="str"/>
      <x:c r="H16" s="60" t="str">
        <x:v>Open</x:v>
      </x:c>
      <x:c r="I16" s="73" t="str"/>
      <x:c r="J16" s="60" t="str"/>
      <x:c r="K16" s="60" t="n">
        <x:f>IF(AND(G16&lt;&gt;"",H16&lt;&gt;"Complete",H16&lt;&gt;"Verified"),MAX(0,TODAY()-G16),0)</x:f>
        <x:v>0</x:v>
      </x:c>
    </x:row>
    <x:row r="17">
      <x:c r="A17" s="60" t="str"/>
      <x:c r="B17" s="60" t="str"/>
      <x:c r="C17" s="60" t="str"/>
      <x:c r="D17" s="60" t="str"/>
      <x:c r="E17" s="60" t="str"/>
      <x:c r="F17" s="60" t="str"/>
      <x:c r="G17" s="73" t="str"/>
      <x:c r="H17" s="60" t="str">
        <x:v>Open</x:v>
      </x:c>
      <x:c r="I17" s="73" t="str"/>
      <x:c r="J17" s="60" t="str"/>
      <x:c r="K17" s="60" t="n">
        <x:f>IF(AND(G17&lt;&gt;"",H17&lt;&gt;"Complete",H17&lt;&gt;"Verified"),MAX(0,TODAY()-G17),0)</x:f>
        <x:v>0</x:v>
      </x:c>
    </x:row>
    <x:row r="18">
      <x:c r="A18" s="60" t="str"/>
      <x:c r="B18" s="60" t="str"/>
      <x:c r="C18" s="60" t="str"/>
      <x:c r="D18" s="60" t="str"/>
      <x:c r="E18" s="60" t="str"/>
      <x:c r="F18" s="60" t="str"/>
      <x:c r="G18" s="73" t="str"/>
      <x:c r="H18" s="60" t="str">
        <x:v>Open</x:v>
      </x:c>
      <x:c r="I18" s="73" t="str"/>
      <x:c r="J18" s="60" t="str"/>
      <x:c r="K18" s="60" t="n">
        <x:f>IF(AND(G18&lt;&gt;"",H18&lt;&gt;"Complete",H18&lt;&gt;"Verified"),MAX(0,TODAY()-G18),0)</x:f>
        <x:v>0</x:v>
      </x:c>
    </x:row>
    <x:row r="19">
      <x:c r="A19" s="60" t="str"/>
      <x:c r="B19" s="60" t="str"/>
      <x:c r="C19" s="60" t="str"/>
      <x:c r="D19" s="60" t="str"/>
      <x:c r="E19" s="60" t="str"/>
      <x:c r="F19" s="60" t="str"/>
      <x:c r="G19" s="73" t="str"/>
      <x:c r="H19" s="60" t="str">
        <x:v>Open</x:v>
      </x:c>
      <x:c r="I19" s="73" t="str"/>
      <x:c r="J19" s="60" t="str"/>
      <x:c r="K19" s="60" t="n">
        <x:f>IF(AND(G19&lt;&gt;"",H19&lt;&gt;"Complete",H19&lt;&gt;"Verified"),MAX(0,TODAY()-G19),0)</x:f>
        <x:v>0</x:v>
      </x:c>
    </x:row>
    <x:row r="20">
      <x:c r="A20" s="60" t="str"/>
      <x:c r="B20" s="60" t="str"/>
      <x:c r="C20" s="60" t="str"/>
      <x:c r="D20" s="60" t="str"/>
      <x:c r="E20" s="60" t="str"/>
      <x:c r="F20" s="60" t="str"/>
      <x:c r="G20" s="73" t="str"/>
      <x:c r="H20" s="60" t="str">
        <x:v>Open</x:v>
      </x:c>
      <x:c r="I20" s="73" t="str"/>
      <x:c r="J20" s="60" t="str"/>
      <x:c r="K20" s="60" t="n">
        <x:f>IF(AND(G20&lt;&gt;"",H20&lt;&gt;"Complete",H20&lt;&gt;"Verified"),MAX(0,TODAY()-G20),0)</x:f>
        <x:v>0</x:v>
      </x:c>
    </x:row>
    <x:row r="21">
      <x:c r="A21" s="60" t="str"/>
      <x:c r="B21" s="60" t="str"/>
      <x:c r="C21" s="60" t="str"/>
      <x:c r="D21" s="60" t="str"/>
      <x:c r="E21" s="60" t="str"/>
      <x:c r="F21" s="60" t="str"/>
      <x:c r="G21" s="73" t="str"/>
      <x:c r="H21" s="60" t="str">
        <x:v>Open</x:v>
      </x:c>
      <x:c r="I21" s="73" t="str"/>
      <x:c r="J21" s="60" t="str"/>
      <x:c r="K21" s="60" t="n">
        <x:f>IF(AND(G21&lt;&gt;"",H21&lt;&gt;"Complete",H21&lt;&gt;"Verified"),MAX(0,TODAY()-G21),0)</x:f>
        <x:v>0</x:v>
      </x:c>
    </x:row>
    <x:row r="22">
      <x:c r="A22" s="60" t="str"/>
      <x:c r="B22" s="60" t="str"/>
      <x:c r="C22" s="60" t="str"/>
      <x:c r="D22" s="60" t="str"/>
      <x:c r="E22" s="60" t="str"/>
      <x:c r="F22" s="60" t="str"/>
      <x:c r="G22" s="73" t="str"/>
      <x:c r="H22" s="60" t="str">
        <x:v>Open</x:v>
      </x:c>
      <x:c r="I22" s="73" t="str"/>
      <x:c r="J22" s="60" t="str"/>
      <x:c r="K22" s="60" t="n">
        <x:f>IF(AND(G22&lt;&gt;"",H22&lt;&gt;"Complete",H22&lt;&gt;"Verified"),MAX(0,TODAY()-G22),0)</x:f>
        <x:v>0</x:v>
      </x:c>
    </x:row>
    <x:row r="23">
      <x:c r="A23" s="60" t="str"/>
      <x:c r="B23" s="60" t="str"/>
      <x:c r="C23" s="60" t="str"/>
      <x:c r="D23" s="60" t="str"/>
      <x:c r="E23" s="60" t="str"/>
      <x:c r="F23" s="60" t="str"/>
      <x:c r="G23" s="73" t="str"/>
      <x:c r="H23" s="60" t="str">
        <x:v>Open</x:v>
      </x:c>
      <x:c r="I23" s="73" t="str"/>
      <x:c r="J23" s="60" t="str"/>
      <x:c r="K23" s="60" t="n">
        <x:f>IF(AND(G23&lt;&gt;"",H23&lt;&gt;"Complete",H23&lt;&gt;"Verified"),MAX(0,TODAY()-G23),0)</x:f>
        <x:v>0</x:v>
      </x:c>
    </x:row>
    <x:row r="24">
      <x:c r="A24" s="60" t="str"/>
      <x:c r="B24" s="60" t="str"/>
      <x:c r="C24" s="60" t="str"/>
      <x:c r="D24" s="60" t="str"/>
      <x:c r="E24" s="60" t="str"/>
      <x:c r="F24" s="60" t="str"/>
      <x:c r="G24" s="73" t="str"/>
      <x:c r="H24" s="60" t="str">
        <x:v>Open</x:v>
      </x:c>
      <x:c r="I24" s="73" t="str"/>
      <x:c r="J24" s="60" t="str"/>
      <x:c r="K24" s="60" t="n">
        <x:f>IF(AND(G24&lt;&gt;"",H24&lt;&gt;"Complete",H24&lt;&gt;"Verified"),MAX(0,TODAY()-G24),0)</x:f>
        <x:v>0</x:v>
      </x:c>
    </x:row>
    <x:row r="25">
      <x:c r="A25" s="60" t="str"/>
      <x:c r="B25" s="60" t="str"/>
      <x:c r="C25" s="60" t="str"/>
      <x:c r="D25" s="60" t="str"/>
      <x:c r="E25" s="60" t="str"/>
      <x:c r="F25" s="60" t="str"/>
      <x:c r="G25" s="73" t="str"/>
      <x:c r="H25" s="60" t="str">
        <x:v>Open</x:v>
      </x:c>
      <x:c r="I25" s="73" t="str"/>
      <x:c r="J25" s="60" t="str"/>
      <x:c r="K25" s="60" t="n">
        <x:f>IF(AND(G25&lt;&gt;"",H25&lt;&gt;"Complete",H25&lt;&gt;"Verified"),MAX(0,TODAY()-G25),0)</x:f>
        <x:v>0</x:v>
      </x:c>
    </x:row>
    <x:row r="26">
      <x:c r="A26" s="60" t="str"/>
      <x:c r="B26" s="60" t="str"/>
      <x:c r="C26" s="60" t="str"/>
      <x:c r="D26" s="60" t="str"/>
      <x:c r="E26" s="60" t="str"/>
      <x:c r="F26" s="60" t="str"/>
      <x:c r="G26" s="73" t="str"/>
      <x:c r="H26" s="60" t="str">
        <x:v>Open</x:v>
      </x:c>
      <x:c r="I26" s="73" t="str"/>
      <x:c r="J26" s="60" t="str"/>
      <x:c r="K26" s="60" t="n">
        <x:f>IF(AND(G26&lt;&gt;"",H26&lt;&gt;"Complete",H26&lt;&gt;"Verified"),MAX(0,TODAY()-G26),0)</x:f>
        <x:v>0</x:v>
      </x:c>
    </x:row>
    <x:row r="27">
      <x:c r="A27" s="60" t="str"/>
      <x:c r="B27" s="60" t="str"/>
      <x:c r="C27" s="60" t="str"/>
      <x:c r="D27" s="60" t="str"/>
      <x:c r="E27" s="60" t="str"/>
      <x:c r="F27" s="60" t="str"/>
      <x:c r="G27" s="73" t="str"/>
      <x:c r="H27" s="60" t="str">
        <x:v>Open</x:v>
      </x:c>
      <x:c r="I27" s="73" t="str"/>
      <x:c r="J27" s="60" t="str"/>
      <x:c r="K27" s="60" t="n">
        <x:f>IF(AND(G27&lt;&gt;"",H27&lt;&gt;"Complete",H27&lt;&gt;"Verified"),MAX(0,TODAY()-G27),0)</x:f>
        <x:v>0</x:v>
      </x:c>
    </x:row>
    <x:row r="28">
      <x:c r="A28" s="60" t="str"/>
      <x:c r="B28" s="60" t="str"/>
      <x:c r="C28" s="60" t="str"/>
      <x:c r="D28" s="60" t="str"/>
      <x:c r="E28" s="60" t="str"/>
      <x:c r="F28" s="60" t="str"/>
      <x:c r="G28" s="73" t="str"/>
      <x:c r="H28" s="60" t="str">
        <x:v>Open</x:v>
      </x:c>
      <x:c r="I28" s="73" t="str"/>
      <x:c r="J28" s="60" t="str"/>
      <x:c r="K28" s="60" t="n">
        <x:f>IF(AND(G28&lt;&gt;"",H28&lt;&gt;"Complete",H28&lt;&gt;"Verified"),MAX(0,TODAY()-G28),0)</x:f>
        <x:v>0</x:v>
      </x:c>
    </x:row>
    <x:row r="29">
      <x:c r="A29" s="60" t="str"/>
      <x:c r="B29" s="60" t="str"/>
      <x:c r="C29" s="60" t="str"/>
      <x:c r="D29" s="60" t="str"/>
      <x:c r="E29" s="60" t="str"/>
      <x:c r="F29" s="60" t="str"/>
      <x:c r="G29" s="73" t="str"/>
      <x:c r="H29" s="60" t="str">
        <x:v>Open</x:v>
      </x:c>
      <x:c r="I29" s="73" t="str"/>
      <x:c r="J29" s="60" t="str"/>
      <x:c r="K29" s="60" t="n">
        <x:f>IF(AND(G29&lt;&gt;"",H29&lt;&gt;"Complete",H29&lt;&gt;"Verified"),MAX(0,TODAY()-G29),0)</x:f>
        <x:v>0</x:v>
      </x:c>
    </x:row>
    <x:row r="30">
      <x:c r="A30" s="60" t="str"/>
      <x:c r="B30" s="60" t="str"/>
      <x:c r="C30" s="60" t="str"/>
      <x:c r="D30" s="60" t="str"/>
      <x:c r="E30" s="60" t="str"/>
      <x:c r="F30" s="60" t="str"/>
      <x:c r="G30" s="73" t="str"/>
      <x:c r="H30" s="60" t="str">
        <x:v>Open</x:v>
      </x:c>
      <x:c r="I30" s="73" t="str"/>
      <x:c r="J30" s="60" t="str"/>
      <x:c r="K30" s="60" t="n">
        <x:f>IF(AND(G30&lt;&gt;"",H30&lt;&gt;"Complete",H30&lt;&gt;"Verified"),MAX(0,TODAY()-G30),0)</x:f>
        <x:v>0</x:v>
      </x:c>
    </x:row>
    <x:row r="31">
      <x:c r="A31" s="60" t="str"/>
      <x:c r="B31" s="60" t="str"/>
      <x:c r="C31" s="60" t="str"/>
      <x:c r="D31" s="60" t="str"/>
      <x:c r="E31" s="60" t="str"/>
      <x:c r="F31" s="60" t="str"/>
      <x:c r="G31" s="73" t="str"/>
      <x:c r="H31" s="60" t="str">
        <x:v>Open</x:v>
      </x:c>
      <x:c r="I31" s="73" t="str"/>
      <x:c r="J31" s="60" t="str"/>
      <x:c r="K31" s="60" t="n">
        <x:f>IF(AND(G31&lt;&gt;"",H31&lt;&gt;"Complete",H31&lt;&gt;"Verified"),MAX(0,TODAY()-G31),0)</x:f>
        <x:v>0</x:v>
      </x:c>
    </x:row>
    <x:row r="32">
      <x:c r="A32" s="60" t="str"/>
      <x:c r="B32" s="60" t="str"/>
      <x:c r="C32" s="60" t="str"/>
      <x:c r="D32" s="60" t="str"/>
      <x:c r="E32" s="60" t="str"/>
      <x:c r="F32" s="60" t="str"/>
      <x:c r="G32" s="73" t="str"/>
      <x:c r="H32" s="60" t="str">
        <x:v>Open</x:v>
      </x:c>
      <x:c r="I32" s="73" t="str"/>
      <x:c r="J32" s="60" t="str"/>
      <x:c r="K32" s="60" t="n">
        <x:f>IF(AND(G32&lt;&gt;"",H32&lt;&gt;"Complete",H32&lt;&gt;"Verified"),MAX(0,TODAY()-G32),0)</x:f>
        <x:v>0</x:v>
      </x:c>
    </x:row>
    <x:row r="33">
      <x:c r="A33" s="60" t="str"/>
      <x:c r="B33" s="60" t="str"/>
      <x:c r="C33" s="60" t="str"/>
      <x:c r="D33" s="60" t="str"/>
      <x:c r="E33" s="60" t="str"/>
      <x:c r="F33" s="60" t="str"/>
      <x:c r="G33" s="73" t="str"/>
      <x:c r="H33" s="60" t="str">
        <x:v>Open</x:v>
      </x:c>
      <x:c r="I33" s="73" t="str"/>
      <x:c r="J33" s="60" t="str"/>
      <x:c r="K33" s="60" t="n">
        <x:f>IF(AND(G33&lt;&gt;"",H33&lt;&gt;"Complete",H33&lt;&gt;"Verified"),MAX(0,TODAY()-G33),0)</x:f>
        <x:v>0</x:v>
      </x:c>
    </x:row>
    <x:row r="34">
      <x:c r="A34" s="60" t="str"/>
      <x:c r="B34" s="60" t="str"/>
      <x:c r="C34" s="60" t="str"/>
      <x:c r="D34" s="60" t="str"/>
      <x:c r="E34" s="60" t="str"/>
      <x:c r="F34" s="60" t="str"/>
      <x:c r="G34" s="73" t="str"/>
      <x:c r="H34" s="60" t="str">
        <x:v>Open</x:v>
      </x:c>
      <x:c r="I34" s="73" t="str"/>
      <x:c r="J34" s="60" t="str"/>
      <x:c r="K34" s="60" t="n">
        <x:f>IF(AND(G34&lt;&gt;"",H34&lt;&gt;"Complete",H34&lt;&gt;"Verified"),MAX(0,TODAY()-G34),0)</x:f>
        <x:v>0</x:v>
      </x:c>
    </x:row>
  </x:sheetData>
  <x:mergeCells>
    <x:mergeCell ref="A1:K1"/>
    <x:mergeCell ref="A2:K2"/>
  </x:mergeCells>
  <x:conditionalFormatting sqref="H5:H34">
    <x:cfRule type="cellIs" dxfId="0" priority="1">
      <x:formula>"Complete"</x:formula>
    </x:cfRule>
    <x:cfRule type="cellIs" dxfId="1" priority="2">
      <x:formula>"Verified"</x:formula>
    </x:cfRule>
    <x:cfRule type="cellIs" dxfId="2" priority="3">
      <x:formula>"Overdue"</x:formula>
    </x:cfRule>
    <x:cfRule type="cellIs" dxfId="3" priority="4">
      <x:formula>"Open"</x:formula>
    </x:cfRule>
  </x:conditionalFormatting>
  <x:conditionalFormatting sqref="K5:K34">
    <x:cfRule type="cellIs" dxfId="4" priority="5" operator="greaterThan">
      <x:formula>0</x:formula>
    </x:cfRule>
  </x:conditionalFormatting>
  <x:dataValidations count="2">
    <x:dataValidation type="list" sqref="E5:E34">
      <x:formula1>"Critical,High,Medium,Low,Monitor"</x:formula1>
    </x:dataValidation>
    <x:dataValidation type="list" sqref="H5:H34">
      <x:formula1>"Open,In Progress,Complete,Overdue,Deferred,Cancelled,Verified"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f8c9fb400a4a9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24" hidden="0" customWidth="1"/>
    <x:col min="4" max="4" width="36" hidden="0" customWidth="1"/>
    <x:col min="5" max="5" width="36" hidden="0" customWidth="1"/>
    <x:col min="6" max="6" width="16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 ht="30" customHeight="1">
      <x:c r="A1" s="37" t="str">
        <x:v>PHOTO EVIDENCE LOG</x:v>
      </x:c>
      <x:c r="B1" s="37"/>
      <x:c r="C1" s="37"/>
      <x:c r="D1" s="37"/>
      <x:c r="E1" s="37"/>
      <x:c r="F1" s="37"/>
      <x:c r="G1" s="37"/>
      <x:c r="H1" s="37"/>
      <x:c r="I1" s="37"/>
      <x:c r="J1" s="37"/>
    </x:row>
    <x:row r="2" ht="32" customHeight="1">
      <x:c r="A2" s="44" t="str">
        <x:v>Record photo evidence references; paste links to shared folders/CMMS records rather than inserting large images into the workbook.</x:v>
      </x:c>
      <x:c r="B2" s="44"/>
      <x:c r="C2" s="44"/>
      <x:c r="D2" s="44"/>
      <x:c r="E2" s="44"/>
      <x:c r="F2" s="44"/>
      <x:c r="G2" s="44"/>
      <x:c r="H2" s="44"/>
      <x:c r="I2" s="44"/>
      <x:c r="J2" s="44"/>
    </x:row>
    <x:row r="4" ht="26" customHeight="1">
      <x:c r="A4" s="52" t="str">
        <x:v>Photo Ref</x:v>
      </x:c>
      <x:c r="B4" s="52" t="str">
        <x:v>Bearing / Equipment</x:v>
      </x:c>
      <x:c r="C4" s="52" t="str">
        <x:v>Component / Location</x:v>
      </x:c>
      <x:c r="D4" s="52" t="str">
        <x:v>Finding Shown</x:v>
      </x:c>
      <x:c r="E4" s="52" t="str">
        <x:v>File/Folder Link</x:v>
      </x:c>
      <x:c r="F4" s="52" t="str">
        <x:v>Taken By</x:v>
      </x:c>
      <x:c r="G4" s="52" t="str">
        <x:v>Date</x:v>
      </x:c>
      <x:c r="H4" s="52" t="str">
        <x:v>Severity</x:v>
      </x:c>
      <x:c r="I4" s="52" t="str">
        <x:v>Action Ref</x:v>
      </x:c>
      <x:c r="J4" s="52" t="str">
        <x:v>Notes</x:v>
      </x:c>
    </x:row>
    <x:row r="5">
      <x:c r="A5" s="60" t="str">
        <x:v>PH-001</x:v>
      </x:c>
      <x:c r="B5" s="60" t="str"/>
      <x:c r="C5" s="60" t="str"/>
      <x:c r="D5" s="60" t="str"/>
      <x:c r="E5" s="60" t="str"/>
      <x:c r="F5" s="60" t="str"/>
      <x:c r="G5" s="73" t="str"/>
      <x:c r="H5" s="60" t="str"/>
      <x:c r="I5" s="60" t="str"/>
      <x:c r="J5" s="60" t="str"/>
    </x:row>
    <x:row r="6">
      <x:c r="A6" s="60" t="str">
        <x:v>PH-002</x:v>
      </x:c>
      <x:c r="B6" s="60" t="str"/>
      <x:c r="C6" s="60" t="str"/>
      <x:c r="D6" s="60" t="str"/>
      <x:c r="E6" s="60" t="str"/>
      <x:c r="F6" s="60" t="str"/>
      <x:c r="G6" s="73" t="str"/>
      <x:c r="H6" s="60" t="str"/>
      <x:c r="I6" s="60" t="str"/>
      <x:c r="J6" s="60" t="str"/>
    </x:row>
    <x:row r="7">
      <x:c r="A7" s="60" t="str">
        <x:v>PH-003</x:v>
      </x:c>
      <x:c r="B7" s="60" t="str"/>
      <x:c r="C7" s="60" t="str"/>
      <x:c r="D7" s="60" t="str"/>
      <x:c r="E7" s="60" t="str"/>
      <x:c r="F7" s="60" t="str"/>
      <x:c r="G7" s="73" t="str"/>
      <x:c r="H7" s="60" t="str"/>
      <x:c r="I7" s="60" t="str"/>
      <x:c r="J7" s="60" t="str"/>
    </x:row>
    <x:row r="8">
      <x:c r="A8" s="60" t="str">
        <x:v>PH-004</x:v>
      </x:c>
      <x:c r="B8" s="60" t="str"/>
      <x:c r="C8" s="60" t="str"/>
      <x:c r="D8" s="60" t="str"/>
      <x:c r="E8" s="60" t="str"/>
      <x:c r="F8" s="60" t="str"/>
      <x:c r="G8" s="73" t="str"/>
      <x:c r="H8" s="60" t="str"/>
      <x:c r="I8" s="60" t="str"/>
      <x:c r="J8" s="60" t="str"/>
    </x:row>
    <x:row r="9">
      <x:c r="A9" s="60" t="str">
        <x:v>PH-005</x:v>
      </x:c>
      <x:c r="B9" s="60" t="str"/>
      <x:c r="C9" s="60" t="str"/>
      <x:c r="D9" s="60" t="str"/>
      <x:c r="E9" s="60" t="str"/>
      <x:c r="F9" s="60" t="str"/>
      <x:c r="G9" s="73" t="str"/>
      <x:c r="H9" s="60" t="str"/>
      <x:c r="I9" s="60" t="str"/>
      <x:c r="J9" s="60" t="str"/>
    </x:row>
    <x:row r="10">
      <x:c r="A10" s="60" t="str">
        <x:v>PH-006</x:v>
      </x:c>
      <x:c r="B10" s="60" t="str"/>
      <x:c r="C10" s="60" t="str"/>
      <x:c r="D10" s="60" t="str"/>
      <x:c r="E10" s="60" t="str"/>
      <x:c r="F10" s="60" t="str"/>
      <x:c r="G10" s="73" t="str"/>
      <x:c r="H10" s="60" t="str"/>
      <x:c r="I10" s="60" t="str"/>
      <x:c r="J10" s="60" t="str"/>
    </x:row>
    <x:row r="11">
      <x:c r="A11" s="60" t="str">
        <x:v>PH-007</x:v>
      </x:c>
      <x:c r="B11" s="60" t="str"/>
      <x:c r="C11" s="60" t="str"/>
      <x:c r="D11" s="60" t="str"/>
      <x:c r="E11" s="60" t="str"/>
      <x:c r="F11" s="60" t="str"/>
      <x:c r="G11" s="73" t="str"/>
      <x:c r="H11" s="60" t="str"/>
      <x:c r="I11" s="60" t="str"/>
      <x:c r="J11" s="60" t="str"/>
    </x:row>
    <x:row r="12">
      <x:c r="A12" s="60" t="str">
        <x:v>PH-008</x:v>
      </x:c>
      <x:c r="B12" s="60" t="str"/>
      <x:c r="C12" s="60" t="str"/>
      <x:c r="D12" s="60" t="str"/>
      <x:c r="E12" s="60" t="str"/>
      <x:c r="F12" s="60" t="str"/>
      <x:c r="G12" s="73" t="str"/>
      <x:c r="H12" s="60" t="str"/>
      <x:c r="I12" s="60" t="str"/>
      <x:c r="J12" s="60" t="str"/>
    </x:row>
    <x:row r="13">
      <x:c r="A13" s="60" t="str">
        <x:v>PH-009</x:v>
      </x:c>
      <x:c r="B13" s="60" t="str"/>
      <x:c r="C13" s="60" t="str"/>
      <x:c r="D13" s="60" t="str"/>
      <x:c r="E13" s="60" t="str"/>
      <x:c r="F13" s="60" t="str"/>
      <x:c r="G13" s="73" t="str"/>
      <x:c r="H13" s="60" t="str"/>
      <x:c r="I13" s="60" t="str"/>
      <x:c r="J13" s="60" t="str"/>
    </x:row>
    <x:row r="14">
      <x:c r="A14" s="60" t="str">
        <x:v>PH-010</x:v>
      </x:c>
      <x:c r="B14" s="60" t="str"/>
      <x:c r="C14" s="60" t="str"/>
      <x:c r="D14" s="60" t="str"/>
      <x:c r="E14" s="60" t="str"/>
      <x:c r="F14" s="60" t="str"/>
      <x:c r="G14" s="73" t="str"/>
      <x:c r="H14" s="60" t="str"/>
      <x:c r="I14" s="60" t="str"/>
      <x:c r="J14" s="60" t="str"/>
    </x:row>
    <x:row r="15">
      <x:c r="A15" s="60" t="str">
        <x:v>PH-011</x:v>
      </x:c>
      <x:c r="B15" s="60" t="str"/>
      <x:c r="C15" s="60" t="str"/>
      <x:c r="D15" s="60" t="str"/>
      <x:c r="E15" s="60" t="str"/>
      <x:c r="F15" s="60" t="str"/>
      <x:c r="G15" s="73" t="str"/>
      <x:c r="H15" s="60" t="str"/>
      <x:c r="I15" s="60" t="str"/>
      <x:c r="J15" s="60" t="str"/>
    </x:row>
    <x:row r="16">
      <x:c r="A16" s="60" t="str">
        <x:v>PH-012</x:v>
      </x:c>
      <x:c r="B16" s="60" t="str"/>
      <x:c r="C16" s="60" t="str"/>
      <x:c r="D16" s="60" t="str"/>
      <x:c r="E16" s="60" t="str"/>
      <x:c r="F16" s="60" t="str"/>
      <x:c r="G16" s="73" t="str"/>
      <x:c r="H16" s="60" t="str"/>
      <x:c r="I16" s="60" t="str"/>
      <x:c r="J16" s="60" t="str"/>
    </x:row>
    <x:row r="17">
      <x:c r="A17" s="60" t="str">
        <x:v>PH-013</x:v>
      </x:c>
      <x:c r="B17" s="60" t="str"/>
      <x:c r="C17" s="60" t="str"/>
      <x:c r="D17" s="60" t="str"/>
      <x:c r="E17" s="60" t="str"/>
      <x:c r="F17" s="60" t="str"/>
      <x:c r="G17" s="73" t="str"/>
      <x:c r="H17" s="60" t="str"/>
      <x:c r="I17" s="60" t="str"/>
      <x:c r="J17" s="60" t="str"/>
    </x:row>
    <x:row r="18">
      <x:c r="A18" s="60" t="str">
        <x:v>PH-014</x:v>
      </x:c>
      <x:c r="B18" s="60" t="str"/>
      <x:c r="C18" s="60" t="str"/>
      <x:c r="D18" s="60" t="str"/>
      <x:c r="E18" s="60" t="str"/>
      <x:c r="F18" s="60" t="str"/>
      <x:c r="G18" s="73" t="str"/>
      <x:c r="H18" s="60" t="str"/>
      <x:c r="I18" s="60" t="str"/>
      <x:c r="J18" s="60" t="str"/>
    </x:row>
    <x:row r="19">
      <x:c r="A19" s="60" t="str">
        <x:v>PH-015</x:v>
      </x:c>
      <x:c r="B19" s="60" t="str"/>
      <x:c r="C19" s="60" t="str"/>
      <x:c r="D19" s="60" t="str"/>
      <x:c r="E19" s="60" t="str"/>
      <x:c r="F19" s="60" t="str"/>
      <x:c r="G19" s="73" t="str"/>
      <x:c r="H19" s="60" t="str"/>
      <x:c r="I19" s="60" t="str"/>
      <x:c r="J19" s="60" t="str"/>
    </x:row>
  </x:sheetData>
  <x:mergeCells>
    <x:mergeCell ref="A1:J1"/>
    <x:mergeCell ref="A2:J2"/>
  </x:mergeCells>
  <x:dataValidations count="1">
    <x:dataValidation type="list" sqref="H5:H19">
      <x:formula1>"Critical,High,Medium,Low,1,2,3,4,5"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583ca94b1d433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42" hidden="0" customWidth="1"/>
    <x:col min="4" max="4" width="42" hidden="0" customWidth="1"/>
  </x:cols>
  <x:sheetData>
    <x:row r="1" ht="30" customHeight="1">
      <x:c r="A1" s="37" t="str">
        <x:v>BEARING FAILURE DIAGNOSIS GUIDE</x:v>
      </x:c>
      <x:c r="B1" s="37"/>
      <x:c r="C1" s="37"/>
      <x:c r="D1" s="37"/>
      <x:c r="E1" s="37"/>
      <x:c r="F1" s="37"/>
    </x:row>
    <x:row r="2" ht="32" customHeight="1">
      <x:c r="A2" s="44" t="str">
        <x:v>Use this as a quick interpretation aid before confirming the root cause with evidence.</x:v>
      </x:c>
      <x:c r="B2" s="44"/>
      <x:c r="C2" s="44"/>
      <x:c r="D2" s="44"/>
      <x:c r="E2" s="44"/>
      <x:c r="F2" s="44"/>
    </x:row>
    <x:row r="4" ht="26" customHeight="1">
      <x:c r="A4" s="52" t="str">
        <x:v>Visual symptom</x:v>
      </x:c>
      <x:c r="B4" s="52" t="str">
        <x:v>Likely cause</x:v>
      </x:c>
      <x:c r="C4" s="52" t="str">
        <x:v>Evidence to check</x:v>
      </x:c>
      <x:c r="D4" s="52" t="str">
        <x:v>Typical corrective action</x:v>
      </x:c>
    </x:row>
    <x:row r="5">
      <x:c r="A5" s="60" t="str">
        <x:v>Spalling / pitting</x:v>
      </x:c>
      <x:c r="B5" s="60" t="str">
        <x:v>Rolling contact fatigue or overload</x:v>
      </x:c>
      <x:c r="C5" s="60" t="str">
        <x:v>Check load, alignment, service hours, vibration trend</x:v>
      </x:c>
      <x:c r="D5" s="60" t="str">
        <x:v>Review bearing selection and load case</x:v>
      </x:c>
    </x:row>
    <x:row r="6">
      <x:c r="A6" s="60" t="str">
        <x:v>Grey scoring / scratches</x:v>
      </x:c>
      <x:c r="B6" s="60" t="str">
        <x:v>Abrasive contamination</x:v>
      </x:c>
      <x:c r="C6" s="60" t="str">
        <x:v>Inspect seals, grease cleanliness, storage/handling practices</x:v>
      </x:c>
      <x:c r="D6" s="60" t="str">
        <x:v>Improve sealing and lube cleanliness</x:v>
      </x:c>
    </x:row>
    <x:row r="7">
      <x:c r="A7" s="60" t="str">
        <x:v>Smearing / discolouration</x:v>
      </x:c>
      <x:c r="B7" s="60" t="str">
        <x:v>Lubrication starvation or overheating</x:v>
      </x:c>
      <x:c r="C7" s="60" t="str">
        <x:v>Check grease quantity, interval, viscosity, operating temperature</x:v>
      </x:c>
      <x:c r="D7" s="60" t="str">
        <x:v>Correct lubricant and relube interval</x:v>
      </x:c>
    </x:row>
    <x:row r="8">
      <x:c r="A8" s="60" t="str">
        <x:v>Rust / pitting</x:v>
      </x:c>
      <x:c r="B8" s="60" t="str">
        <x:v>Water ingress or poor storage</x:v>
      </x:c>
      <x:c r="C8" s="60" t="str">
        <x:v>Inspect seals, washdown practice, storage conditions</x:v>
      </x:c>
      <x:c r="D8" s="60" t="str">
        <x:v>Improve sealing and contamination control</x:v>
      </x:c>
    </x:row>
    <x:row r="9">
      <x:c r="A9" s="60" t="str">
        <x:v>Fluting / washboard marks</x:v>
      </x:c>
      <x:c r="B9" s="60" t="str">
        <x:v>Electrical current passage</x:v>
      </x:c>
      <x:c r="C9" s="60" t="str">
        <x:v>Check motor grounding, VFD, insulated bearing requirement</x:v>
      </x:c>
      <x:c r="D9" s="60" t="str">
        <x:v>Install grounding brush/insulated bearing</x:v>
      </x:c>
    </x:row>
    <x:row r="10">
      <x:c r="A10" s="60" t="str">
        <x:v>Red-brown powder at fit</x:v>
      </x:c>
      <x:c r="B10" s="60" t="str">
        <x:v>Fretting from loose fit/micro-movement</x:v>
      </x:c>
      <x:c r="C10" s="60" t="str">
        <x:v>Measure shaft and housing fits</x:v>
      </x:c>
      <x:c r="D10" s="60" t="str">
        <x:v>Restore fits, sleeve or replace housing/shaft</x:v>
      </x:c>
    </x:row>
    <x:row r="11">
      <x:c r="A11" s="60" t="str">
        <x:v>Cage deformation</x:v>
      </x:c>
      <x:c r="B11" s="60" t="str">
        <x:v>Misalignment, shock load or poor handling</x:v>
      </x:c>
      <x:c r="C11" s="60" t="str">
        <x:v>Inspect mounting method, shaft shoulder, bearing seating</x:v>
      </x:c>
      <x:c r="D11" s="60" t="str">
        <x:v>Correct installation procedure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6e3d800db0334d1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  <x:col min="3" max="3" width="58" hidden="0" customWidth="1"/>
  </x:cols>
  <x:sheetData>
    <x:row r="1" ht="30" customHeight="1">
      <x:c r="A1" s="37" t="str">
        <x:v>BEARING FAILURE DASHBOARD</x:v>
      </x:c>
      <x:c r="B1" s="37"/>
      <x:c r="C1" s="37"/>
      <x:c r="D1" s="37"/>
      <x:c r="E1" s="37"/>
      <x:c r="F1" s="37"/>
      <x:c r="G1" s="37"/>
      <x:c r="H1" s="37"/>
      <x:c r="I1" s="37"/>
      <x:c r="J1" s="37"/>
    </x:row>
    <x:row r="2" ht="32" customHeight="1">
      <x:c r="A2" s="44" t="str">
        <x:v>Risk-based summary for maintenance review and corrective action prioritisation.</x:v>
      </x:c>
      <x:c r="B2" s="44"/>
      <x:c r="C2" s="44"/>
      <x:c r="D2" s="44"/>
      <x:c r="E2" s="44"/>
      <x:c r="F2" s="44"/>
      <x:c r="G2" s="44"/>
      <x:c r="H2" s="44"/>
      <x:c r="I2" s="44"/>
      <x:c r="J2" s="44"/>
    </x:row>
    <x:row r="4">
      <x:c r="A4" s="79" t="str">
        <x:v>Metric</x:v>
      </x:c>
      <x:c r="B4" s="79" t="str">
        <x:v>Value</x:v>
      </x:c>
      <x:c r="C4" s="79" t="str">
        <x:v>Interpretation</x:v>
      </x:c>
    </x:row>
    <x:row r="5">
      <x:c r="A5" s="80" t="str">
        <x:v>Observed failure modes</x:v>
      </x:c>
      <x:c r="B5" s="59" t="n">
        <x:f>COUNTIF('📋 Bearing Failure Analysis'!F13:F26,"✓")+COUNTIF('📋 Bearing Failure Analysis'!F13:F26,"Observed")</x:f>
        <x:v>0</x:v>
      </x:c>
      <x:c r="C5" s="59" t="str">
        <x:v>Failure modes ticked/observed</x:v>
      </x:c>
    </x:row>
    <x:row r="6">
      <x:c r="A6" s="80" t="str">
        <x:v>Maximum severity</x:v>
      </x:c>
      <x:c r="B6" s="59" t="n">
        <x:f>MAX('📋 Bearing Failure Analysis'!G13:G26)</x:f>
        <x:v>0</x:v>
      </x:c>
      <x:c r="C6" s="59" t="str">
        <x:v>Highest entered severity</x:v>
      </x:c>
    </x:row>
    <x:row r="7">
      <x:c r="A7" s="80" t="str">
        <x:v>Maximum risk score</x:v>
      </x:c>
      <x:c r="B7" s="59" t="n">
        <x:f>MAX('📋 Bearing Failure Analysis'!J13:J26)</x:f>
        <x:v>0</x:v>
      </x:c>
      <x:c r="C7" s="59" t="str">
        <x:v>Severity × frequency</x:v>
      </x:c>
    </x:row>
    <x:row r="8">
      <x:c r="A8" s="80" t="str">
        <x:v>Critical priorities</x:v>
      </x:c>
      <x:c r="B8" s="59" t="n">
        <x:f>COUNTIF('📋 Bearing Failure Analysis'!M13:M26,"Critical")</x:f>
        <x:v>0</x:v>
      </x:c>
      <x:c r="C8" s="59" t="str">
        <x:v>Failure modes marked Critical</x:v>
      </x:c>
    </x:row>
    <x:row r="9">
      <x:c r="A9" s="80" t="str">
        <x:v>Open actions</x:v>
      </x:c>
      <x:c r="B9" s="59" t="n">
        <x:f>COUNTIFS('Action Tracker'!H:H,"&lt;&gt;Complete",'Action Tracker'!H:H,"&lt;&gt;Verified",'Action Tracker'!A:A,"&lt;&gt;")</x:f>
        <x:v>33</x:v>
      </x:c>
      <x:c r="C9" s="59" t="str">
        <x:v>Actions not closed</x:v>
      </x:c>
    </x:row>
    <x:row r="10">
      <x:c r="A10" s="80" t="str">
        <x:v>Overdue actions</x:v>
      </x:c>
      <x:c r="B10" s="59" t="n">
        <x:f>COUNTIFS('Action Tracker'!G:G,"&lt;"&amp;TODAY(),'Action Tracker'!H:H,"&lt;&gt;Complete",'Action Tracker'!H:H,"&lt;&gt;Verified",'Action Tracker'!A:A,"&lt;&gt;")</x:f>
        <x:v>32</x:v>
      </x:c>
      <x:c r="C10" s="59" t="str">
        <x:v>Actions past due</x:v>
      </x:c>
    </x:row>
    <x:row r="11">
      <x:c r="A11" s="80" t="str">
        <x:v>RCA status</x:v>
      </x:c>
      <x:c r="B11" s="59" t="str">
        <x:f>IF(B10&gt;0,"OVERDUE",IF(B9&gt;0,"ACTIONS OPEN","CONTROLLED"))</x:f>
        <x:v>OVERDUE</x:v>
      </x:c>
      <x:c r="C11" s="59" t="str">
        <x:v>Management status</x:v>
      </x:c>
    </x:row>
    <x:row r="12">
      <x:c r="A12" s="80" t="str">
        <x:v>Recommended next step</x:v>
      </x:c>
      <x:c r="B12" s="59" t="str">
        <x:f>IF(B7&gt;=15,"Immediate corrective action and supervisor review",IF(B5&gt;0,"Complete evidence log and close actions","Enter failure evidence"))</x:f>
        <x:v>Enter failure evidence</x:v>
      </x:c>
      <x:c r="C12" s="59" t="str">
        <x:v>Automated guidance</x:v>
      </x:c>
    </x:row>
  </x:sheetData>
  <x:mergeCells>
    <x:mergeCell ref="A1:J1"/>
    <x:mergeCell ref="A2:J2"/>
  </x:mergeCells>
  <x:pageMargins left="0.7" right="0.7" top="0.75" bottom="0.75" header="0.3" footer="0.3"/>
</x:worksheet>
</file>