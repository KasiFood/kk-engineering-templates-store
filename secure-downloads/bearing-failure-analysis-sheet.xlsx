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b1b936d66c4309d/Desktop/LinkedIn Engineering Templates/"/>
    </mc:Choice>
  </mc:AlternateContent>
  <xr:revisionPtr revIDLastSave="0" documentId="8_{4494E13F-D0DD-4BEE-869D-C292806A84D7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📋 Bearing Failure Analysis" sheetId="1" r:id="rId1"/>
    <sheet name="Premium Guide" sheetId="2" r:id="rId2"/>
    <sheet name="Lists" sheetId="3" r:id="rId3"/>
    <sheet name="Action Tracker" sheetId="4" r:id="rId4"/>
    <sheet name="Photo Evidence Log" sheetId="5" r:id="rId5"/>
    <sheet name="Diagnosis Guide" sheetId="6" r:id="rId6"/>
    <sheet name="Premium Dashboard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11" i="7" s="1"/>
  <c r="B9" i="7"/>
  <c r="B8" i="7"/>
  <c r="B6" i="7"/>
  <c r="B5" i="7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B7" i="7" s="1"/>
  <c r="B12" i="7" s="1"/>
</calcChain>
</file>

<file path=xl/sharedStrings.xml><?xml version="1.0" encoding="utf-8"?>
<sst xmlns="http://schemas.openxmlformats.org/spreadsheetml/2006/main" count="278" uniqueCount="240">
  <si>
    <t>BEARING FAILURE ANALYSIS SHEET</t>
  </si>
  <si>
    <t>► Document the failed bearing before disposal. Attach photos if possible. Yellow = fill in.</t>
  </si>
  <si>
    <t>Date of Failure:</t>
  </si>
  <si>
    <t>Equipment Tag:</t>
  </si>
  <si>
    <t>Equipment Name:</t>
  </si>
  <si>
    <t>Bearing Position (DE/NDE/Other):</t>
  </si>
  <si>
    <t>Bearing Manufacturer:</t>
  </si>
  <si>
    <t>Bearing Part Number:</t>
  </si>
  <si>
    <t>Bearing Type (e.g. Deep Groove Ball):</t>
  </si>
  <si>
    <t>Bearing Size (bore × OD × width):</t>
  </si>
  <si>
    <t>Hours in Service:</t>
  </si>
  <si>
    <t>Hours Since Last Replacement:</t>
  </si>
  <si>
    <t>Analyst:</t>
  </si>
  <si>
    <t>Work Order #:</t>
  </si>
  <si>
    <t xml:space="preserve">  SECTION 1 — FAILURE MODE CLASSIFICATION</t>
  </si>
  <si>
    <t>Failure Mode</t>
  </si>
  <si>
    <t>Visual Indicators</t>
  </si>
  <si>
    <t>Tick if Observed</t>
  </si>
  <si>
    <t>Severity (1-5)</t>
  </si>
  <si>
    <t>Notes</t>
  </si>
  <si>
    <t>Rolling Contact Fatigue</t>
  </si>
  <si>
    <t>Spalling / pitting on raceway or rolling elements</t>
  </si>
  <si>
    <t>Wear (Abrasive)</t>
  </si>
  <si>
    <t>Scratching / scoring on races; dull grey surface</t>
  </si>
  <si>
    <t>Wear (Adhesive / Smearing)</t>
  </si>
  <si>
    <t>Metal transfer between surfaces; smear marks</t>
  </si>
  <si>
    <t>Corrosion</t>
  </si>
  <si>
    <t>Rust pitting; reddish-brown deposits on races</t>
  </si>
  <si>
    <t>Fretting Corrosion</t>
  </si>
  <si>
    <t>Red-brown powder at bore/OD fit; fretted surfaces</t>
  </si>
  <si>
    <t>Electrical Pitting (Fluting)</t>
  </si>
  <si>
    <t>Regular fluting / washboard pattern on raceway</t>
  </si>
  <si>
    <t>Brinelling (Static Overload)</t>
  </si>
  <si>
    <t>Dents in raceway matching rolling element spacing</t>
  </si>
  <si>
    <t>False Brinelling (Vibration)</t>
  </si>
  <si>
    <t>Dull, elliptical dents; bearing not rotating</t>
  </si>
  <si>
    <t>Fracture / Cracking</t>
  </si>
  <si>
    <t>Cracks or fracture of ring, cage or rolling element</t>
  </si>
  <si>
    <t>Cage Failure</t>
  </si>
  <si>
    <t>Deformed, cracked or worn cage</t>
  </si>
  <si>
    <t>Lubrication Failure</t>
  </si>
  <si>
    <t>Discoloured/burnt grease; overheating marks; seizure</t>
  </si>
  <si>
    <t>Contamination</t>
  </si>
  <si>
    <t>Scoring from hard particles; embedded debris</t>
  </si>
  <si>
    <t>Misalignment</t>
  </si>
  <si>
    <t>Non-uniform raceway contact; edge loading marks</t>
  </si>
  <si>
    <t>Overloading</t>
  </si>
  <si>
    <t>Spalling over full raceway width; heavy wear</t>
  </si>
  <si>
    <t xml:space="preserve">  SECTION 2 — ROOT CAUSE DETERMINATION</t>
  </si>
  <si>
    <t>Primary Failure Mode (from above):</t>
  </si>
  <si>
    <t>Root Cause (installation / design / maintenance / operation / material):</t>
  </si>
  <si>
    <t>Contributing Factors:</t>
  </si>
  <si>
    <t>Was lubrication correct? (type, quantity, interval):</t>
  </si>
  <si>
    <t>Was installation correct? (fit, preload, handling):</t>
  </si>
  <si>
    <t>Were operating conditions within spec? (load, speed, temp):</t>
  </si>
  <si>
    <t xml:space="preserve">  SECTION 3 — CORRECTIVE ACTIONS</t>
  </si>
  <si>
    <t>Corrective Action</t>
  </si>
  <si>
    <t>Responsible</t>
  </si>
  <si>
    <t>Target Date</t>
  </si>
  <si>
    <t>Status</t>
  </si>
  <si>
    <t>WO#</t>
  </si>
  <si>
    <t xml:space="preserve">  SECTION 4 — REPLACEMENT BEARING DETAILS</t>
  </si>
  <si>
    <t>Replacement Bearing P/N:</t>
  </si>
  <si>
    <t>Replacement Bearing Manufacturer:</t>
  </si>
  <si>
    <t>Date Installed:</t>
  </si>
  <si>
    <t>Installed By:</t>
  </si>
  <si>
    <t>Lubrication Type/Grade Used:</t>
  </si>
  <si>
    <t>Quantity (g or ml):</t>
  </si>
  <si>
    <t>Installation Method (press/puller/induction):</t>
  </si>
  <si>
    <t>Interference Fit Measured:</t>
  </si>
  <si>
    <t>Analyst Signature:</t>
  </si>
  <si>
    <t>Supervisor Sign-off:</t>
  </si>
  <si>
    <t>Date:</t>
  </si>
  <si>
    <t>Distribution:</t>
  </si>
  <si>
    <t>Frequency (1-5)</t>
  </si>
  <si>
    <t>Risk Score</t>
  </si>
  <si>
    <t>Probable Root Cause</t>
  </si>
  <si>
    <t>Evidence Ref</t>
  </si>
  <si>
    <t>Priority</t>
  </si>
  <si>
    <t>Bearing Failure Analysis Sheet — PREMIUM UPGRADE GUIDE</t>
  </si>
  <si>
    <t>Original template preserved. Added premium sheets turn the file into a semi-automated maintenance management tool.</t>
  </si>
  <si>
    <t>Step</t>
  </si>
  <si>
    <t>What to do</t>
  </si>
  <si>
    <t>Outcome</t>
  </si>
  <si>
    <t>1</t>
  </si>
  <si>
    <t>Enter field data</t>
  </si>
  <si>
    <t>Complete the original inspection/report sheet. Yellow cells and result columns are input fields.</t>
  </si>
  <si>
    <t>2</t>
  </si>
  <si>
    <t>Use dropdowns</t>
  </si>
  <si>
    <t>Use standardised results, priority, status, criticality and RCA decision fields to keep data clean.</t>
  </si>
  <si>
    <t>3</t>
  </si>
  <si>
    <t>Review dashboard</t>
  </si>
  <si>
    <t>Open the dashboard/summary sheet to view compliance, open actions, overdue actions and management risk indicators.</t>
  </si>
  <si>
    <t>4</t>
  </si>
  <si>
    <t>Close actions</t>
  </si>
  <si>
    <t>Transfer defects/recommendations to the Action Tracker with owner, due date, status and verification evidence.</t>
  </si>
  <si>
    <t>5</t>
  </si>
  <si>
    <t>Issue report</t>
  </si>
  <si>
    <t>Use the original form for site records and the added registers for meetings, audits and maintenance planning.</t>
  </si>
  <si>
    <t>Upgrades Implemented</t>
  </si>
  <si>
    <t>• Risk scoring added: severity × frequency by failure mode.</t>
  </si>
  <si>
    <t>• Photo/evidence log added for races, cage, rolling elements, shaft fit, housing fit and lubricant evidence.</t>
  </si>
  <si>
    <t>• Diagnostic guide added to link symptoms to likely causes and checks.</t>
  </si>
  <si>
    <t>• Action tracker added with due dates, status, close-out verification and overdue calculation.</t>
  </si>
  <si>
    <t>• Dashboard added for observed failure modes, maximum risk, critical findings and action status.</t>
  </si>
  <si>
    <t>CONTROL LISTS / DROPDOWNS</t>
  </si>
  <si>
    <t>Edit these lists if your site uses different status, priority, failure mode or criticality labels.</t>
  </si>
  <si>
    <t>Result</t>
  </si>
  <si>
    <t>Severity</t>
  </si>
  <si>
    <t>Criticality</t>
  </si>
  <si>
    <t>Shift</t>
  </si>
  <si>
    <t>RCA Required</t>
  </si>
  <si>
    <t>Open</t>
  </si>
  <si>
    <t>Critical</t>
  </si>
  <si>
    <t>✓</t>
  </si>
  <si>
    <t>Mechanical</t>
  </si>
  <si>
    <t>A - Critical</t>
  </si>
  <si>
    <t>Day</t>
  </si>
  <si>
    <t>Yes</t>
  </si>
  <si>
    <t>In Progress</t>
  </si>
  <si>
    <t>High</t>
  </si>
  <si>
    <t>✗</t>
  </si>
  <si>
    <t>Electrical</t>
  </si>
  <si>
    <t>B - Important</t>
  </si>
  <si>
    <t>Night</t>
  </si>
  <si>
    <t>No</t>
  </si>
  <si>
    <t>Complete</t>
  </si>
  <si>
    <t>Medium</t>
  </si>
  <si>
    <t>N/A</t>
  </si>
  <si>
    <t>Lubrication</t>
  </si>
  <si>
    <t>C - General</t>
  </si>
  <si>
    <t>A</t>
  </si>
  <si>
    <t>TBC</t>
  </si>
  <si>
    <t>Overdue</t>
  </si>
  <si>
    <t>Low</t>
  </si>
  <si>
    <t>Monitor</t>
  </si>
  <si>
    <t>Hydraulic</t>
  </si>
  <si>
    <t>B</t>
  </si>
  <si>
    <t>Deferred</t>
  </si>
  <si>
    <t>Pneumatic</t>
  </si>
  <si>
    <t>C</t>
  </si>
  <si>
    <t>Cancelled</t>
  </si>
  <si>
    <t>Instrumentation</t>
  </si>
  <si>
    <t>D</t>
  </si>
  <si>
    <t>Verified</t>
  </si>
  <si>
    <t>Process</t>
  </si>
  <si>
    <t>Operator</t>
  </si>
  <si>
    <t>Design</t>
  </si>
  <si>
    <t>Unknown</t>
  </si>
  <si>
    <t>ACTION TRACKER</t>
  </si>
  <si>
    <t>Central register for defects, recommendations, close-out dates, and verification.</t>
  </si>
  <si>
    <t>Source/Sheet</t>
  </si>
  <si>
    <t>Asset / Equipment</t>
  </si>
  <si>
    <t>Finding / Defect</t>
  </si>
  <si>
    <t>Risk / Impact</t>
  </si>
  <si>
    <t>Responsible Person</t>
  </si>
  <si>
    <t>Due Date</t>
  </si>
  <si>
    <t>Close-out Date</t>
  </si>
  <si>
    <t>Verification / Evidence</t>
  </si>
  <si>
    <t>Days Overdue</t>
  </si>
  <si>
    <t>PHOTO EVIDENCE LOG</t>
  </si>
  <si>
    <t>Record photo evidence references; paste links to shared folders/CMMS records rather than inserting large images into the workbook.</t>
  </si>
  <si>
    <t>Photo Ref</t>
  </si>
  <si>
    <t>Bearing / Equipment</t>
  </si>
  <si>
    <t>Component / Location</t>
  </si>
  <si>
    <t>Finding Shown</t>
  </si>
  <si>
    <t>File/Folder Link</t>
  </si>
  <si>
    <t>Taken By</t>
  </si>
  <si>
    <t>Date</t>
  </si>
  <si>
    <t>Action Ref</t>
  </si>
  <si>
    <t>PH-001</t>
  </si>
  <si>
    <t>PH-002</t>
  </si>
  <si>
    <t>PH-003</t>
  </si>
  <si>
    <t>PH-004</t>
  </si>
  <si>
    <t>PH-005</t>
  </si>
  <si>
    <t>PH-006</t>
  </si>
  <si>
    <t>PH-007</t>
  </si>
  <si>
    <t>PH-008</t>
  </si>
  <si>
    <t>PH-009</t>
  </si>
  <si>
    <t>PH-010</t>
  </si>
  <si>
    <t>PH-011</t>
  </si>
  <si>
    <t>PH-012</t>
  </si>
  <si>
    <t>PH-013</t>
  </si>
  <si>
    <t>PH-014</t>
  </si>
  <si>
    <t>PH-015</t>
  </si>
  <si>
    <t>BEARING FAILURE DIAGNOSIS GUIDE</t>
  </si>
  <si>
    <t>Use this as a quick interpretation aid before confirming the root cause with evidence.</t>
  </si>
  <si>
    <t>Visual symptom</t>
  </si>
  <si>
    <t>Likely cause</t>
  </si>
  <si>
    <t>Evidence to check</t>
  </si>
  <si>
    <t>Typical corrective action</t>
  </si>
  <si>
    <t>Spalling / pitting</t>
  </si>
  <si>
    <t>Rolling contact fatigue or overload</t>
  </si>
  <si>
    <t>Check load, alignment, service hours, vibration trend</t>
  </si>
  <si>
    <t>Review bearing selection and load case</t>
  </si>
  <si>
    <t>Grey scoring / scratches</t>
  </si>
  <si>
    <t>Abrasive contamination</t>
  </si>
  <si>
    <t>Inspect seals, grease cleanliness, storage/handling practices</t>
  </si>
  <si>
    <t>Improve sealing and lube cleanliness</t>
  </si>
  <si>
    <t>Smearing / discolouration</t>
  </si>
  <si>
    <t>Lubrication starvation or overheating</t>
  </si>
  <si>
    <t>Check grease quantity, interval, viscosity, operating temperature</t>
  </si>
  <si>
    <t>Correct lubricant and relube interval</t>
  </si>
  <si>
    <t>Rust / pitting</t>
  </si>
  <si>
    <t>Water ingress or poor storage</t>
  </si>
  <si>
    <t>Inspect seals, washdown practice, storage conditions</t>
  </si>
  <si>
    <t>Improve sealing and contamination control</t>
  </si>
  <si>
    <t>Fluting / washboard marks</t>
  </si>
  <si>
    <t>Electrical current passage</t>
  </si>
  <si>
    <t>Check motor grounding, VFD, insulated bearing requirement</t>
  </si>
  <si>
    <t>Install grounding brush/insulated bearing</t>
  </si>
  <si>
    <t>Red-brown powder at fit</t>
  </si>
  <si>
    <t>Fretting from loose fit/micro-movement</t>
  </si>
  <si>
    <t>Measure shaft and housing fits</t>
  </si>
  <si>
    <t>Restore fits, sleeve or replace housing/shaft</t>
  </si>
  <si>
    <t>Cage deformation</t>
  </si>
  <si>
    <t>Misalignment, shock load or poor handling</t>
  </si>
  <si>
    <t>Inspect mounting method, shaft shoulder, bearing seating</t>
  </si>
  <si>
    <t>Correct installation procedure</t>
  </si>
  <si>
    <t>BEARING FAILURE DASHBOARD</t>
  </si>
  <si>
    <t>Risk-based summary for maintenance review and corrective action prioritisation.</t>
  </si>
  <si>
    <t>Metric</t>
  </si>
  <si>
    <t>Value</t>
  </si>
  <si>
    <t>Interpretation</t>
  </si>
  <si>
    <t>Observed failure modes</t>
  </si>
  <si>
    <t>Failure modes ticked/observed</t>
  </si>
  <si>
    <t>Maximum severity</t>
  </si>
  <si>
    <t>Highest entered severity</t>
  </si>
  <si>
    <t>Maximum risk score</t>
  </si>
  <si>
    <t>Severity × frequency</t>
  </si>
  <si>
    <t>Critical priorities</t>
  </si>
  <si>
    <t>Failure modes marked Critical</t>
  </si>
  <si>
    <t>Open actions</t>
  </si>
  <si>
    <t>Actions not closed</t>
  </si>
  <si>
    <t>Overdue actions</t>
  </si>
  <si>
    <t>Actions past due</t>
  </si>
  <si>
    <t>RCA status</t>
  </si>
  <si>
    <t>Management status</t>
  </si>
  <si>
    <t>Recommended next step</t>
  </si>
  <si>
    <t>Automated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</si>
</sst>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13" x14ac:knownFonts="1">
    <font>
      <sz val="11"/>
      <color theme="1"/>
      <name val="Calibri"/>
    </font>
    <font>
      <sz val="10"/>
      <name val="Arial"/>
    </font>
    <font>
      <b/>
      <sz val="13"/>
      <color rgb="FFE8A020"/>
      <name val="Arial"/>
    </font>
    <font>
      <i/>
      <sz val="8"/>
      <color rgb="FF717D7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1A1A2E"/>
      <name val="Arial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9E6"/>
      </patternFill>
    </fill>
    <fill>
      <patternFill patternType="solid">
        <fgColor rgb="FF16213E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30">
    <xf numFmtId="0" fontId="0" fillId="0" borderId="0" xfId="0"/>
    <xf numFmtId="0" fontId="0" fillId="11" borderId="0" xfId="0" applyFill="1" applyAlignment="1">
      <alignment wrapText="1"/>
    </xf>
    <xf numFmtId="0" fontId="9" fillId="8" borderId="0" xfId="0" applyFont="1" applyFill="1" applyAlignment="1">
      <alignment wrapText="1"/>
    </xf>
    <xf numFmtId="0" fontId="8" fillId="7" borderId="0" xfId="0" applyFont="1" applyFill="1" applyAlignment="1">
      <alignment horizontal="left" vertical="center"/>
    </xf>
    <xf numFmtId="0" fontId="6" fillId="3" borderId="2" xfId="0" applyFont="1" applyFill="1" applyBorder="1"/>
    <xf numFmtId="0" fontId="7" fillId="5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2" borderId="2" xfId="0" applyFont="1" applyFill="1" applyBorder="1"/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4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1" fillId="10" borderId="0" xfId="0" applyFont="1" applyFill="1"/>
    <xf numFmtId="0" fontId="11" fillId="9" borderId="0" xfId="0" applyFont="1" applyFill="1"/>
    <xf numFmtId="164" fontId="0" fillId="0" borderId="0" xfId="0" applyNumberFormat="1" applyAlignment="1">
      <alignment vertical="top" wrapText="1"/>
    </xf>
    <xf numFmtId="0" fontId="11" fillId="10" borderId="0" xfId="0" applyFont="1" applyFill="1" applyAlignment="1">
      <alignment wrapText="1"/>
    </xf>
    <xf numFmtId="0" fontId="11" fillId="9" borderId="0" xfId="0" applyFont="1" applyFill="1" applyAlignment="1">
      <alignment wrapText="1"/>
    </xf>
    <xf numFmtId="0" fontId="12" fillId="8" borderId="0" xfId="0" applyFont="1" applyFill="1" applyAlignment="1">
      <alignment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2"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C0392B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aringActionTracker" displayName="BearingActionTracker" ref="A4:K34">
  <tableColumns count="11">
    <tableColumn id="1" xr3:uid="{00000000-0010-0000-0000-000001000000}" name="Source/Sheet"/>
    <tableColumn id="2" xr3:uid="{00000000-0010-0000-0000-000002000000}" name="Asset / Equipment"/>
    <tableColumn id="3" xr3:uid="{00000000-0010-0000-0000-000003000000}" name="Finding / Defect"/>
    <tableColumn id="4" xr3:uid="{00000000-0010-0000-0000-000004000000}" name="Risk / Impact"/>
    <tableColumn id="5" xr3:uid="{00000000-0010-0000-0000-000005000000}" name="Priority"/>
    <tableColumn id="6" xr3:uid="{00000000-0010-0000-0000-000006000000}" name="Responsible Person"/>
    <tableColumn id="7" xr3:uid="{00000000-0010-0000-0000-000007000000}" name="Due Date"/>
    <tableColumn id="8" xr3:uid="{00000000-0010-0000-0000-000008000000}" name="Status"/>
    <tableColumn id="9" xr3:uid="{00000000-0010-0000-0000-000009000000}" name="Close-out Date"/>
    <tableColumn id="10" xr3:uid="{00000000-0010-0000-0000-00000A000000}" name="Verification / Evidence"/>
    <tableColumn id="11" xr3:uid="{00000000-0010-0000-0000-00000B000000}" name="Days Over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aringPhotoLog" displayName="BearingPhotoLog" ref="A4:J19">
  <tableColumns count="10">
    <tableColumn id="1" xr3:uid="{00000000-0010-0000-0100-000001000000}" name="Photo Ref"/>
    <tableColumn id="2" xr3:uid="{00000000-0010-0000-0100-000002000000}" name="Bearing / Equipment"/>
    <tableColumn id="3" xr3:uid="{00000000-0010-0000-0100-000003000000}" name="Component / Location"/>
    <tableColumn id="4" xr3:uid="{00000000-0010-0000-0100-000004000000}" name="Finding Shown"/>
    <tableColumn id="5" xr3:uid="{00000000-0010-0000-0100-000005000000}" name="File/Folder Link"/>
    <tableColumn id="6" xr3:uid="{00000000-0010-0000-0100-000006000000}" name="Taken By"/>
    <tableColumn id="7" xr3:uid="{00000000-0010-0000-0100-000007000000}" name="Date"/>
    <tableColumn id="8" xr3:uid="{00000000-0010-0000-0100-000008000000}" name="Severity"/>
    <tableColumn id="9" xr3:uid="{00000000-0010-0000-0100-000009000000}" name="Action Ref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earingDiagnosis" displayName="BearingDiagnosis" ref="A4:D11">
  <tableColumns count="4">
    <tableColumn id="1" xr3:uid="{00000000-0010-0000-0200-000001000000}" name="Visual symptom"/>
    <tableColumn id="2" xr3:uid="{00000000-0010-0000-0200-000002000000}" name="Likely cause"/>
    <tableColumn id="3" xr3:uid="{00000000-0010-0000-0200-000003000000}" name="Evidence to check"/>
    <tableColumn id="4" xr3:uid="{00000000-0010-0000-0200-000004000000}" name="Typical 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M51"/>
  <sheetViews>
    <sheetView showGridLines="0" topLeftCell="A40" workbookViewId="0"/>
  </sheetViews>
  <sheetFormatPr defaultColWidth="8.6640625" defaultRowHeight="14.4" x14ac:dyDescent="0.3"/>
  <cols>
    <col min="1" max="1" width="2" customWidth="1"/>
    <col min="2" max="2" width="8" customWidth="1"/>
    <col min="3" max="4" width="28" customWidth="1"/>
    <col min="5" max="8" width="14" customWidth="1"/>
    <col min="9" max="9" width="13" customWidth="1"/>
    <col min="10" max="10" width="11" customWidth="1"/>
    <col min="11" max="11" width="30" customWidth="1"/>
    <col min="12" max="12" width="15" customWidth="1"/>
    <col min="13" max="13" width="13" customWidth="1"/>
  </cols>
  <sheetData>
    <row r="1" spans="1:13" ht="7.5" customHeight="1" x14ac:dyDescent="0.3"/>
    <row r="2" spans="1:13" ht="37.5" customHeight="1" x14ac:dyDescent="0.3">
      <c r="A2" s="13"/>
      <c r="B2" s="12" t="s">
        <v>0</v>
      </c>
      <c r="C2" s="12"/>
      <c r="D2" s="12"/>
      <c r="E2" s="12"/>
      <c r="F2" s="12"/>
      <c r="G2" s="12"/>
      <c r="H2" s="12"/>
      <c r="I2" s="13"/>
    </row>
    <row r="3" spans="1:13" ht="18" customHeight="1" x14ac:dyDescent="0.3">
      <c r="B3" s="11" t="s">
        <v>1</v>
      </c>
      <c r="C3" s="11"/>
      <c r="D3" s="11"/>
      <c r="E3" s="11"/>
      <c r="F3" s="11"/>
      <c r="G3" s="11"/>
    </row>
    <row r="4" spans="1:13" ht="19.5" customHeight="1" x14ac:dyDescent="0.3">
      <c r="B4" s="14" t="s">
        <v>2</v>
      </c>
      <c r="C4" s="15"/>
      <c r="D4" s="15"/>
      <c r="E4" s="14" t="s">
        <v>3</v>
      </c>
      <c r="F4" s="15"/>
      <c r="G4" s="15"/>
    </row>
    <row r="5" spans="1:13" ht="19.5" customHeight="1" x14ac:dyDescent="0.3">
      <c r="B5" s="14" t="s">
        <v>4</v>
      </c>
      <c r="C5" s="15"/>
      <c r="D5" s="15"/>
      <c r="E5" s="14" t="s">
        <v>5</v>
      </c>
      <c r="F5" s="15"/>
      <c r="G5" s="15"/>
    </row>
    <row r="6" spans="1:13" ht="19.5" customHeight="1" x14ac:dyDescent="0.3">
      <c r="B6" s="14" t="s">
        <v>6</v>
      </c>
      <c r="C6" s="15"/>
      <c r="D6" s="15"/>
      <c r="E6" s="14" t="s">
        <v>7</v>
      </c>
      <c r="F6" s="15"/>
      <c r="G6" s="15"/>
    </row>
    <row r="7" spans="1:13" ht="19.5" customHeight="1" x14ac:dyDescent="0.3">
      <c r="B7" s="14" t="s">
        <v>8</v>
      </c>
      <c r="C7" s="15"/>
      <c r="D7" s="15"/>
      <c r="E7" s="14" t="s">
        <v>9</v>
      </c>
      <c r="F7" s="15"/>
      <c r="G7" s="15"/>
    </row>
    <row r="8" spans="1:13" ht="19.5" customHeight="1" x14ac:dyDescent="0.3">
      <c r="B8" s="14" t="s">
        <v>10</v>
      </c>
      <c r="C8" s="15"/>
      <c r="D8" s="15"/>
      <c r="E8" s="14" t="s">
        <v>11</v>
      </c>
      <c r="F8" s="15"/>
      <c r="G8" s="15"/>
    </row>
    <row r="9" spans="1:13" ht="19.5" customHeight="1" x14ac:dyDescent="0.3">
      <c r="B9" s="14" t="s">
        <v>12</v>
      </c>
      <c r="C9" s="15"/>
      <c r="D9" s="15"/>
      <c r="E9" s="14" t="s">
        <v>13</v>
      </c>
      <c r="F9" s="15"/>
      <c r="G9" s="15"/>
    </row>
    <row r="10" spans="1:13" ht="9.75" customHeight="1" x14ac:dyDescent="0.3"/>
    <row r="11" spans="1:13" ht="21.75" customHeight="1" x14ac:dyDescent="0.3">
      <c r="B11" s="10" t="s">
        <v>14</v>
      </c>
      <c r="C11" s="10"/>
      <c r="D11" s="10"/>
      <c r="E11" s="10"/>
      <c r="F11" s="10"/>
      <c r="G11" s="10"/>
      <c r="H11" s="10"/>
    </row>
    <row r="12" spans="1:13" ht="28.8" x14ac:dyDescent="0.3">
      <c r="B12" s="16" t="s">
        <v>15</v>
      </c>
      <c r="D12" s="16" t="s">
        <v>16</v>
      </c>
      <c r="F12" s="16" t="s">
        <v>17</v>
      </c>
      <c r="G12" s="16" t="s">
        <v>18</v>
      </c>
      <c r="H12" s="16" t="s">
        <v>19</v>
      </c>
      <c r="I12" s="27" t="s">
        <v>74</v>
      </c>
      <c r="J12" s="27" t="s">
        <v>75</v>
      </c>
      <c r="K12" s="27" t="s">
        <v>76</v>
      </c>
      <c r="L12" s="27" t="s">
        <v>77</v>
      </c>
      <c r="M12" s="27" t="s">
        <v>78</v>
      </c>
    </row>
    <row r="13" spans="1:13" ht="18" customHeight="1" x14ac:dyDescent="0.3">
      <c r="B13" s="9" t="s">
        <v>20</v>
      </c>
      <c r="C13" s="9"/>
      <c r="D13" s="9" t="s">
        <v>21</v>
      </c>
      <c r="E13" s="9"/>
      <c r="F13" s="17"/>
      <c r="G13" s="17"/>
      <c r="H13" s="18"/>
      <c r="J13" t="str">
        <f t="shared" ref="J13:J26" si="0">IF(OR(F13="",G13="",I13=""),"",G13*I13)</f>
        <v/>
      </c>
    </row>
    <row r="14" spans="1:13" ht="18" customHeight="1" x14ac:dyDescent="0.3">
      <c r="B14" s="8" t="s">
        <v>22</v>
      </c>
      <c r="C14" s="8"/>
      <c r="D14" s="8" t="s">
        <v>23</v>
      </c>
      <c r="E14" s="8"/>
      <c r="F14" s="17"/>
      <c r="G14" s="17"/>
      <c r="H14" s="18"/>
      <c r="J14" t="str">
        <f t="shared" si="0"/>
        <v/>
      </c>
    </row>
    <row r="15" spans="1:13" ht="18" customHeight="1" x14ac:dyDescent="0.3">
      <c r="B15" s="9" t="s">
        <v>24</v>
      </c>
      <c r="C15" s="9"/>
      <c r="D15" s="9" t="s">
        <v>25</v>
      </c>
      <c r="E15" s="9"/>
      <c r="F15" s="17"/>
      <c r="G15" s="17"/>
      <c r="H15" s="18"/>
      <c r="J15" t="str">
        <f t="shared" si="0"/>
        <v/>
      </c>
    </row>
    <row r="16" spans="1:13" ht="18" customHeight="1" x14ac:dyDescent="0.3">
      <c r="B16" s="8" t="s">
        <v>26</v>
      </c>
      <c r="C16" s="8"/>
      <c r="D16" s="8" t="s">
        <v>27</v>
      </c>
      <c r="E16" s="8"/>
      <c r="F16" s="17"/>
      <c r="G16" s="17"/>
      <c r="H16" s="18"/>
      <c r="J16" t="str">
        <f t="shared" si="0"/>
        <v/>
      </c>
    </row>
    <row r="17" spans="2:10" ht="18" customHeight="1" x14ac:dyDescent="0.3">
      <c r="B17" s="9" t="s">
        <v>28</v>
      </c>
      <c r="C17" s="9"/>
      <c r="D17" s="9" t="s">
        <v>29</v>
      </c>
      <c r="E17" s="9"/>
      <c r="F17" s="17"/>
      <c r="G17" s="17"/>
      <c r="H17" s="18"/>
      <c r="J17" t="str">
        <f t="shared" si="0"/>
        <v/>
      </c>
    </row>
    <row r="18" spans="2:10" ht="18" customHeight="1" x14ac:dyDescent="0.3">
      <c r="B18" s="8" t="s">
        <v>30</v>
      </c>
      <c r="C18" s="8"/>
      <c r="D18" s="8" t="s">
        <v>31</v>
      </c>
      <c r="E18" s="8"/>
      <c r="F18" s="17"/>
      <c r="G18" s="17"/>
      <c r="H18" s="18"/>
      <c r="J18" t="str">
        <f t="shared" si="0"/>
        <v/>
      </c>
    </row>
    <row r="19" spans="2:10" ht="18" customHeight="1" x14ac:dyDescent="0.3">
      <c r="B19" s="9" t="s">
        <v>32</v>
      </c>
      <c r="C19" s="9"/>
      <c r="D19" s="9" t="s">
        <v>33</v>
      </c>
      <c r="E19" s="9"/>
      <c r="F19" s="17"/>
      <c r="G19" s="17"/>
      <c r="H19" s="18"/>
      <c r="J19" t="str">
        <f t="shared" si="0"/>
        <v/>
      </c>
    </row>
    <row r="20" spans="2:10" ht="18" customHeight="1" x14ac:dyDescent="0.3">
      <c r="B20" s="8" t="s">
        <v>34</v>
      </c>
      <c r="C20" s="8"/>
      <c r="D20" s="8" t="s">
        <v>35</v>
      </c>
      <c r="E20" s="8"/>
      <c r="F20" s="17"/>
      <c r="G20" s="17"/>
      <c r="H20" s="18"/>
      <c r="J20" t="str">
        <f t="shared" si="0"/>
        <v/>
      </c>
    </row>
    <row r="21" spans="2:10" ht="18" customHeight="1" x14ac:dyDescent="0.3">
      <c r="B21" s="9" t="s">
        <v>36</v>
      </c>
      <c r="C21" s="9"/>
      <c r="D21" s="9" t="s">
        <v>37</v>
      </c>
      <c r="E21" s="9"/>
      <c r="F21" s="17"/>
      <c r="G21" s="17"/>
      <c r="H21" s="18"/>
      <c r="J21" t="str">
        <f t="shared" si="0"/>
        <v/>
      </c>
    </row>
    <row r="22" spans="2:10" ht="18" customHeight="1" x14ac:dyDescent="0.3">
      <c r="B22" s="8" t="s">
        <v>38</v>
      </c>
      <c r="C22" s="8"/>
      <c r="D22" s="8" t="s">
        <v>39</v>
      </c>
      <c r="E22" s="8"/>
      <c r="F22" s="17"/>
      <c r="G22" s="17"/>
      <c r="H22" s="18"/>
      <c r="J22" t="str">
        <f t="shared" si="0"/>
        <v/>
      </c>
    </row>
    <row r="23" spans="2:10" ht="18" customHeight="1" x14ac:dyDescent="0.3">
      <c r="B23" s="9" t="s">
        <v>40</v>
      </c>
      <c r="C23" s="9"/>
      <c r="D23" s="9" t="s">
        <v>41</v>
      </c>
      <c r="E23" s="9"/>
      <c r="F23" s="17"/>
      <c r="G23" s="17"/>
      <c r="H23" s="18"/>
      <c r="J23" t="str">
        <f t="shared" si="0"/>
        <v/>
      </c>
    </row>
    <row r="24" spans="2:10" ht="18" customHeight="1" x14ac:dyDescent="0.3">
      <c r="B24" s="8" t="s">
        <v>42</v>
      </c>
      <c r="C24" s="8"/>
      <c r="D24" s="8" t="s">
        <v>43</v>
      </c>
      <c r="E24" s="8"/>
      <c r="F24" s="17"/>
      <c r="G24" s="17"/>
      <c r="H24" s="18"/>
      <c r="J24" t="str">
        <f t="shared" si="0"/>
        <v/>
      </c>
    </row>
    <row r="25" spans="2:10" ht="18" customHeight="1" x14ac:dyDescent="0.3">
      <c r="B25" s="9" t="s">
        <v>44</v>
      </c>
      <c r="C25" s="9"/>
      <c r="D25" s="9" t="s">
        <v>45</v>
      </c>
      <c r="E25" s="9"/>
      <c r="F25" s="17"/>
      <c r="G25" s="17"/>
      <c r="H25" s="18"/>
      <c r="J25" t="str">
        <f t="shared" si="0"/>
        <v/>
      </c>
    </row>
    <row r="26" spans="2:10" ht="18" customHeight="1" x14ac:dyDescent="0.3">
      <c r="B26" s="8" t="s">
        <v>46</v>
      </c>
      <c r="C26" s="8"/>
      <c r="D26" s="8" t="s">
        <v>47</v>
      </c>
      <c r="E26" s="8"/>
      <c r="F26" s="17"/>
      <c r="G26" s="17"/>
      <c r="H26" s="18"/>
      <c r="J26" t="str">
        <f t="shared" si="0"/>
        <v/>
      </c>
    </row>
    <row r="27" spans="2:10" ht="9.75" customHeight="1" x14ac:dyDescent="0.3"/>
    <row r="28" spans="2:10" ht="21.75" customHeight="1" x14ac:dyDescent="0.3">
      <c r="B28" s="10" t="s">
        <v>48</v>
      </c>
      <c r="C28" s="10"/>
      <c r="D28" s="10"/>
      <c r="E28" s="10"/>
      <c r="F28" s="10"/>
      <c r="G28" s="10"/>
      <c r="H28" s="10"/>
    </row>
    <row r="29" spans="2:10" ht="21.75" customHeight="1" x14ac:dyDescent="0.3">
      <c r="B29" s="7" t="s">
        <v>49</v>
      </c>
      <c r="C29" s="7"/>
      <c r="D29" s="6"/>
      <c r="E29" s="6"/>
      <c r="F29" s="6"/>
      <c r="G29" s="6"/>
      <c r="H29" s="6"/>
    </row>
    <row r="30" spans="2:10" ht="21.75" customHeight="1" x14ac:dyDescent="0.3">
      <c r="B30" s="5" t="s">
        <v>50</v>
      </c>
      <c r="C30" s="5"/>
      <c r="D30" s="6"/>
      <c r="E30" s="6"/>
      <c r="F30" s="6"/>
      <c r="G30" s="6"/>
      <c r="H30" s="6"/>
    </row>
    <row r="31" spans="2:10" ht="21.75" customHeight="1" x14ac:dyDescent="0.3">
      <c r="B31" s="7" t="s">
        <v>51</v>
      </c>
      <c r="C31" s="7"/>
      <c r="D31" s="6"/>
      <c r="E31" s="6"/>
      <c r="F31" s="6"/>
      <c r="G31" s="6"/>
      <c r="H31" s="6"/>
    </row>
    <row r="32" spans="2:10" ht="21.75" customHeight="1" x14ac:dyDescent="0.3">
      <c r="B32" s="5" t="s">
        <v>52</v>
      </c>
      <c r="C32" s="5"/>
      <c r="D32" s="6"/>
      <c r="E32" s="6"/>
      <c r="F32" s="6"/>
      <c r="G32" s="6"/>
      <c r="H32" s="6"/>
    </row>
    <row r="33" spans="2:8" ht="21.75" customHeight="1" x14ac:dyDescent="0.3">
      <c r="B33" s="7" t="s">
        <v>53</v>
      </c>
      <c r="C33" s="7"/>
      <c r="D33" s="6"/>
      <c r="E33" s="6"/>
      <c r="F33" s="6"/>
      <c r="G33" s="6"/>
      <c r="H33" s="6"/>
    </row>
    <row r="34" spans="2:8" ht="21.75" customHeight="1" x14ac:dyDescent="0.3">
      <c r="B34" s="5" t="s">
        <v>54</v>
      </c>
      <c r="C34" s="5"/>
      <c r="D34" s="6"/>
      <c r="E34" s="6"/>
      <c r="F34" s="6"/>
      <c r="G34" s="6"/>
      <c r="H34" s="6"/>
    </row>
    <row r="35" spans="2:8" ht="9.75" customHeight="1" x14ac:dyDescent="0.3"/>
    <row r="36" spans="2:8" ht="21.75" customHeight="1" x14ac:dyDescent="0.3">
      <c r="B36" s="10" t="s">
        <v>55</v>
      </c>
      <c r="C36" s="10"/>
      <c r="D36" s="10"/>
      <c r="E36" s="10"/>
      <c r="F36" s="10"/>
      <c r="G36" s="10"/>
      <c r="H36" s="10"/>
    </row>
    <row r="37" spans="2:8" ht="36" x14ac:dyDescent="0.3">
      <c r="B37" s="16" t="s">
        <v>56</v>
      </c>
      <c r="E37" s="16" t="s">
        <v>57</v>
      </c>
      <c r="F37" s="16" t="s">
        <v>58</v>
      </c>
      <c r="G37" s="16" t="s">
        <v>59</v>
      </c>
      <c r="H37" s="16" t="s">
        <v>60</v>
      </c>
    </row>
    <row r="38" spans="2:8" ht="19.5" customHeight="1" x14ac:dyDescent="0.3">
      <c r="B38" s="4"/>
      <c r="C38" s="4"/>
      <c r="D38" s="4"/>
      <c r="E38" s="19"/>
      <c r="F38" s="19"/>
      <c r="G38" s="19"/>
      <c r="H38" s="19"/>
    </row>
    <row r="39" spans="2:8" ht="19.5" customHeight="1" x14ac:dyDescent="0.3">
      <c r="B39" s="4"/>
      <c r="C39" s="4"/>
      <c r="D39" s="4"/>
      <c r="E39" s="19"/>
      <c r="F39" s="19"/>
      <c r="G39" s="19"/>
      <c r="H39" s="19"/>
    </row>
    <row r="40" spans="2:8" ht="19.5" customHeight="1" x14ac:dyDescent="0.3">
      <c r="B40" s="4"/>
      <c r="C40" s="4"/>
      <c r="D40" s="4"/>
      <c r="E40" s="19"/>
      <c r="F40" s="19"/>
      <c r="G40" s="19"/>
      <c r="H40" s="19"/>
    </row>
    <row r="41" spans="2:8" ht="19.5" customHeight="1" x14ac:dyDescent="0.3">
      <c r="B41" s="4"/>
      <c r="C41" s="4"/>
      <c r="D41" s="4"/>
      <c r="E41" s="19"/>
      <c r="F41" s="19"/>
      <c r="G41" s="19"/>
      <c r="H41" s="19"/>
    </row>
    <row r="42" spans="2:8" ht="19.5" customHeight="1" x14ac:dyDescent="0.3">
      <c r="B42" s="4"/>
      <c r="C42" s="4"/>
      <c r="D42" s="4"/>
      <c r="E42" s="19"/>
      <c r="F42" s="19"/>
      <c r="G42" s="19"/>
      <c r="H42" s="19"/>
    </row>
    <row r="43" spans="2:8" ht="9.75" customHeight="1" x14ac:dyDescent="0.3"/>
    <row r="44" spans="2:8" ht="21.75" customHeight="1" x14ac:dyDescent="0.3">
      <c r="B44" s="10" t="s">
        <v>61</v>
      </c>
      <c r="C44" s="10"/>
      <c r="D44" s="10"/>
      <c r="E44" s="10"/>
      <c r="F44" s="10"/>
      <c r="G44" s="10"/>
      <c r="H44" s="10"/>
    </row>
    <row r="45" spans="2:8" ht="19.5" customHeight="1" x14ac:dyDescent="0.3">
      <c r="B45" s="14" t="s">
        <v>62</v>
      </c>
      <c r="C45" s="15"/>
      <c r="E45" s="14" t="s">
        <v>63</v>
      </c>
      <c r="F45" s="15"/>
    </row>
    <row r="46" spans="2:8" ht="19.5" customHeight="1" x14ac:dyDescent="0.3">
      <c r="B46" s="14" t="s">
        <v>64</v>
      </c>
      <c r="C46" s="15"/>
      <c r="E46" s="14" t="s">
        <v>65</v>
      </c>
      <c r="F46" s="15"/>
    </row>
    <row r="47" spans="2:8" ht="19.5" customHeight="1" x14ac:dyDescent="0.3">
      <c r="B47" s="14" t="s">
        <v>66</v>
      </c>
      <c r="C47" s="15"/>
      <c r="E47" s="14" t="s">
        <v>67</v>
      </c>
      <c r="F47" s="15"/>
    </row>
    <row r="48" spans="2:8" ht="19.5" customHeight="1" x14ac:dyDescent="0.3">
      <c r="B48" s="14" t="s">
        <v>68</v>
      </c>
      <c r="C48" s="15"/>
      <c r="E48" s="14" t="s">
        <v>69</v>
      </c>
      <c r="F48" s="15"/>
    </row>
    <row r="49" spans="2:8" ht="9.75" customHeight="1" x14ac:dyDescent="0.3"/>
    <row r="50" spans="2:8" ht="36" x14ac:dyDescent="0.3">
      <c r="B50" s="20" t="s">
        <v>70</v>
      </c>
      <c r="D50" s="20" t="s">
        <v>71</v>
      </c>
      <c r="F50" s="20" t="s">
        <v>72</v>
      </c>
      <c r="G50" s="20" t="s">
        <v>73</v>
      </c>
    </row>
    <row r="51" spans="2:8" ht="27.75" customHeight="1" x14ac:dyDescent="0.3">
      <c r="B51" s="15"/>
      <c r="C51" s="15"/>
      <c r="D51" s="15"/>
      <c r="E51" s="15"/>
      <c r="F51" s="15"/>
      <c r="G51" s="15"/>
      <c r="H51" s="15"/>
    </row>
  </sheetData>
  <mergeCells count="51">
    <mergeCell ref="B44:H44"/>
    <mergeCell ref="B38:D38"/>
    <mergeCell ref="B39:D39"/>
    <mergeCell ref="B40:D40"/>
    <mergeCell ref="B41:D41"/>
    <mergeCell ref="B42:D42"/>
    <mergeCell ref="B33:C33"/>
    <mergeCell ref="D33:H33"/>
    <mergeCell ref="B34:C34"/>
    <mergeCell ref="D34:H34"/>
    <mergeCell ref="B36:H36"/>
    <mergeCell ref="B30:C30"/>
    <mergeCell ref="D30:H30"/>
    <mergeCell ref="B31:C31"/>
    <mergeCell ref="D31:H31"/>
    <mergeCell ref="B32:C32"/>
    <mergeCell ref="D32:H32"/>
    <mergeCell ref="B26:C26"/>
    <mergeCell ref="D26:E26"/>
    <mergeCell ref="B28:H28"/>
    <mergeCell ref="B29:C29"/>
    <mergeCell ref="D29:H29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2:H2"/>
    <mergeCell ref="B3:G3"/>
    <mergeCell ref="B11:H11"/>
    <mergeCell ref="B13:C13"/>
    <mergeCell ref="D13:E13"/>
  </mergeCells>
  <conditionalFormatting sqref="J13:J26">
    <cfRule type="cellIs" dxfId="1" priority="1" operator="greaterThanOrEqual">
      <formula>15</formula>
    </cfRule>
  </conditionalFormatting>
  <dataValidations count="3">
    <dataValidation type="list" sqref="F13:F26" xr:uid="{00000000-0002-0000-0000-000000000000}">
      <formula1>"✓,Observed,Not Observed,TBC"</formula1>
    </dataValidation>
    <dataValidation type="list" sqref="I13:I26" xr:uid="{00000000-0002-0000-0000-000001000000}">
      <formula1>"1,2,3,4,5"</formula1>
    </dataValidation>
    <dataValidation type="list" sqref="M13:M26" xr:uid="{00000000-0002-0000-0000-000002000000}">
      <formula1>"Critical,High,Medium,Low,Monitor"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sqref="A1:K1"/>
    </sheetView>
  </sheetViews>
  <sheetFormatPr defaultRowHeight="14.4" x14ac:dyDescent="0.3"/>
  <cols>
    <col min="1" max="1" width="10" customWidth="1"/>
    <col min="2" max="2" width="26" customWidth="1"/>
    <col min="3" max="3" width="80" customWidth="1"/>
  </cols>
  <sheetData>
    <row r="1" spans="1:11" ht="24" customHeight="1" x14ac:dyDescent="0.3">
      <c r="A1" s="3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21" t="s">
        <v>81</v>
      </c>
      <c r="B4" s="21" t="s">
        <v>82</v>
      </c>
      <c r="C4" s="21" t="s">
        <v>83</v>
      </c>
    </row>
    <row r="5" spans="1:11" x14ac:dyDescent="0.3">
      <c r="A5" s="23" t="s">
        <v>84</v>
      </c>
      <c r="B5" s="23" t="s">
        <v>85</v>
      </c>
      <c r="C5" s="23" t="s">
        <v>86</v>
      </c>
    </row>
    <row r="6" spans="1:11" x14ac:dyDescent="0.3">
      <c r="A6" s="23" t="s">
        <v>87</v>
      </c>
      <c r="B6" s="23" t="s">
        <v>88</v>
      </c>
      <c r="C6" s="23" t="s">
        <v>89</v>
      </c>
    </row>
    <row r="7" spans="1:11" ht="28.8" x14ac:dyDescent="0.3">
      <c r="A7" s="23" t="s">
        <v>90</v>
      </c>
      <c r="B7" s="23" t="s">
        <v>91</v>
      </c>
      <c r="C7" s="23" t="s">
        <v>92</v>
      </c>
    </row>
    <row r="8" spans="1:11" ht="28.8" x14ac:dyDescent="0.3">
      <c r="A8" s="23" t="s">
        <v>93</v>
      </c>
      <c r="B8" s="23" t="s">
        <v>94</v>
      </c>
      <c r="C8" s="23" t="s">
        <v>95</v>
      </c>
    </row>
    <row r="9" spans="1:11" ht="28.8" x14ac:dyDescent="0.3">
      <c r="A9" s="23" t="s">
        <v>96</v>
      </c>
      <c r="B9" s="23" t="s">
        <v>97</v>
      </c>
      <c r="C9" s="23" t="s">
        <v>98</v>
      </c>
    </row>
    <row r="12" spans="1:11" x14ac:dyDescent="0.3">
      <c r="A12" s="24" t="s">
        <v>99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x14ac:dyDescent="0.3">
      <c r="A13" s="1" t="s">
        <v>100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101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102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103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104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7">
    <mergeCell ref="A16:K16"/>
    <mergeCell ref="A17:K17"/>
    <mergeCell ref="A1:K1"/>
    <mergeCell ref="A2:K2"/>
    <mergeCell ref="A13:K13"/>
    <mergeCell ref="A14:K14"/>
    <mergeCell ref="A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H1"/>
    </sheetView>
  </sheetViews>
  <sheetFormatPr defaultRowHeight="14.4" x14ac:dyDescent="0.3"/>
  <cols>
    <col min="1" max="1" width="59.44140625" customWidth="1"/>
    <col min="2" max="2" width="6.88671875" customWidth="1"/>
    <col min="3" max="3" width="6.6640625" customWidth="1"/>
    <col min="4" max="4" width="6.77734375" customWidth="1"/>
    <col min="5" max="5" width="12.6640625" customWidth="1"/>
    <col min="6" max="6" width="10.44140625" customWidth="1"/>
    <col min="7" max="7" width="4.6640625" customWidth="1"/>
    <col min="8" max="8" width="11" customWidth="1"/>
  </cols>
  <sheetData>
    <row r="1" spans="1:8" ht="24" customHeight="1" x14ac:dyDescent="0.3">
      <c r="A1" s="3" t="s">
        <v>105</v>
      </c>
      <c r="B1" s="3"/>
      <c r="C1" s="3"/>
      <c r="D1" s="3"/>
      <c r="E1" s="3"/>
      <c r="F1" s="3"/>
      <c r="G1" s="3"/>
      <c r="H1" s="3"/>
    </row>
    <row r="2" spans="1:8" ht="25.65" customHeight="1" x14ac:dyDescent="0.3">
      <c r="A2" s="2" t="s">
        <v>106</v>
      </c>
      <c r="B2" s="2"/>
      <c r="C2" s="2"/>
      <c r="D2" s="2"/>
      <c r="E2" s="2"/>
      <c r="F2" s="2"/>
      <c r="G2" s="2"/>
      <c r="H2" s="2"/>
    </row>
    <row r="4" spans="1:8" x14ac:dyDescent="0.3">
      <c r="A4" s="25" t="s">
        <v>59</v>
      </c>
      <c r="B4" s="25" t="s">
        <v>78</v>
      </c>
      <c r="C4" s="25" t="s">
        <v>107</v>
      </c>
      <c r="D4" s="25" t="s">
        <v>108</v>
      </c>
      <c r="E4" s="25" t="s">
        <v>15</v>
      </c>
      <c r="F4" s="25" t="s">
        <v>109</v>
      </c>
      <c r="G4" s="25" t="s">
        <v>110</v>
      </c>
      <c r="H4" s="25" t="s">
        <v>111</v>
      </c>
    </row>
    <row r="5" spans="1:8" x14ac:dyDescent="0.3">
      <c r="A5" t="s">
        <v>112</v>
      </c>
      <c r="B5" t="s">
        <v>113</v>
      </c>
      <c r="C5" t="s">
        <v>114</v>
      </c>
      <c r="D5">
        <v>1</v>
      </c>
      <c r="E5" t="s">
        <v>115</v>
      </c>
      <c r="F5" t="s">
        <v>116</v>
      </c>
      <c r="G5" t="s">
        <v>117</v>
      </c>
      <c r="H5" t="s">
        <v>118</v>
      </c>
    </row>
    <row r="6" spans="1:8" x14ac:dyDescent="0.3">
      <c r="A6" t="s">
        <v>119</v>
      </c>
      <c r="B6" t="s">
        <v>120</v>
      </c>
      <c r="C6" t="s">
        <v>121</v>
      </c>
      <c r="D6">
        <v>2</v>
      </c>
      <c r="E6" t="s">
        <v>122</v>
      </c>
      <c r="F6" t="s">
        <v>123</v>
      </c>
      <c r="G6" t="s">
        <v>124</v>
      </c>
      <c r="H6" t="s">
        <v>125</v>
      </c>
    </row>
    <row r="7" spans="1:8" x14ac:dyDescent="0.3">
      <c r="A7" t="s">
        <v>126</v>
      </c>
      <c r="B7" t="s">
        <v>127</v>
      </c>
      <c r="C7" t="s">
        <v>128</v>
      </c>
      <c r="D7">
        <v>3</v>
      </c>
      <c r="E7" t="s">
        <v>129</v>
      </c>
      <c r="F7" t="s">
        <v>130</v>
      </c>
      <c r="G7" t="s">
        <v>131</v>
      </c>
      <c r="H7" t="s">
        <v>132</v>
      </c>
    </row>
    <row r="8" spans="1:8" x14ac:dyDescent="0.3">
      <c r="A8" t="s">
        <v>133</v>
      </c>
      <c r="B8" t="s">
        <v>134</v>
      </c>
      <c r="C8" t="s">
        <v>135</v>
      </c>
      <c r="D8">
        <v>4</v>
      </c>
      <c r="E8" t="s">
        <v>136</v>
      </c>
      <c r="G8" t="s">
        <v>137</v>
      </c>
    </row>
    <row r="9" spans="1:8" x14ac:dyDescent="0.3">
      <c r="A9" t="s">
        <v>138</v>
      </c>
      <c r="B9" t="s">
        <v>135</v>
      </c>
      <c r="D9">
        <v>5</v>
      </c>
      <c r="E9" t="s">
        <v>139</v>
      </c>
      <c r="G9" t="s">
        <v>140</v>
      </c>
    </row>
    <row r="10" spans="1:8" x14ac:dyDescent="0.3">
      <c r="A10" t="s">
        <v>141</v>
      </c>
      <c r="E10" t="s">
        <v>142</v>
      </c>
      <c r="G10" t="s">
        <v>143</v>
      </c>
    </row>
    <row r="11" spans="1:8" x14ac:dyDescent="0.3">
      <c r="A11" t="s">
        <v>144</v>
      </c>
      <c r="E11" t="s">
        <v>145</v>
      </c>
    </row>
    <row r="12" spans="1:8" x14ac:dyDescent="0.3">
      <c r="E12" t="s">
        <v>146</v>
      </c>
    </row>
    <row r="13" spans="1:8" x14ac:dyDescent="0.3">
      <c r="E13" t="s">
        <v>147</v>
      </c>
    </row>
    <row r="14" spans="1:8" x14ac:dyDescent="0.3">
      <c r="E14" t="s">
        <v>148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workbookViewId="0">
      <selection sqref="A1:K1"/>
    </sheetView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26" customWidth="1"/>
    <col min="5" max="5" width="13" customWidth="1"/>
    <col min="6" max="6" width="18" customWidth="1"/>
    <col min="7" max="7" width="13" customWidth="1"/>
    <col min="8" max="8" width="14" customWidth="1"/>
    <col min="9" max="9" width="13" customWidth="1"/>
    <col min="10" max="10" width="32" customWidth="1"/>
    <col min="11" max="11" width="12" customWidth="1"/>
  </cols>
  <sheetData>
    <row r="1" spans="1:11" ht="24" customHeight="1" x14ac:dyDescent="0.3">
      <c r="A1" s="3" t="s">
        <v>149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21" t="s">
        <v>151</v>
      </c>
      <c r="B4" s="21" t="s">
        <v>152</v>
      </c>
      <c r="C4" s="21" t="s">
        <v>153</v>
      </c>
      <c r="D4" s="21" t="s">
        <v>154</v>
      </c>
      <c r="E4" s="21" t="s">
        <v>78</v>
      </c>
      <c r="F4" s="21" t="s">
        <v>155</v>
      </c>
      <c r="G4" s="21" t="s">
        <v>156</v>
      </c>
      <c r="H4" s="21" t="s">
        <v>59</v>
      </c>
      <c r="I4" s="21" t="s">
        <v>157</v>
      </c>
      <c r="J4" s="21" t="s">
        <v>158</v>
      </c>
      <c r="K4" s="21" t="s">
        <v>159</v>
      </c>
    </row>
    <row r="5" spans="1:11" x14ac:dyDescent="0.3">
      <c r="A5" s="23"/>
      <c r="B5" s="23"/>
      <c r="C5" s="23"/>
      <c r="D5" s="23"/>
      <c r="E5" s="23"/>
      <c r="F5" s="23"/>
      <c r="G5" s="26"/>
      <c r="H5" s="23" t="s">
        <v>112</v>
      </c>
      <c r="I5" s="26"/>
      <c r="J5" s="23"/>
      <c r="K5" s="23">
        <f t="shared" ref="K5:K34" ca="1" si="0">IF(AND(G5&lt;&gt;"",H5&lt;&gt;"Complete",H5&lt;&gt;"Verified"),MAX(0,TODAY()-G5),0)</f>
        <v>0</v>
      </c>
    </row>
    <row r="6" spans="1:11" x14ac:dyDescent="0.3">
      <c r="A6" s="23"/>
      <c r="B6" s="23"/>
      <c r="C6" s="23"/>
      <c r="D6" s="23"/>
      <c r="E6" s="23"/>
      <c r="F6" s="23"/>
      <c r="G6" s="26"/>
      <c r="H6" s="23" t="s">
        <v>112</v>
      </c>
      <c r="I6" s="26"/>
      <c r="J6" s="23"/>
      <c r="K6" s="23">
        <f t="shared" ca="1" si="0"/>
        <v>0</v>
      </c>
    </row>
    <row r="7" spans="1:11" x14ac:dyDescent="0.3">
      <c r="A7" s="23"/>
      <c r="B7" s="23"/>
      <c r="C7" s="23"/>
      <c r="D7" s="23"/>
      <c r="E7" s="23"/>
      <c r="F7" s="23"/>
      <c r="G7" s="26"/>
      <c r="H7" s="23" t="s">
        <v>112</v>
      </c>
      <c r="I7" s="26"/>
      <c r="J7" s="23"/>
      <c r="K7" s="23">
        <f t="shared" ca="1" si="0"/>
        <v>0</v>
      </c>
    </row>
    <row r="8" spans="1:11" x14ac:dyDescent="0.3">
      <c r="A8" s="23"/>
      <c r="B8" s="23"/>
      <c r="C8" s="23"/>
      <c r="D8" s="23"/>
      <c r="E8" s="23"/>
      <c r="F8" s="23"/>
      <c r="G8" s="26"/>
      <c r="H8" s="23" t="s">
        <v>112</v>
      </c>
      <c r="I8" s="26"/>
      <c r="J8" s="23"/>
      <c r="K8" s="23">
        <f t="shared" ca="1" si="0"/>
        <v>0</v>
      </c>
    </row>
    <row r="9" spans="1:11" x14ac:dyDescent="0.3">
      <c r="A9" s="23"/>
      <c r="B9" s="23"/>
      <c r="C9" s="23"/>
      <c r="D9" s="23"/>
      <c r="E9" s="23"/>
      <c r="F9" s="23"/>
      <c r="G9" s="26"/>
      <c r="H9" s="23" t="s">
        <v>112</v>
      </c>
      <c r="I9" s="26"/>
      <c r="J9" s="23"/>
      <c r="K9" s="23">
        <f t="shared" ca="1" si="0"/>
        <v>0</v>
      </c>
    </row>
    <row r="10" spans="1:11" x14ac:dyDescent="0.3">
      <c r="A10" s="23"/>
      <c r="B10" s="23"/>
      <c r="C10" s="23"/>
      <c r="D10" s="23"/>
      <c r="E10" s="23"/>
      <c r="F10" s="23"/>
      <c r="G10" s="26"/>
      <c r="H10" s="23" t="s">
        <v>112</v>
      </c>
      <c r="I10" s="26"/>
      <c r="J10" s="23"/>
      <c r="K10" s="23">
        <f t="shared" ca="1" si="0"/>
        <v>0</v>
      </c>
    </row>
    <row r="11" spans="1:11" x14ac:dyDescent="0.3">
      <c r="A11" s="23"/>
      <c r="B11" s="23"/>
      <c r="C11" s="23"/>
      <c r="D11" s="23"/>
      <c r="E11" s="23"/>
      <c r="F11" s="23"/>
      <c r="G11" s="26"/>
      <c r="H11" s="23" t="s">
        <v>112</v>
      </c>
      <c r="I11" s="26"/>
      <c r="J11" s="23"/>
      <c r="K11" s="23">
        <f t="shared" ca="1" si="0"/>
        <v>0</v>
      </c>
    </row>
    <row r="12" spans="1:11" x14ac:dyDescent="0.3">
      <c r="A12" s="23"/>
      <c r="B12" s="23"/>
      <c r="C12" s="23"/>
      <c r="D12" s="23"/>
      <c r="E12" s="23"/>
      <c r="F12" s="23"/>
      <c r="G12" s="26"/>
      <c r="H12" s="23" t="s">
        <v>112</v>
      </c>
      <c r="I12" s="26"/>
      <c r="J12" s="23"/>
      <c r="K12" s="23">
        <f t="shared" ca="1" si="0"/>
        <v>0</v>
      </c>
    </row>
    <row r="13" spans="1:11" x14ac:dyDescent="0.3">
      <c r="A13" s="23"/>
      <c r="B13" s="23"/>
      <c r="C13" s="23"/>
      <c r="D13" s="23"/>
      <c r="E13" s="23"/>
      <c r="F13" s="23"/>
      <c r="G13" s="26"/>
      <c r="H13" s="23" t="s">
        <v>112</v>
      </c>
      <c r="I13" s="26"/>
      <c r="J13" s="23"/>
      <c r="K13" s="23">
        <f t="shared" ca="1" si="0"/>
        <v>0</v>
      </c>
    </row>
    <row r="14" spans="1:11" x14ac:dyDescent="0.3">
      <c r="A14" s="23"/>
      <c r="B14" s="23"/>
      <c r="C14" s="23"/>
      <c r="D14" s="23"/>
      <c r="E14" s="23"/>
      <c r="F14" s="23"/>
      <c r="G14" s="26"/>
      <c r="H14" s="23" t="s">
        <v>112</v>
      </c>
      <c r="I14" s="26"/>
      <c r="J14" s="23"/>
      <c r="K14" s="23">
        <f t="shared" ca="1" si="0"/>
        <v>0</v>
      </c>
    </row>
    <row r="15" spans="1:11" x14ac:dyDescent="0.3">
      <c r="A15" s="23"/>
      <c r="B15" s="23"/>
      <c r="C15" s="23"/>
      <c r="D15" s="23"/>
      <c r="E15" s="23"/>
      <c r="F15" s="23"/>
      <c r="G15" s="26"/>
      <c r="H15" s="23" t="s">
        <v>112</v>
      </c>
      <c r="I15" s="26"/>
      <c r="J15" s="23"/>
      <c r="K15" s="23">
        <f t="shared" ca="1" si="0"/>
        <v>0</v>
      </c>
    </row>
    <row r="16" spans="1:11" x14ac:dyDescent="0.3">
      <c r="A16" s="23"/>
      <c r="B16" s="23"/>
      <c r="C16" s="23"/>
      <c r="D16" s="23"/>
      <c r="E16" s="23"/>
      <c r="F16" s="23"/>
      <c r="G16" s="26"/>
      <c r="H16" s="23" t="s">
        <v>112</v>
      </c>
      <c r="I16" s="26"/>
      <c r="J16" s="23"/>
      <c r="K16" s="23">
        <f t="shared" ca="1" si="0"/>
        <v>0</v>
      </c>
    </row>
    <row r="17" spans="1:11" x14ac:dyDescent="0.3">
      <c r="A17" s="23"/>
      <c r="B17" s="23"/>
      <c r="C17" s="23"/>
      <c r="D17" s="23"/>
      <c r="E17" s="23"/>
      <c r="F17" s="23"/>
      <c r="G17" s="26"/>
      <c r="H17" s="23" t="s">
        <v>112</v>
      </c>
      <c r="I17" s="26"/>
      <c r="J17" s="23"/>
      <c r="K17" s="23">
        <f t="shared" ca="1" si="0"/>
        <v>0</v>
      </c>
    </row>
    <row r="18" spans="1:11" x14ac:dyDescent="0.3">
      <c r="A18" s="23"/>
      <c r="B18" s="23"/>
      <c r="C18" s="23"/>
      <c r="D18" s="23"/>
      <c r="E18" s="23"/>
      <c r="F18" s="23"/>
      <c r="G18" s="26"/>
      <c r="H18" s="23" t="s">
        <v>112</v>
      </c>
      <c r="I18" s="26"/>
      <c r="J18" s="23"/>
      <c r="K18" s="23">
        <f t="shared" ca="1" si="0"/>
        <v>0</v>
      </c>
    </row>
    <row r="19" spans="1:11" x14ac:dyDescent="0.3">
      <c r="A19" s="23"/>
      <c r="B19" s="23"/>
      <c r="C19" s="23"/>
      <c r="D19" s="23"/>
      <c r="E19" s="23"/>
      <c r="F19" s="23"/>
      <c r="G19" s="26"/>
      <c r="H19" s="23" t="s">
        <v>112</v>
      </c>
      <c r="I19" s="26"/>
      <c r="J19" s="23"/>
      <c r="K19" s="23">
        <f t="shared" ca="1" si="0"/>
        <v>0</v>
      </c>
    </row>
    <row r="20" spans="1:11" x14ac:dyDescent="0.3">
      <c r="A20" s="23"/>
      <c r="B20" s="23"/>
      <c r="C20" s="23"/>
      <c r="D20" s="23"/>
      <c r="E20" s="23"/>
      <c r="F20" s="23"/>
      <c r="G20" s="26"/>
      <c r="H20" s="23" t="s">
        <v>112</v>
      </c>
      <c r="I20" s="26"/>
      <c r="J20" s="23"/>
      <c r="K20" s="23">
        <f t="shared" ca="1" si="0"/>
        <v>0</v>
      </c>
    </row>
    <row r="21" spans="1:11" x14ac:dyDescent="0.3">
      <c r="A21" s="23"/>
      <c r="B21" s="23"/>
      <c r="C21" s="23"/>
      <c r="D21" s="23"/>
      <c r="E21" s="23"/>
      <c r="F21" s="23"/>
      <c r="G21" s="26"/>
      <c r="H21" s="23" t="s">
        <v>112</v>
      </c>
      <c r="I21" s="26"/>
      <c r="J21" s="23"/>
      <c r="K21" s="23">
        <f t="shared" ca="1" si="0"/>
        <v>0</v>
      </c>
    </row>
    <row r="22" spans="1:11" x14ac:dyDescent="0.3">
      <c r="A22" s="23"/>
      <c r="B22" s="23"/>
      <c r="C22" s="23"/>
      <c r="D22" s="23"/>
      <c r="E22" s="23"/>
      <c r="F22" s="23"/>
      <c r="G22" s="26"/>
      <c r="H22" s="23" t="s">
        <v>112</v>
      </c>
      <c r="I22" s="26"/>
      <c r="J22" s="23"/>
      <c r="K22" s="23">
        <f t="shared" ca="1" si="0"/>
        <v>0</v>
      </c>
    </row>
    <row r="23" spans="1:11" x14ac:dyDescent="0.3">
      <c r="A23" s="23"/>
      <c r="B23" s="23"/>
      <c r="C23" s="23"/>
      <c r="D23" s="23"/>
      <c r="E23" s="23"/>
      <c r="F23" s="23"/>
      <c r="G23" s="26"/>
      <c r="H23" s="23" t="s">
        <v>112</v>
      </c>
      <c r="I23" s="26"/>
      <c r="J23" s="23"/>
      <c r="K23" s="23">
        <f t="shared" ca="1" si="0"/>
        <v>0</v>
      </c>
    </row>
    <row r="24" spans="1:11" x14ac:dyDescent="0.3">
      <c r="A24" s="23"/>
      <c r="B24" s="23"/>
      <c r="C24" s="23"/>
      <c r="D24" s="23"/>
      <c r="E24" s="23"/>
      <c r="F24" s="23"/>
      <c r="G24" s="26"/>
      <c r="H24" s="23" t="s">
        <v>112</v>
      </c>
      <c r="I24" s="26"/>
      <c r="J24" s="23"/>
      <c r="K24" s="23">
        <f t="shared" ca="1" si="0"/>
        <v>0</v>
      </c>
    </row>
    <row r="25" spans="1:11" x14ac:dyDescent="0.3">
      <c r="A25" s="23"/>
      <c r="B25" s="23"/>
      <c r="C25" s="23"/>
      <c r="D25" s="23"/>
      <c r="E25" s="23"/>
      <c r="F25" s="23"/>
      <c r="G25" s="26"/>
      <c r="H25" s="23" t="s">
        <v>112</v>
      </c>
      <c r="I25" s="26"/>
      <c r="J25" s="23"/>
      <c r="K25" s="23">
        <f t="shared" ca="1" si="0"/>
        <v>0</v>
      </c>
    </row>
    <row r="26" spans="1:11" x14ac:dyDescent="0.3">
      <c r="A26" s="23"/>
      <c r="B26" s="23"/>
      <c r="C26" s="23"/>
      <c r="D26" s="23"/>
      <c r="E26" s="23"/>
      <c r="F26" s="23"/>
      <c r="G26" s="26"/>
      <c r="H26" s="23" t="s">
        <v>112</v>
      </c>
      <c r="I26" s="26"/>
      <c r="J26" s="23"/>
      <c r="K26" s="23">
        <f t="shared" ca="1" si="0"/>
        <v>0</v>
      </c>
    </row>
    <row r="27" spans="1:11" x14ac:dyDescent="0.3">
      <c r="A27" s="23"/>
      <c r="B27" s="23"/>
      <c r="C27" s="23"/>
      <c r="D27" s="23"/>
      <c r="E27" s="23"/>
      <c r="F27" s="23"/>
      <c r="G27" s="26"/>
      <c r="H27" s="23" t="s">
        <v>112</v>
      </c>
      <c r="I27" s="26"/>
      <c r="J27" s="23"/>
      <c r="K27" s="23">
        <f t="shared" ca="1" si="0"/>
        <v>0</v>
      </c>
    </row>
    <row r="28" spans="1:11" x14ac:dyDescent="0.3">
      <c r="A28" s="23"/>
      <c r="B28" s="23"/>
      <c r="C28" s="23"/>
      <c r="D28" s="23"/>
      <c r="E28" s="23"/>
      <c r="F28" s="23"/>
      <c r="G28" s="26"/>
      <c r="H28" s="23" t="s">
        <v>112</v>
      </c>
      <c r="I28" s="26"/>
      <c r="J28" s="23"/>
      <c r="K28" s="23">
        <f t="shared" ca="1" si="0"/>
        <v>0</v>
      </c>
    </row>
    <row r="29" spans="1:11" x14ac:dyDescent="0.3">
      <c r="A29" s="23"/>
      <c r="B29" s="23"/>
      <c r="C29" s="23"/>
      <c r="D29" s="23"/>
      <c r="E29" s="23"/>
      <c r="F29" s="23"/>
      <c r="G29" s="26"/>
      <c r="H29" s="23" t="s">
        <v>112</v>
      </c>
      <c r="I29" s="26"/>
      <c r="J29" s="23"/>
      <c r="K29" s="23">
        <f t="shared" ca="1" si="0"/>
        <v>0</v>
      </c>
    </row>
    <row r="30" spans="1:11" x14ac:dyDescent="0.3">
      <c r="A30" s="23"/>
      <c r="B30" s="23"/>
      <c r="C30" s="23"/>
      <c r="D30" s="23"/>
      <c r="E30" s="23"/>
      <c r="F30" s="23"/>
      <c r="G30" s="26"/>
      <c r="H30" s="23" t="s">
        <v>112</v>
      </c>
      <c r="I30" s="26"/>
      <c r="J30" s="23"/>
      <c r="K30" s="23">
        <f t="shared" ca="1" si="0"/>
        <v>0</v>
      </c>
    </row>
    <row r="31" spans="1:11" x14ac:dyDescent="0.3">
      <c r="A31" s="23"/>
      <c r="B31" s="23"/>
      <c r="C31" s="23"/>
      <c r="D31" s="23"/>
      <c r="E31" s="23"/>
      <c r="F31" s="23"/>
      <c r="G31" s="26"/>
      <c r="H31" s="23" t="s">
        <v>112</v>
      </c>
      <c r="I31" s="26"/>
      <c r="J31" s="23"/>
      <c r="K31" s="23">
        <f t="shared" ca="1" si="0"/>
        <v>0</v>
      </c>
    </row>
    <row r="32" spans="1:11" x14ac:dyDescent="0.3">
      <c r="A32" s="23"/>
      <c r="B32" s="23"/>
      <c r="C32" s="23"/>
      <c r="D32" s="23"/>
      <c r="E32" s="23"/>
      <c r="F32" s="23"/>
      <c r="G32" s="26"/>
      <c r="H32" s="23" t="s">
        <v>112</v>
      </c>
      <c r="I32" s="26"/>
      <c r="J32" s="23"/>
      <c r="K32" s="23">
        <f t="shared" ca="1" si="0"/>
        <v>0</v>
      </c>
    </row>
    <row r="33" spans="1:11" x14ac:dyDescent="0.3">
      <c r="A33" s="23"/>
      <c r="B33" s="23"/>
      <c r="C33" s="23"/>
      <c r="D33" s="23"/>
      <c r="E33" s="23"/>
      <c r="F33" s="23"/>
      <c r="G33" s="26"/>
      <c r="H33" s="23" t="s">
        <v>112</v>
      </c>
      <c r="I33" s="26"/>
      <c r="J33" s="23"/>
      <c r="K33" s="23">
        <f t="shared" ca="1" si="0"/>
        <v>0</v>
      </c>
    </row>
    <row r="34" spans="1:11" x14ac:dyDescent="0.3">
      <c r="A34" s="23"/>
      <c r="B34" s="23"/>
      <c r="C34" s="23"/>
      <c r="D34" s="23"/>
      <c r="E34" s="23"/>
      <c r="F34" s="23"/>
      <c r="G34" s="26"/>
      <c r="H34" s="23" t="s">
        <v>112</v>
      </c>
      <c r="I34" s="26"/>
      <c r="J34" s="23"/>
      <c r="K34" s="23">
        <f t="shared" ca="1" si="0"/>
        <v>0</v>
      </c>
    </row>
  </sheetData>
  <mergeCells count="2">
    <mergeCell ref="A1:K1"/>
    <mergeCell ref="A2:K2"/>
  </mergeCells>
  <conditionalFormatting sqref="K5:K34">
    <cfRule type="cellIs" dxfId="0" priority="5" operator="greaterThan">
      <formula>0</formula>
    </cfRule>
  </conditionalFormatting>
  <dataValidations count="2">
    <dataValidation type="list" sqref="E5:E34" xr:uid="{00000000-0002-0000-0300-000000000000}">
      <formula1>"Critical,High,Medium,Low,Monitor"</formula1>
    </dataValidation>
    <dataValidation type="list" sqref="H5:H34" xr:uid="{00000000-0002-0000-0300-000001000000}">
      <formula1>"Open,In Progress,Complete,Overdue,Deferred,Cancelled,Verified"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>
      <selection sqref="A1:J1"/>
    </sheetView>
  </sheetViews>
  <sheetFormatPr defaultRowHeight="14.4" x14ac:dyDescent="0.3"/>
  <cols>
    <col min="1" max="1" width="12" customWidth="1"/>
    <col min="2" max="2" width="18" customWidth="1"/>
    <col min="3" max="3" width="24" customWidth="1"/>
    <col min="4" max="5" width="36" customWidth="1"/>
    <col min="6" max="6" width="16" customWidth="1"/>
    <col min="7" max="9" width="12" customWidth="1"/>
    <col min="10" max="10" width="30" customWidth="1"/>
  </cols>
  <sheetData>
    <row r="1" spans="1:10" ht="24" customHeight="1" x14ac:dyDescent="0.3">
      <c r="A1" s="3" t="s">
        <v>160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161</v>
      </c>
      <c r="B2" s="2"/>
      <c r="C2" s="2"/>
      <c r="D2" s="2"/>
      <c r="E2" s="2"/>
      <c r="F2" s="2"/>
      <c r="G2" s="2"/>
      <c r="H2" s="2"/>
      <c r="I2" s="2"/>
      <c r="J2" s="2"/>
    </row>
    <row r="4" spans="1:10" ht="20.85" customHeight="1" x14ac:dyDescent="0.3">
      <c r="A4" s="21" t="s">
        <v>162</v>
      </c>
      <c r="B4" s="21" t="s">
        <v>163</v>
      </c>
      <c r="C4" s="21" t="s">
        <v>164</v>
      </c>
      <c r="D4" s="21" t="s">
        <v>165</v>
      </c>
      <c r="E4" s="21" t="s">
        <v>166</v>
      </c>
      <c r="F4" s="21" t="s">
        <v>167</v>
      </c>
      <c r="G4" s="21" t="s">
        <v>168</v>
      </c>
      <c r="H4" s="21" t="s">
        <v>108</v>
      </c>
      <c r="I4" s="21" t="s">
        <v>169</v>
      </c>
      <c r="J4" s="21" t="s">
        <v>19</v>
      </c>
    </row>
    <row r="5" spans="1:10" x14ac:dyDescent="0.3">
      <c r="A5" s="23" t="s">
        <v>170</v>
      </c>
      <c r="B5" s="23"/>
      <c r="C5" s="23"/>
      <c r="D5" s="23"/>
      <c r="E5" s="23"/>
      <c r="F5" s="23"/>
      <c r="G5" s="26"/>
      <c r="H5" s="23"/>
      <c r="I5" s="23"/>
      <c r="J5" s="23"/>
    </row>
    <row r="6" spans="1:10" x14ac:dyDescent="0.3">
      <c r="A6" s="23" t="s">
        <v>171</v>
      </c>
      <c r="B6" s="23"/>
      <c r="C6" s="23"/>
      <c r="D6" s="23"/>
      <c r="E6" s="23"/>
      <c r="F6" s="23"/>
      <c r="G6" s="26"/>
      <c r="H6" s="23"/>
      <c r="I6" s="23"/>
      <c r="J6" s="23"/>
    </row>
    <row r="7" spans="1:10" x14ac:dyDescent="0.3">
      <c r="A7" s="23" t="s">
        <v>172</v>
      </c>
      <c r="B7" s="23"/>
      <c r="C7" s="23"/>
      <c r="D7" s="23"/>
      <c r="E7" s="23"/>
      <c r="F7" s="23"/>
      <c r="G7" s="26"/>
      <c r="H7" s="23"/>
      <c r="I7" s="23"/>
      <c r="J7" s="23"/>
    </row>
    <row r="8" spans="1:10" x14ac:dyDescent="0.3">
      <c r="A8" s="23" t="s">
        <v>173</v>
      </c>
      <c r="B8" s="23"/>
      <c r="C8" s="23"/>
      <c r="D8" s="23"/>
      <c r="E8" s="23"/>
      <c r="F8" s="23"/>
      <c r="G8" s="26"/>
      <c r="H8" s="23"/>
      <c r="I8" s="23"/>
      <c r="J8" s="23"/>
    </row>
    <row r="9" spans="1:10" x14ac:dyDescent="0.3">
      <c r="A9" s="23" t="s">
        <v>174</v>
      </c>
      <c r="B9" s="23"/>
      <c r="C9" s="23"/>
      <c r="D9" s="23"/>
      <c r="E9" s="23"/>
      <c r="F9" s="23"/>
      <c r="G9" s="26"/>
      <c r="H9" s="23"/>
      <c r="I9" s="23"/>
      <c r="J9" s="23"/>
    </row>
    <row r="10" spans="1:10" x14ac:dyDescent="0.3">
      <c r="A10" s="23" t="s">
        <v>175</v>
      </c>
      <c r="B10" s="23"/>
      <c r="C10" s="23"/>
      <c r="D10" s="23"/>
      <c r="E10" s="23"/>
      <c r="F10" s="23"/>
      <c r="G10" s="26"/>
      <c r="H10" s="23"/>
      <c r="I10" s="23"/>
      <c r="J10" s="23"/>
    </row>
    <row r="11" spans="1:10" x14ac:dyDescent="0.3">
      <c r="A11" s="23" t="s">
        <v>176</v>
      </c>
      <c r="B11" s="23"/>
      <c r="C11" s="23"/>
      <c r="D11" s="23"/>
      <c r="E11" s="23"/>
      <c r="F11" s="23"/>
      <c r="G11" s="26"/>
      <c r="H11" s="23"/>
      <c r="I11" s="23"/>
      <c r="J11" s="23"/>
    </row>
    <row r="12" spans="1:10" x14ac:dyDescent="0.3">
      <c r="A12" s="23" t="s">
        <v>177</v>
      </c>
      <c r="B12" s="23"/>
      <c r="C12" s="23"/>
      <c r="D12" s="23"/>
      <c r="E12" s="23"/>
      <c r="F12" s="23"/>
      <c r="G12" s="26"/>
      <c r="H12" s="23"/>
      <c r="I12" s="23"/>
      <c r="J12" s="23"/>
    </row>
    <row r="13" spans="1:10" x14ac:dyDescent="0.3">
      <c r="A13" s="23" t="s">
        <v>178</v>
      </c>
      <c r="B13" s="23"/>
      <c r="C13" s="23"/>
      <c r="D13" s="23"/>
      <c r="E13" s="23"/>
      <c r="F13" s="23"/>
      <c r="G13" s="26"/>
      <c r="H13" s="23"/>
      <c r="I13" s="23"/>
      <c r="J13" s="23"/>
    </row>
    <row r="14" spans="1:10" x14ac:dyDescent="0.3">
      <c r="A14" s="23" t="s">
        <v>179</v>
      </c>
      <c r="B14" s="23"/>
      <c r="C14" s="23"/>
      <c r="D14" s="23"/>
      <c r="E14" s="23"/>
      <c r="F14" s="23"/>
      <c r="G14" s="26"/>
      <c r="H14" s="23"/>
      <c r="I14" s="23"/>
      <c r="J14" s="23"/>
    </row>
    <row r="15" spans="1:10" x14ac:dyDescent="0.3">
      <c r="A15" s="23" t="s">
        <v>180</v>
      </c>
      <c r="B15" s="23"/>
      <c r="C15" s="23"/>
      <c r="D15" s="23"/>
      <c r="E15" s="23"/>
      <c r="F15" s="23"/>
      <c r="G15" s="26"/>
      <c r="H15" s="23"/>
      <c r="I15" s="23"/>
      <c r="J15" s="23"/>
    </row>
    <row r="16" spans="1:10" x14ac:dyDescent="0.3">
      <c r="A16" s="23" t="s">
        <v>181</v>
      </c>
      <c r="B16" s="23"/>
      <c r="C16" s="23"/>
      <c r="D16" s="23"/>
      <c r="E16" s="23"/>
      <c r="F16" s="23"/>
      <c r="G16" s="26"/>
      <c r="H16" s="23"/>
      <c r="I16" s="23"/>
      <c r="J16" s="23"/>
    </row>
    <row r="17" spans="1:10" x14ac:dyDescent="0.3">
      <c r="A17" s="23" t="s">
        <v>182</v>
      </c>
      <c r="B17" s="23"/>
      <c r="C17" s="23"/>
      <c r="D17" s="23"/>
      <c r="E17" s="23"/>
      <c r="F17" s="23"/>
      <c r="G17" s="26"/>
      <c r="H17" s="23"/>
      <c r="I17" s="23"/>
      <c r="J17" s="23"/>
    </row>
    <row r="18" spans="1:10" x14ac:dyDescent="0.3">
      <c r="A18" s="23" t="s">
        <v>183</v>
      </c>
      <c r="B18" s="23"/>
      <c r="C18" s="23"/>
      <c r="D18" s="23"/>
      <c r="E18" s="23"/>
      <c r="F18" s="23"/>
      <c r="G18" s="26"/>
      <c r="H18" s="23"/>
      <c r="I18" s="23"/>
      <c r="J18" s="23"/>
    </row>
    <row r="19" spans="1:10" x14ac:dyDescent="0.3">
      <c r="A19" s="23" t="s">
        <v>184</v>
      </c>
      <c r="B19" s="23"/>
      <c r="C19" s="23"/>
      <c r="D19" s="23"/>
      <c r="E19" s="23"/>
      <c r="F19" s="23"/>
      <c r="G19" s="26"/>
      <c r="H19" s="23"/>
      <c r="I19" s="23"/>
      <c r="J19" s="23"/>
    </row>
  </sheetData>
  <mergeCells count="2">
    <mergeCell ref="A1:J1"/>
    <mergeCell ref="A2:J2"/>
  </mergeCells>
  <dataValidations count="1">
    <dataValidation type="list" sqref="H5:H19" xr:uid="{00000000-0002-0000-0400-000000000000}">
      <formula1>"Critical,High,Medium,Low,1,2,3,4,5"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"/>
    </sheetView>
  </sheetViews>
  <sheetFormatPr defaultRowHeight="14.4" x14ac:dyDescent="0.3"/>
  <cols>
    <col min="1" max="1" width="24" customWidth="1"/>
    <col min="2" max="2" width="26" customWidth="1"/>
    <col min="3" max="4" width="42" customWidth="1"/>
  </cols>
  <sheetData>
    <row r="1" spans="1:6" ht="24" customHeight="1" x14ac:dyDescent="0.3">
      <c r="A1" s="3" t="s">
        <v>185</v>
      </c>
      <c r="B1" s="3"/>
      <c r="C1" s="3"/>
      <c r="D1" s="3"/>
      <c r="E1" s="3"/>
      <c r="F1" s="3"/>
    </row>
    <row r="2" spans="1:6" ht="25.65" customHeight="1" x14ac:dyDescent="0.3">
      <c r="A2" s="2" t="s">
        <v>186</v>
      </c>
      <c r="B2" s="2"/>
      <c r="C2" s="2"/>
      <c r="D2" s="2"/>
      <c r="E2" s="2"/>
      <c r="F2" s="2"/>
    </row>
    <row r="4" spans="1:6" ht="20.85" customHeight="1" x14ac:dyDescent="0.3">
      <c r="A4" s="21" t="s">
        <v>187</v>
      </c>
      <c r="B4" s="21" t="s">
        <v>188</v>
      </c>
      <c r="C4" s="21" t="s">
        <v>189</v>
      </c>
      <c r="D4" s="21" t="s">
        <v>190</v>
      </c>
    </row>
    <row r="5" spans="1:6" ht="28.8" x14ac:dyDescent="0.3">
      <c r="A5" s="23" t="s">
        <v>191</v>
      </c>
      <c r="B5" s="23" t="s">
        <v>192</v>
      </c>
      <c r="C5" s="23" t="s">
        <v>193</v>
      </c>
      <c r="D5" s="23" t="s">
        <v>194</v>
      </c>
    </row>
    <row r="6" spans="1:6" ht="28.8" x14ac:dyDescent="0.3">
      <c r="A6" s="23" t="s">
        <v>195</v>
      </c>
      <c r="B6" s="23" t="s">
        <v>196</v>
      </c>
      <c r="C6" s="23" t="s">
        <v>197</v>
      </c>
      <c r="D6" s="23" t="s">
        <v>198</v>
      </c>
    </row>
    <row r="7" spans="1:6" ht="28.8" x14ac:dyDescent="0.3">
      <c r="A7" s="23" t="s">
        <v>199</v>
      </c>
      <c r="B7" s="23" t="s">
        <v>200</v>
      </c>
      <c r="C7" s="23" t="s">
        <v>201</v>
      </c>
      <c r="D7" s="23" t="s">
        <v>202</v>
      </c>
    </row>
    <row r="8" spans="1:6" ht="28.8" x14ac:dyDescent="0.3">
      <c r="A8" s="23" t="s">
        <v>203</v>
      </c>
      <c r="B8" s="23" t="s">
        <v>204</v>
      </c>
      <c r="C8" s="23" t="s">
        <v>205</v>
      </c>
      <c r="D8" s="23" t="s">
        <v>206</v>
      </c>
    </row>
    <row r="9" spans="1:6" ht="28.8" x14ac:dyDescent="0.3">
      <c r="A9" s="23" t="s">
        <v>207</v>
      </c>
      <c r="B9" s="23" t="s">
        <v>208</v>
      </c>
      <c r="C9" s="23" t="s">
        <v>209</v>
      </c>
      <c r="D9" s="23" t="s">
        <v>210</v>
      </c>
    </row>
    <row r="10" spans="1:6" ht="28.8" x14ac:dyDescent="0.3">
      <c r="A10" s="23" t="s">
        <v>211</v>
      </c>
      <c r="B10" s="23" t="s">
        <v>212</v>
      </c>
      <c r="C10" s="23" t="s">
        <v>213</v>
      </c>
      <c r="D10" s="23" t="s">
        <v>214</v>
      </c>
    </row>
    <row r="11" spans="1:6" ht="28.8" x14ac:dyDescent="0.3">
      <c r="A11" s="23" t="s">
        <v>215</v>
      </c>
      <c r="B11" s="23" t="s">
        <v>216</v>
      </c>
      <c r="C11" s="23" t="s">
        <v>217</v>
      </c>
      <c r="D11" s="23" t="s">
        <v>218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tabSelected="1" workbookViewId="0">
      <selection sqref="A1:J1"/>
    </sheetView>
  </sheetViews>
  <sheetFormatPr defaultRowHeight="14.4" x14ac:dyDescent="0.3"/>
  <cols>
    <col min="1" max="1" width="28" customWidth="1"/>
    <col min="2" max="2" width="20" customWidth="1"/>
    <col min="3" max="3" width="58" customWidth="1"/>
  </cols>
  <sheetData>
    <row r="1" spans="1:10" ht="24" customHeight="1" x14ac:dyDescent="0.3">
      <c r="A1" s="3" t="s">
        <v>219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">
      <c r="A4" s="28" t="s">
        <v>221</v>
      </c>
      <c r="B4" s="28" t="s">
        <v>222</v>
      </c>
      <c r="C4" s="28" t="s">
        <v>223</v>
      </c>
    </row>
    <row r="5" spans="1:10" x14ac:dyDescent="0.3">
      <c r="A5" s="29" t="s">
        <v>224</v>
      </c>
      <c r="B5" s="22">
        <f>COUNTIF('📋 Bearing Failure Analysis'!F13:F26,"✓")+COUNTIF('📋 Bearing Failure Analysis'!F13:F26,"Observed")</f>
        <v>0</v>
      </c>
      <c r="C5" s="22" t="s">
        <v>225</v>
      </c>
    </row>
    <row r="6" spans="1:10" x14ac:dyDescent="0.3">
      <c r="A6" s="29" t="s">
        <v>226</v>
      </c>
      <c r="B6" s="22">
        <f>MAX('📋 Bearing Failure Analysis'!G13:G26)</f>
        <v>0</v>
      </c>
      <c r="C6" s="22" t="s">
        <v>227</v>
      </c>
    </row>
    <row r="7" spans="1:10" x14ac:dyDescent="0.3">
      <c r="A7" s="29" t="s">
        <v>228</v>
      </c>
      <c r="B7" s="22">
        <f>MAX('📋 Bearing Failure Analysis'!J13:J26)</f>
        <v>0</v>
      </c>
      <c r="C7" s="22" t="s">
        <v>229</v>
      </c>
    </row>
    <row r="8" spans="1:10" x14ac:dyDescent="0.3">
      <c r="A8" s="29" t="s">
        <v>230</v>
      </c>
      <c r="B8" s="22">
        <f>COUNTIF('📋 Bearing Failure Analysis'!M13:M26,"Critical")</f>
        <v>0</v>
      </c>
      <c r="C8" s="22" t="s">
        <v>231</v>
      </c>
    </row>
    <row r="9" spans="1:10" x14ac:dyDescent="0.3">
      <c r="A9" s="29" t="s">
        <v>232</v>
      </c>
      <c r="B9" s="22">
        <f>COUNTIFS('Action Tracker'!H:H,"&lt;&gt;Complete",'Action Tracker'!H:H,"&lt;&gt;Verified",'Action Tracker'!A:A,"&lt;&gt;")</f>
        <v>3</v>
      </c>
      <c r="C9" s="22" t="s">
        <v>233</v>
      </c>
    </row>
    <row r="10" spans="1:10" x14ac:dyDescent="0.3">
      <c r="A10" s="29" t="s">
        <v>234</v>
      </c>
      <c r="B10" s="22">
        <f ca="1">COUNTIFS('Action Tracker'!G:G,"&lt;"&amp;TODAY(),'Action Tracker'!H:H,"&lt;&gt;Complete",'Action Tracker'!H:H,"&lt;&gt;Verified",'Action Tracker'!A:A,"&lt;&gt;")</f>
        <v>0</v>
      </c>
      <c r="C10" s="22" t="s">
        <v>235</v>
      </c>
    </row>
    <row r="11" spans="1:10" x14ac:dyDescent="0.3">
      <c r="A11" s="29" t="s">
        <v>236</v>
      </c>
      <c r="B11" s="22" t="str">
        <f ca="1">IF(B10&gt;0,"OVERDUE",IF(B9&gt;0,"ACTIONS OPEN","CONTROLLED"))</f>
        <v>ACTIONS OPEN</v>
      </c>
      <c r="C11" s="22" t="s">
        <v>237</v>
      </c>
    </row>
    <row r="12" spans="1:10" x14ac:dyDescent="0.3">
      <c r="A12" s="29" t="s">
        <v>238</v>
      </c>
      <c r="B12" s="22" t="str">
        <f>IF(B7&gt;=15,"Immediate corrective action and supervisor review",IF(B5&gt;0,"Complete evidence log and close actions","Enter failure evidence"))</f>
        <v>Enter failure evidence</v>
      </c>
      <c r="C12" s="22" t="s">
        <v>239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Bearing Failure Analysis</vt:lpstr>
      <vt:lpstr>Premium Guide</vt:lpstr>
      <vt:lpstr>Lists</vt:lpstr>
      <vt:lpstr>Action Tracker</vt:lpstr>
      <vt:lpstr>Photo Evidence Log</vt:lpstr>
      <vt:lpstr>Diagnosis Guide</vt:lpstr>
      <vt:lpstr>Premium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2 11</dc:creator>
  <cp:lastModifiedBy>2 11</cp:lastModifiedBy>
  <dcterms:created xsi:type="dcterms:W3CDTF">2026-06-26T00:44:18Z</dcterms:created>
  <dcterms:modified xsi:type="dcterms:W3CDTF">2026-06-26T00:44:18Z</dcterms:modified>
</cp:coreProperties>
</file>