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f6a426b30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🔧 Gearbox Inspection" sheetId="1" r:id="Rf69046b9bde24310"/>
    <x:sheet xmlns:r="http://schemas.openxmlformats.org/officeDocument/2006/relationships" name="Premium Guide" sheetId="2" r:id="R9d09605f694d426d"/>
    <x:sheet xmlns:r="http://schemas.openxmlformats.org/officeDocument/2006/relationships" name="Lists" sheetId="3" r:id="R3c39b0fd0c00446e"/>
    <x:sheet xmlns:r="http://schemas.openxmlformats.org/officeDocument/2006/relationships" name="Action Tracker" sheetId="4" r:id="R36e46144675d40a3"/>
    <x:sheet xmlns:r="http://schemas.openxmlformats.org/officeDocument/2006/relationships" name="Temp &amp; Vibration Trends" sheetId="5" r:id="Ra458e1d2a6e04853"/>
    <x:sheet xmlns:r="http://schemas.openxmlformats.org/officeDocument/2006/relationships" name="Oil Analysis" sheetId="6" r:id="R85de8c31e00c4113"/>
    <x:sheet xmlns:r="http://schemas.openxmlformats.org/officeDocument/2006/relationships" name="Gear Defect Guide" sheetId="7" r:id="R3efbda0dd4744de5"/>
    <x:sheet xmlns:r="http://schemas.openxmlformats.org/officeDocument/2006/relationships" name="Premium Dashboard" sheetId="8" r:id="R3a4d4b860b2a4ca7"/>
  </x:sheets>
</x:workbook>
</file>

<file path=xl/sharedStrings.xml><?xml version="1.0" encoding="utf-8"?>
<x:sst xmlns:x="http://schemas.openxmlformats.org/spreadsheetml/2006/main">
  <x:si>
    <x:t xml:space="preserve">GEARBOX INSPECTION CHECKLIST</x:t>
  </x:si>
  <x:si>
    <x:t xml:space="preserve">► ✓ = Satisfactory  ✗ = Action Required  Record all measurements in the Reading column</x:t>
  </x:si>
  <x:si>
    <x:t xml:space="preserve">Gearbox Tag / ID:</x:t>
  </x:si>
  <x:si>
    <x:t xml:space="preserve">Gearbox Type (Helical/Bevel/Worm):</x:t>
  </x:si>
  <x:si>
    <x:t xml:space="preserve">Date:</x:t>
  </x:si>
  <x:si>
    <x:t xml:space="preserve">Inspector:</x:t>
  </x:si>
  <x:si>
    <x:t xml:space="preserve">Gear Ratio:</x:t>
  </x:si>
  <x:si>
    <x:t xml:space="preserve">Oil Type / Grade:</x:t>
  </x:si>
  <x:si>
    <x:t xml:space="preserve">#</x:t>
  </x:si>
  <x:si>
    <x:t xml:space="preserve">Inspection Item</x:t>
  </x:si>
  <x:si>
    <x:t xml:space="preserve">Specification / Limit</x:t>
  </x:si>
  <x:si>
    <x:t xml:space="preserve">✓/✗/N/A</x:t>
  </x:si>
  <x:si>
    <x:t xml:space="preserve">Reading</x:t>
  </x:si>
  <x:si>
    <x:t xml:space="preserve">Status</x:t>
  </x:si>
  <x:si>
    <x:t xml:space="preserve">Action Required</x:t>
  </x:si>
  <x:si>
    <x:t xml:space="preserve">  VISUAL — EXTERNAL</x:t>
  </x:si>
  <x:si>
    <x:t xml:space="preserve">1</x:t>
  </x:si>
  <x:si>
    <x:t xml:space="preserve">External oil leaks — inspect all seals &amp; gaskets</x:t>
  </x:si>
  <x:si>
    <x:t xml:space="preserve">No visible leakage</x:t>
  </x:si>
  <x:si>
    <x:t xml:space="preserve">2</x:t>
  </x:si>
  <x:si>
    <x:t xml:space="preserve">Oil level — sight glass / dipstick</x:t>
  </x:si>
  <x:si>
    <x:t xml:space="preserve">Between MIN and MAX marks</x:t>
  </x:si>
  <x:si>
    <x:t xml:space="preserve">3</x:t>
  </x:si>
  <x:si>
    <x:t xml:space="preserve">Oil colour — inspect through sight glass</x:t>
  </x:si>
  <x:si>
    <x:t xml:space="preserve">Clear amber; not milky/black</x:t>
  </x:si>
  <x:si>
    <x:t xml:space="preserve">4</x:t>
  </x:si>
  <x:si>
    <x:t xml:space="preserve">Vent cap / breather — clean and clear</x:t>
  </x:si>
  <x:si>
    <x:t xml:space="preserve">No blockage</x:t>
  </x:si>
  <x:si>
    <x:t xml:space="preserve">5</x:t>
  </x:si>
  <x:si>
    <x:t xml:space="preserve">Magnetic drain plug — check for metal debris</x:t>
  </x:si>
  <x:si>
    <x:t xml:space="preserve">No large metallic particles</x:t>
  </x:si>
  <x:si>
    <x:t xml:space="preserve">6</x:t>
  </x:si>
  <x:si>
    <x:t xml:space="preserve">Casing condition — no cracks / damage</x:t>
  </x:si>
  <x:si>
    <x:t xml:space="preserve">No cracks, paint intact</x:t>
  </x:si>
  <x:si>
    <x:t xml:space="preserve">7</x:t>
  </x:si>
  <x:si>
    <x:t xml:space="preserve">Foundation bolts — tight</x:t>
  </x:si>
  <x:si>
    <x:t xml:space="preserve">All bolts torqued</x:t>
  </x:si>
  <x:si>
    <x:t xml:space="preserve">8</x:t>
  </x:si>
  <x:si>
    <x:t xml:space="preserve">Nameplate — legible</x:t>
  </x:si>
  <x:si>
    <x:t xml:space="preserve">Readable</x:t>
  </x:si>
  <x:si>
    <x:t xml:space="preserve">  OPERATING TEMPERATURES</x:t>
  </x:si>
  <x:si>
    <x:t xml:space="preserve">9</x:t>
  </x:si>
  <x:si>
    <x:t xml:space="preserve">Input shaft bearing housing temperature</x:t>
  </x:si>
  <x:si>
    <x:t xml:space="preserve">≤ 80°C (infrared thermometer)</x:t>
  </x:si>
  <x:si>
    <x:t xml:space="preserve">10</x:t>
  </x:si>
  <x:si>
    <x:t xml:space="preserve">Output shaft bearing housing temperature</x:t>
  </x:si>
  <x:si>
    <x:t xml:space="preserve">≤ 80°C</x:t>
  </x:si>
  <x:si>
    <x:t xml:space="preserve">11</x:t>
  </x:si>
  <x:si>
    <x:t xml:space="preserve">Gearbox oil sump temperature</x:t>
  </x:si>
  <x:si>
    <x:t xml:space="preserve">≤ 75°C (thermometer / IRT)</x:t>
  </x:si>
  <x:si>
    <x:t xml:space="preserve">12</x:t>
  </x:si>
  <x:si>
    <x:t xml:space="preserve">Compare temperature vs previous record</x:t>
  </x:si>
  <x:si>
    <x:t xml:space="preserve">Rise &lt; 5°C vs baseline</x:t>
  </x:si>
  <x:si>
    <x:t xml:space="preserve">  VIBRATION</x:t>
  </x:si>
  <x:si>
    <x:t xml:space="preserve">13</x:t>
  </x:si>
  <x:si>
    <x:t xml:space="preserve">Vibration — input shaft bearing (horizontal)</x:t>
  </x:si>
  <x:si>
    <x:t xml:space="preserve">≤ 4.5 mm/s RMS (ISO 10816)</x:t>
  </x:si>
  <x:si>
    <x:t xml:space="preserve">14</x:t>
  </x:si>
  <x:si>
    <x:t xml:space="preserve">Vibration — input shaft bearing (vertical)</x:t>
  </x:si>
  <x:si>
    <x:t xml:space="preserve">≤ 4.5 mm/s RMS</x:t>
  </x:si>
  <x:si>
    <x:t xml:space="preserve">15</x:t>
  </x:si>
  <x:si>
    <x:t xml:space="preserve">Vibration — output shaft bearing (horizontal)</x:t>
  </x:si>
  <x:si>
    <x:t xml:space="preserve">16</x:t>
  </x:si>
  <x:si>
    <x:t xml:space="preserve">Vibration — output shaft bearing (vertical)</x:t>
  </x:si>
  <x:si>
    <x:t xml:space="preserve">17</x:t>
  </x:si>
  <x:si>
    <x:t xml:space="preserve">Overall vibration trend vs baseline</x:t>
  </x:si>
  <x:si>
    <x:t xml:space="preserve">No step change &gt; 25%</x:t>
  </x:si>
  <x:si>
    <x:t xml:space="preserve">  NOISE</x:t>
  </x:si>
  <x:si>
    <x:t xml:space="preserve">18</x:t>
  </x:si>
  <x:si>
    <x:t xml:space="preserve">Listen for gear knock / impact noise</x:t>
  </x:si>
  <x:si>
    <x:t xml:space="preserve">No rhythmic knocking</x:t>
  </x:si>
  <x:si>
    <x:t xml:space="preserve">19</x:t>
  </x:si>
  <x:si>
    <x:t xml:space="preserve">Listen for bearing rattle / rumble</x:t>
  </x:si>
  <x:si>
    <x:t xml:space="preserve">No continuous rumble</x:t>
  </x:si>
  <x:si>
    <x:t xml:space="preserve">20</x:t>
  </x:si>
  <x:si>
    <x:t xml:space="preserve">Listen for whine (high frequency)</x:t>
  </x:si>
  <x:si>
    <x:t xml:space="preserve">No tonal whine</x:t>
  </x:si>
  <x:si>
    <x:t xml:space="preserve">21</x:t>
  </x:si>
  <x:si>
    <x:t xml:space="preserve">Compare noise level vs normal operation</x:t>
  </x:si>
  <x:si>
    <x:t xml:space="preserve">No increase</x:t>
  </x:si>
  <x:si>
    <x:t xml:space="preserve">  LUBRICATION SYSTEM (if pressurised)</x:t>
  </x:si>
  <x:si>
    <x:t xml:space="preserve">22</x:t>
  </x:si>
  <x:si>
    <x:t xml:space="preserve">Oil pump operating</x:t>
  </x:si>
  <x:si>
    <x:t xml:space="preserve">Pump running, no noise</x:t>
  </x:si>
  <x:si>
    <x:t xml:space="preserve">23</x:t>
  </x:si>
  <x:si>
    <x:t xml:space="preserve">Oil pressure at inlet</x:t>
  </x:si>
  <x:si>
    <x:t xml:space="preserve">Per OEM spec (bar)</x:t>
  </x:si>
  <x:si>
    <x:t xml:space="preserve">24</x:t>
  </x:si>
  <x:si>
    <x:t xml:space="preserve">Oil filter differential pressure</x:t>
  </x:si>
  <x:si>
    <x:t xml:space="preserve">ΔP &lt; alarm setpoint</x:t>
  </x:si>
  <x:si>
    <x:t xml:space="preserve">25</x:t>
  </x:si>
  <x:si>
    <x:t xml:space="preserve">Oil cooler — water / air cooling effective</x:t>
  </x:si>
  <x:si>
    <x:t xml:space="preserve">Outlet temp within spec</x:t>
  </x:si>
  <x:si>
    <x:t xml:space="preserve">26</x:t>
  </x:si>
  <x:si>
    <x:t xml:space="preserve">Strainer — clean if required</x:t>
  </x:si>
  <x:si>
    <x:t xml:space="preserve">Clear of debris</x:t>
  </x:si>
  <x:si>
    <x:t xml:space="preserve">  SHAFTS, SEALS &amp; COUPLINGS</x:t>
  </x:si>
  <x:si>
    <x:t xml:space="preserve">27</x:t>
  </x:si>
  <x:si>
    <x:t xml:space="preserve">Input shaft seal — no leakage</x:t>
  </x:si>
  <x:si>
    <x:t xml:space="preserve">Dry at seal face</x:t>
  </x:si>
  <x:si>
    <x:t xml:space="preserve">28</x:t>
  </x:si>
  <x:si>
    <x:t xml:space="preserve">Output shaft seal — no leakage</x:t>
  </x:si>
  <x:si>
    <x:t xml:space="preserve">29</x:t>
  </x:si>
  <x:si>
    <x:t xml:space="preserve">Input shaft coupling condition</x:t>
  </x:si>
  <x:si>
    <x:t xml:space="preserve">No wear, guard in place</x:t>
  </x:si>
  <x:si>
    <x:t xml:space="preserve">30</x:t>
  </x:si>
  <x:si>
    <x:t xml:space="preserve">Output shaft coupling condition</x:t>
  </x:si>
  <x:si>
    <x:t xml:space="preserve">31</x:t>
  </x:si>
  <x:si>
    <x:t xml:space="preserve">Shaft radial play (if measurable)</x:t>
  </x:si>
  <x:si>
    <x:t xml:space="preserve">&lt; 0.1 mm</x:t>
  </x:si>
  <x:si>
    <x:t xml:space="preserve">32</x:t>
  </x:si>
  <x:si>
    <x:t xml:space="preserve">Shaft axial play (if measurable)</x:t>
  </x:si>
  <x:si>
    <x:t xml:space="preserve">Per OEM tolerance</x:t>
  </x:si>
  <x:si>
    <x:t xml:space="preserve">  OIL CONDITION (from sample if taken)</x:t>
  </x:si>
  <x:si>
    <x:t xml:space="preserve">33</x:t>
  </x:si>
  <x:si>
    <x:t xml:space="preserve">Oil sample taken for analysis?</x:t>
  </x:si>
  <x:si>
    <x:t xml:space="preserve">Yes / No</x:t>
  </x:si>
  <x:si>
    <x:t xml:space="preserve">34</x:t>
  </x:si>
  <x:si>
    <x:t xml:space="preserve">Water content (if tested)</x:t>
  </x:si>
  <x:si>
    <x:t xml:space="preserve">&lt; 0.1%</x:t>
  </x:si>
  <x:si>
    <x:t xml:space="preserve">35</x:t>
  </x:si>
  <x:si>
    <x:t xml:space="preserve">Viscosity — within grade spec</x:t>
  </x:si>
  <x:si>
    <x:t xml:space="preserve">Kinematic viscosity in range</x:t>
  </x:si>
  <x:si>
    <x:t xml:space="preserve">36</x:t>
  </x:si>
  <x:si>
    <x:t xml:space="preserve">Contamination — particle count</x:t>
  </x:si>
  <x:si>
    <x:t xml:space="preserve">ISO cleanliness per spec</x:t>
  </x:si>
  <x:si>
    <x:t xml:space="preserve">37</x:t>
  </x:si>
  <x:si>
    <x:t xml:space="preserve">Oil change due? (based on hours/calendar)</x:t>
  </x:si>
  <x:si>
    <x:t xml:space="preserve">Hours since last change:</x:t>
  </x:si>
  <x:si>
    <x:t xml:space="preserve">Inspection Result</x:t>
  </x:si>
  <x:si>
    <x:t xml:space="preserve">PASS / FAIL / MONITOR</x:t>
  </x:si>
  <x:si>
    <x:t xml:space="preserve">Next Inspection</x:t>
  </x:si>
  <x:si>
    <x:t xml:space="preserve">Inspector Signature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</x:si>
</x:sst>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yyyy-mm-dd"/>
    <x:numFmt numFmtId="201" formatCode="0%"/>
  </x:numFmts>
  <x:fonts count="1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E8A020"/>
      <x:name val="Arial"/>
    </x:font>
    <x:font>
      <x:i/>
      <x:sz val="8"/>
      <x:color rgb="FF717D7E"/>
      <x:name val="Arial"/>
    </x:font>
    <x:font>
      <x:b/>
      <x:sz val="9"/>
      <x:color rgb="FFFFFFFF"/>
      <x:name val="Arial"/>
    </x:font>
    <x:font>
      <x:sz val="9"/>
      <x:color rgb="FF1A1A2E"/>
      <x:name val="Arial"/>
    </x:font>
    <x:font>
      <x:b/>
      <x:sz val="16"/>
      <x:color rgb="FFFFFFFF"/>
      <x:name val="Calibri"/>
    </x:font>
    <x:font>
      <x:i/>
      <x:sz val="10"/>
      <x:color rgb="FF1F2937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FFF9E6"/>
      </x:patternFill>
    </x:fill>
    <x:fill>
      <x:patternFill patternType="solid">
        <x:fgColor rgb="FF16213E"/>
      </x:patternFill>
    </x:fill>
    <x:fill>
      <x:patternFill patternType="solid">
        <x:fgColor rgb="FFF2F3F4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6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1">
    <x:xf numFmtId="164" fontId="0" fillId="0" borderId="0" xfId="0" applyFont="0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3" borderId="0" xfId="0" applyFont="1" applyBorder="1" applyAlignment="1">
      <x:alignment horizontal="left" vertical="center" wrapText="0"/>
    </x:xf>
    <x:xf numFmtId="164" fontId="6" fillId="4" borderId="1" xfId="0" applyFont="1" applyBorder="1" applyAlignment="1">
      <x:alignment horizontal="right" vertical="center" wrapText="0"/>
    </x:xf>
    <x:xf numFmtId="164" fontId="0" fillId="3" borderId="1" xfId="0" applyFont="0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6" fillId="4" borderId="2" xfId="0" applyFont="1" applyBorder="1" applyAlignment="1">
      <x:alignment horizontal="left" vertical="center" wrapText="0"/>
    </x:xf>
    <x:xf numFmtId="164" fontId="7" fillId="5" borderId="1" xfId="0" applyFont="1" applyBorder="1" applyAlignment="1">
      <x:alignment horizontal="center" vertical="center" wrapText="0"/>
    </x:xf>
    <x:xf numFmtId="164" fontId="7" fillId="5" borderId="1" xfId="0" applyFont="1" applyBorder="1" applyAlignment="1">
      <x:alignment horizontal="left" vertical="center" wrapText="0"/>
    </x:xf>
    <x:xf numFmtId="164" fontId="7" fillId="3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left" vertical="center" wrapText="0"/>
    </x:xf>
    <x:xf numFmtId="164" fontId="7" fillId="6" borderId="1" xfId="0" applyFont="1" applyBorder="1" applyAlignment="1">
      <x:alignment horizontal="center" vertical="center" wrapText="0"/>
    </x:xf>
    <x:xf numFmtId="164" fontId="7" fillId="6" borderId="1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0" fillId="2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0"/>
    </x:xf>
    <x:xf numFmtId="164" fontId="5" fillId="3" borderId="3" xfId="0" applyNumberFormat="1" applyFont="1" applyFill="1" applyBorder="1" applyAlignment="1">
      <x:alignment horizontal="left" vertical="center" wrapText="0"/>
    </x:xf>
    <x:xf numFmtId="164" fontId="6" fillId="4" borderId="4" xfId="0" applyNumberFormat="1" applyFont="1" applyFill="1" applyBorder="1" applyAlignment="1">
      <x:alignment horizontal="right" vertical="center" wrapText="0"/>
    </x:xf>
    <x:xf numFmtId="164" fontId="0" fillId="3" borderId="4" xfId="0" applyNumberFormat="1" applyFont="1" applyFill="1" applyBorder="1" applyAlignment="1">
      <x:alignment horizontal="general" vertical="bottom" wrapText="0"/>
    </x:xf>
    <x:xf numFmtId="164" fontId="6" fillId="2" borderId="4" xfId="0" applyNumberFormat="1" applyFont="1" applyFill="1" applyBorder="1" applyAlignment="1">
      <x:alignment horizontal="center" vertical="center" wrapText="1"/>
    </x:xf>
    <x:xf numFmtId="164" fontId="6" fillId="4" borderId="5" xfId="0" applyNumberFormat="1" applyFont="1" applyFill="1" applyBorder="1" applyAlignment="1">
      <x:alignment horizontal="left" vertical="center" wrapText="0"/>
    </x:xf>
    <x:xf numFmtId="164" fontId="7" fillId="5" borderId="4" xfId="0" applyNumberFormat="1" applyFont="1" applyFill="1" applyBorder="1" applyAlignment="1">
      <x:alignment horizontal="center" vertical="center" wrapText="0"/>
    </x:xf>
    <x:xf numFmtId="164" fontId="7" fillId="5" borderId="4" xfId="0" applyNumberFormat="1" applyFont="1" applyFill="1" applyBorder="1" applyAlignment="1">
      <x:alignment horizontal="left" vertical="center" wrapText="0"/>
    </x:xf>
    <x:xf numFmtId="164" fontId="7" fillId="3" borderId="4" xfId="0" applyNumberFormat="1" applyFont="1" applyFill="1" applyBorder="1" applyAlignment="1">
      <x:alignment horizontal="center" vertical="center" wrapText="0"/>
    </x:xf>
    <x:xf numFmtId="164" fontId="7" fillId="3" borderId="4" xfId="0" applyNumberFormat="1" applyFont="1" applyFill="1" applyBorder="1" applyAlignment="1">
      <x:alignment horizontal="left" vertical="center" wrapText="0"/>
    </x:xf>
    <x:xf numFmtId="164" fontId="7" fillId="6" borderId="4" xfId="0" applyNumberFormat="1" applyFont="1" applyFill="1" applyBorder="1" applyAlignment="1">
      <x:alignment horizontal="center" vertical="center" wrapText="0"/>
    </x:xf>
    <x:xf numFmtId="164" fontId="7" fillId="6" borderId="4" xfId="0" applyNumberFormat="1" applyFont="1" applyFill="1" applyBorder="1" applyAlignment="1">
      <x:alignment horizontal="left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8" fillId="7" borderId="0" xfId="0" applyNumberFormat="1" applyFont="1" applyFill="1" applyBorder="1" applyAlignment="1">
      <x:alignment horizontal="general" vertical="bottom" wrapText="0"/>
    </x:xf>
    <x:xf numFmtId="164" fontId="8" fillId="7" borderId="0" xfId="0" applyNumberFormat="1" applyFont="1" applyFill="1" applyBorder="1" applyAlignment="1">
      <x:alignment horizontal="left" vertical="bottom" wrapText="0"/>
    </x:xf>
    <x:xf numFmtId="164" fontId="8" fillId="7" borderId="0" xfId="0" applyNumberFormat="1" applyFont="1" applyFill="1" applyBorder="1" applyAlignment="1">
      <x:alignment horizontal="left" vertical="center" wrapText="0"/>
    </x:xf>
    <x:xf numFmtId="164" fontId="0" fillId="7" borderId="3" xfId="0" applyNumberFormat="1" applyFont="1" applyFill="1" applyBorder="1" applyAlignment="1">
      <x:alignment horizontal="general" vertical="bottom" wrapText="0"/>
    </x:xf>
    <x:xf numFmtId="164" fontId="8" fillId="7" borderId="3" xfId="0" applyNumberFormat="1" applyFont="1" applyFill="1" applyBorder="1" applyAlignment="1">
      <x:alignment horizontal="general" vertical="bottom" wrapText="0"/>
    </x:xf>
    <x:xf numFmtId="164" fontId="8" fillId="7" borderId="3" xfId="0" applyNumberFormat="1" applyFont="1" applyFill="1" applyBorder="1" applyAlignment="1">
      <x:alignment horizontal="left" vertical="bottom" wrapText="0"/>
    </x:xf>
    <x:xf numFmtId="164" fontId="8" fillId="7" borderId="3" xfId="0" applyNumberFormat="1" applyFont="1" applyFill="1" applyBorder="1" applyAlignment="1">
      <x:alignment horizontal="left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9" fillId="8" borderId="0" xfId="0" applyNumberFormat="1" applyFont="1" applyFill="1" applyBorder="1" applyAlignment="1">
      <x:alignment horizontal="general" vertical="bottom" wrapText="0"/>
    </x:xf>
    <x:xf numFmtId="164" fontId="9" fillId="8" borderId="0" xfId="0" applyNumberFormat="1" applyFont="1" applyFill="1" applyBorder="1" applyAlignment="1">
      <x:alignment horizontal="general" vertical="bottom" wrapText="1"/>
    </x:xf>
    <x:xf numFmtId="164" fontId="0" fillId="8" borderId="3" xfId="0" applyNumberFormat="1" applyFont="1" applyFill="1" applyBorder="1" applyAlignment="1">
      <x:alignment horizontal="general" vertical="bottom" wrapText="0"/>
    </x:xf>
    <x:xf numFmtId="164" fontId="9" fillId="8" borderId="3" xfId="0" applyNumberFormat="1" applyFont="1" applyFill="1" applyBorder="1" applyAlignment="1">
      <x:alignment horizontal="general" vertical="bottom" wrapText="0"/>
    </x:xf>
    <x:xf numFmtId="164" fontId="9" fillId="8" borderId="3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0" fillId="9" borderId="0" xfId="0" applyNumberFormat="1" applyFont="1" applyFill="1" applyBorder="1" applyAlignment="1">
      <x:alignment horizontal="general" vertical="bottom" wrapText="0"/>
    </x:xf>
    <x:xf numFmtId="164" fontId="10" fillId="9" borderId="0" xfId="0" applyNumberFormat="1" applyFont="1" applyFill="1" applyBorder="1" applyAlignment="1">
      <x:alignment horizontal="general" vertical="bottom" wrapText="1"/>
    </x:xf>
    <x:xf numFmtId="164" fontId="10" fillId="9" borderId="0" xfId="0" applyNumberFormat="1" applyFont="1" applyFill="1" applyBorder="1" applyAlignment="1">
      <x:alignment horizontal="center" vertical="bottom" wrapText="1"/>
    </x:xf>
    <x:xf numFmtId="164" fontId="10" fillId="9" borderId="0" xfId="0" applyNumberFormat="1" applyFont="1" applyFill="1" applyBorder="1" applyAlignment="1">
      <x:alignment horizontal="center" vertical="center" wrapText="1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0" fillId="9" borderId="3" xfId="0" applyNumberFormat="1" applyFont="1" applyFill="1" applyBorder="1" applyAlignment="1">
      <x:alignment horizontal="general" vertical="bottom" wrapText="0"/>
    </x:xf>
    <x:xf numFmtId="164" fontId="10" fillId="9" borderId="3" xfId="0" applyNumberFormat="1" applyFont="1" applyFill="1" applyBorder="1" applyAlignment="1">
      <x:alignment horizontal="general" vertical="bottom" wrapText="1"/>
    </x:xf>
    <x:xf numFmtId="164" fontId="10" fillId="9" borderId="3" xfId="0" applyNumberFormat="1" applyFont="1" applyFill="1" applyBorder="1" applyAlignment="1">
      <x:alignment horizontal="center" vertical="bottom" wrapText="1"/>
    </x:xf>
    <x:xf numFmtId="164" fontId="10" fillId="9" borderId="3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1" fillId="10" borderId="0" xfId="0" applyNumberFormat="1" applyFont="1" applyFill="1" applyBorder="1" applyAlignment="1">
      <x:alignment horizontal="general" vertical="bottom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1" fillId="1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1"/>
    </x:xf>
    <x:xf numFmtId="164" fontId="0" fillId="11" borderId="3" xfId="0" applyNumberFormat="1" applyFont="1" applyFill="1" applyBorder="1" applyAlignment="1">
      <x:alignment horizontal="general" vertical="bottom" wrapText="0"/>
    </x:xf>
    <x:xf numFmtId="164" fontId="0" fillId="11" borderId="3" xfId="0" applyNumberFormat="1" applyFont="1" applyFill="1" applyBorder="1" applyAlignment="1">
      <x:alignment horizontal="general" vertical="bottom" wrapText="1"/>
    </x:xf>
    <x:xf numFmtId="164" fontId="11" fillId="9" borderId="0" xfId="0" applyNumberFormat="1" applyFont="1" applyFill="1" applyBorder="1" applyAlignment="1">
      <x:alignment horizontal="general" vertical="bottom" wrapText="0"/>
    </x:xf>
    <x:xf numFmtId="164" fontId="11" fillId="9" borderId="3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top" wrapText="1"/>
    </x:xf>
    <x:xf numFmtId="200" fontId="0" fillId="0" borderId="3" xfId="0" applyNumberFormat="1" applyFont="1" applyFill="1" applyBorder="1" applyAlignment="1">
      <x:alignment horizontal="general" vertical="top" wrapText="1"/>
    </x:xf>
    <x:xf numFmtId="164" fontId="11" fillId="10" borderId="0" xfId="0" applyNumberFormat="1" applyFont="1" applyFill="1" applyBorder="1" applyAlignment="1">
      <x:alignment horizontal="general" vertical="bottom" wrapText="1"/>
    </x:xf>
    <x:xf numFmtId="164" fontId="11" fillId="10" borderId="3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3" xfId="0" applyNumberFormat="1" applyFont="1" applyFill="1" applyBorder="1" applyAlignment="1">
      <x:alignment horizontal="general" vertical="bottom" wrapText="0"/>
    </x:xf>
    <x:xf numFmtId="164" fontId="12" fillId="8" borderId="0" xfId="0" applyNumberFormat="1" applyFont="1" applyFill="1" applyBorder="1" applyAlignment="1">
      <x:alignment horizontal="general" vertical="bottom" wrapText="0"/>
    </x:xf>
    <x:xf numFmtId="164" fontId="12" fillId="8" borderId="3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1"/>
    </x:xf>
    <x:xf numFmtId="164" fontId="12" fillId="8" borderId="0" xfId="0" applyNumberFormat="1" applyFont="1" applyFill="1" applyBorder="1" applyAlignment="1">
      <x:alignment horizontal="general" vertical="bottom" wrapText="1"/>
    </x:xf>
    <x:xf numFmtId="164" fontId="11" fillId="9" borderId="3" xfId="0" applyNumberFormat="1" applyFont="1" applyFill="1" applyBorder="1" applyAlignment="1">
      <x:alignment horizontal="general" vertical="bottom" wrapText="1"/>
    </x:xf>
    <x:xf numFmtId="164" fontId="12" fillId="8" borderId="3" xfId="0" applyNumberFormat="1" applyFont="1" applyFill="1" applyBorder="1" applyAlignment="1">
      <x:alignment horizontal="general" vertical="bottom" wrapText="1"/>
    </x:xf>
    <x:xf numFmtId="201" fontId="0" fillId="0" borderId="0" xfId="0" applyNumberFormat="1" applyFont="1" applyFill="1" applyBorder="1" applyAlignment="1">
      <x:alignment horizontal="general" vertical="bottom" wrapText="1"/>
    </x:xf>
    <x:xf numFmtId="201" fontId="0" fillId="0" borderId="3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0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717D7E"/>
      <x:rgbColor rgb="FF9999FF"/>
      <x:rgbColor rgb="FF993366"/>
      <x:rgbColor rgb="FFFFF9E6"/>
      <x:rgbColor rgb="FFF2F3F4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E8A020"/>
      <x:rgbColor rgb="FFFF6600"/>
      <x:rgbColor rgb="FF666699"/>
      <x:rgbColor rgb="FF969696"/>
      <x:rgbColor rgb="FF003366"/>
      <x:rgbColor rgb="FF1E8449"/>
      <x:rgbColor rgb="FF003300"/>
      <x:rgbColor rgb="FF1A1A2E"/>
      <x:rgbColor rgb="FF993300"/>
      <x:rgbColor rgb="FF993366"/>
      <x:rgbColor rgb="FF333399"/>
      <x:rgbColor rgb="FF16213E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1102e98db481d" /><Relationship Type="http://schemas.openxmlformats.org/officeDocument/2006/relationships/theme" Target="/xl/theme/theme1.xml" Id="R428a79a0535b4e21" /><Relationship Type="http://schemas.openxmlformats.org/officeDocument/2006/relationships/sharedStrings" Target="/xl/sharedStrings.xml" Id="R538bd71ea19842f5" /><Relationship Type="http://schemas.openxmlformats.org/officeDocument/2006/relationships/worksheet" Target="/xl/worksheets/sheet1.xml" Id="Rf69046b9bde24310" /><Relationship Type="http://schemas.openxmlformats.org/officeDocument/2006/relationships/worksheet" Target="/xl/worksheets/sheet2.xml" Id="R9d09605f694d426d" /><Relationship Type="http://schemas.openxmlformats.org/officeDocument/2006/relationships/worksheet" Target="/xl/worksheets/sheet3.xml" Id="R3c39b0fd0c00446e" /><Relationship Type="http://schemas.openxmlformats.org/officeDocument/2006/relationships/worksheet" Target="/xl/worksheets/sheet4.xml" Id="R36e46144675d40a3" /><Relationship Type="http://schemas.openxmlformats.org/officeDocument/2006/relationships/worksheet" Target="/xl/worksheets/sheet5.xml" Id="Ra458e1d2a6e04853" /><Relationship Type="http://schemas.openxmlformats.org/officeDocument/2006/relationships/worksheet" Target="/xl/worksheets/sheet6.xml" Id="R85de8c31e00c4113" /><Relationship Type="http://schemas.openxmlformats.org/officeDocument/2006/relationships/worksheet" Target="/xl/worksheets/sheet7.xml" Id="R3efbda0dd4744de5" /><Relationship Type="http://schemas.openxmlformats.org/officeDocument/2006/relationships/worksheet" Target="/xl/worksheets/sheet8.xml" Id="R3a4d4b860b2a4ca7" /></Relationships>
</file>

<file path=xl/tables/table1.xml><?xml version="1.0" encoding="utf-8"?>
<x:table xmlns:x="http://schemas.openxmlformats.org/spreadsheetml/2006/main" id="1" name="GearboxActionTracker" displayName="GearboxActionTracker" ref="A4:K34" headerRowCount="1">
  <x:tableColumns count="11">
    <x:tableColumn id="1" name="Source/Sheet"/>
    <x:tableColumn id="2" name="Asset / Equipment"/>
    <x:tableColumn id="3" name="Finding / Defect"/>
    <x:tableColumn id="4" name="Risk / Impact"/>
    <x:tableColumn id="5" name="Priority"/>
    <x:tableColumn id="6" name="Responsible Person"/>
    <x:tableColumn id="7" name="Due Date"/>
    <x:tableColumn id="8" name="Status"/>
    <x:tableColumn id="9" name="Close-out Date"/>
    <x:tableColumn id="10" name="Verification / Evidence"/>
    <x:tableColumn id="11" name="Days Overdue"/>
  </x:tableColumns>
  <x:tableStyleInfo name="TableStyleMedium2" showRowStripes="1"/>
</x:table>
</file>

<file path=xl/tables/table2.xml><?xml version="1.0" encoding="utf-8"?>
<x:table xmlns:x="http://schemas.openxmlformats.org/spreadsheetml/2006/main" id="2" name="GearboxTrendLog" displayName="GearboxTrendLog" ref="A4:N24" headerRowCount="1">
  <x:tableColumns count="14">
    <x:tableColumn id="1" name="Date"/>
    <x:tableColumn id="2" name="Asset Tag"/>
    <x:tableColumn id="3" name="Operating Hours"/>
    <x:tableColumn id="4" name="Operating Condition"/>
    <x:tableColumn id="5" name="Input Brg Temp (°C)"/>
    <x:tableColumn id="6" name="Output Brg Temp (°C)"/>
    <x:tableColumn id="7" name="Oil Sump Temp (°C)"/>
    <x:tableColumn id="8" name="Input Vib H (mm/s)"/>
    <x:tableColumn id="9" name="Input Vib V (mm/s)"/>
    <x:tableColumn id="10" name="Output Vib H (mm/s)"/>
    <x:tableColumn id="11" name="Output Vib V (mm/s)"/>
    <x:tableColumn id="12" name="Overall Status"/>
    <x:tableColumn id="13" name="Action Required"/>
    <x:tableColumn id="14" name="Technician"/>
  </x:tableColumns>
  <x:tableStyleInfo name="TableStyleMedium2" showRowStripes="1"/>
</x:table>
</file>

<file path=xl/tables/table3.xml><?xml version="1.0" encoding="utf-8"?>
<x:table xmlns:x="http://schemas.openxmlformats.org/spreadsheetml/2006/main" id="3" name="GearboxOilAnalysis" displayName="GearboxOilAnalysis" ref="A4:L24" headerRowCount="1">
  <x:tableColumns count="12">
    <x:tableColumn id="1" name="Date"/>
    <x:tableColumn id="2" name="Gearbox Tag"/>
    <x:tableColumn id="3" name="Oil Type/Grade"/>
    <x:tableColumn id="4" name="Running Hours"/>
    <x:tableColumn id="5" name="Sample No."/>
    <x:tableColumn id="6" name="Viscosity Result"/>
    <x:tableColumn id="7" name="Water Content"/>
    <x:tableColumn id="8" name="Particle Count / ISO Code"/>
    <x:tableColumn id="9" name="Ferrous Debris"/>
    <x:tableColumn id="10" name="Lab Status"/>
    <x:tableColumn id="11" name="Recommendation"/>
    <x:tableColumn id="12" name="Action Ref"/>
  </x:tableColumns>
  <x:tableStyleInfo name="TableStyleMedium2" showRowStripes="1"/>
</x:table>
</file>

<file path=xl/tables/table4.xml><?xml version="1.0" encoding="utf-8"?>
<x:table xmlns:x="http://schemas.openxmlformats.org/spreadsheetml/2006/main" id="4" name="GearDefectGuide" displayName="GearDefectGuide" ref="A4:D9" headerRowCount="1">
  <x:tableColumns count="4">
    <x:tableColumn id="1" name="Defect"/>
    <x:tableColumn id="2" name="Visual indication"/>
    <x:tableColumn id="3" name="Likely cause"/>
    <x:tableColumn id="4" name="Recommended check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556ce13f7fa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9efb17bd9854d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9c387fd31af42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ef56148e7bd4c5e" /></Relationships>
</file>

<file path=xl/worksheets/sheet1.xml><?xml version="1.0" encoding="utf-8"?>
<x:worksheet xmlns:x="http://schemas.openxmlformats.org/spreadsheetml/2006/main">
  <x:sheetPr>
    <x:tabColor rgb="FF1E8449"/>
  </x:sheetPr>
  <x:sheetViews>
    <x:sheetView showGridLines="0" workbookViewId="0"/>
  </x:sheetViews>
  <x:sheetFormatPr defaultColWidth="8.6796875" defaultRowHeight="15"/>
  <x:cols>
    <x:col min="1" max="1" width="2" hidden="0" customWidth="1"/>
    <x:col min="2" max="2" width="6" hidden="0" customWidth="1"/>
    <x:col min="3" max="3" width="30" hidden="0" customWidth="1"/>
    <x:col min="4" max="4" width="22" hidden="0" customWidth="1"/>
    <x:col min="5" max="5" width="12" hidden="0" customWidth="1"/>
    <x:col min="6" max="7" width="14" hidden="0" customWidth="1"/>
    <x:col min="8" max="8" width="20" hidden="0" customWidth="1"/>
    <x:col min="9" max="9" width="12" hidden="0" customWidth="1"/>
    <x:col min="10" max="10" width="12" hidden="0" customWidth="1"/>
    <x:col min="11" max="11" width="14" hidden="0" customWidth="1"/>
    <x:col min="12" max="12" width="11" hidden="0" customWidth="1"/>
    <x:col min="13" max="13" width="16" hidden="0" customWidth="1"/>
  </x:cols>
  <x:sheetData>
    <x:row r="1" ht="7.5" hidden="0" customHeight="1"/>
    <x:row r="2" ht="37.5" hidden="0" customHeight="1">
      <x:c r="A2" s="1"/>
      <x:c r="B2" s="2" t="s">
        <x:v>0</x:v>
      </x:c>
      <x:c r="C2" s="2"/>
      <x:c r="D2" s="2"/>
      <x:c r="E2" s="2"/>
      <x:c r="F2" s="2"/>
      <x:c r="G2" s="2"/>
      <x:c r="H2" s="2"/>
      <x:c r="I2" s="1"/>
    </x:row>
    <x:row r="3" ht="18" hidden="0" customHeight="1">
      <x:c r="B3" s="3" t="s">
        <x:v>1</x:v>
      </x:c>
      <x:c r="C3" s="3"/>
      <x:c r="D3" s="3"/>
      <x:c r="E3" s="3"/>
      <x:c r="F3" s="3"/>
      <x:c r="G3" s="3"/>
    </x:row>
    <x:row r="4" ht="19.5" hidden="0" customHeight="1">
      <x:c r="B4" s="4" t="s">
        <x:v>2</x:v>
      </x:c>
      <x:c r="C4" s="5"/>
      <x:c r="E4" s="4" t="s">
        <x:v>3</x:v>
      </x:c>
      <x:c r="F4" s="5"/>
    </x:row>
    <x:row r="5" ht="19.5" hidden="0" customHeight="1">
      <x:c r="B5" s="4" t="s">
        <x:v>4</x:v>
      </x:c>
      <x:c r="C5" s="5"/>
      <x:c r="E5" s="4" t="s">
        <x:v>5</x:v>
      </x:c>
      <x:c r="F5" s="5"/>
    </x:row>
    <x:row r="6" ht="19.5" hidden="0" customHeight="1">
      <x:c r="B6" s="4" t="s">
        <x:v>6</x:v>
      </x:c>
      <x:c r="C6" s="5"/>
      <x:c r="E6" s="4" t="s">
        <x:v>7</x:v>
      </x:c>
      <x:c r="F6" s="5"/>
    </x:row>
    <x:row r="7" ht="15" hidden="0">
      <x:c r="B7" s="6" t="s">
        <x:v>8</x:v>
      </x:c>
      <x:c r="C7" s="6" t="s">
        <x:v>9</x:v>
      </x:c>
      <x:c r="D7" s="6" t="s">
        <x:v>10</x:v>
      </x:c>
      <x:c r="E7" s="6" t="s">
        <x:v>11</x:v>
      </x:c>
      <x:c r="F7" s="6" t="s">
        <x:v>12</x:v>
      </x:c>
      <x:c r="G7" s="6" t="s">
        <x:v>13</x:v>
      </x:c>
      <x:c r="H7" s="6" t="s">
        <x:v>14</x:v>
      </x:c>
      <x:c r="I7" s="69" t="str">
        <x:v>Priority</x:v>
      </x:c>
      <x:c r="J7" s="69" t="str">
        <x:v>Due Date</x:v>
      </x:c>
      <x:c r="K7" s="69" t="str">
        <x:v>Action Status</x:v>
      </x:c>
      <x:c r="L7" s="69" t="str">
        <x:v>Risk Score</x:v>
      </x:c>
      <x:c r="M7" s="69" t="str">
        <x:v>Evidence Ref</x:v>
      </x:c>
    </x:row>
    <x:row r="8" ht="18" hidden="0" customHeight="1">
      <x:c r="B8" s="7" t="s">
        <x:v>15</x:v>
      </x:c>
      <x:c r="C8" s="7"/>
      <x:c r="D8" s="7"/>
      <x:c r="E8" s="7"/>
      <x:c r="F8" s="7"/>
      <x:c r="G8" s="7"/>
      <x:c r="H8" s="7"/>
      <x:c r="J8" s="71"/>
      <x:c r="L8" t="str">
        <x:f>IF($E8="✗",IF(I8="Critical",25,IF(I8="High",15,IF(I8="Medium",8,IF(I8="Low",4,1)))),"")</x:f>
      </x:c>
    </x:row>
    <x:row r="9" ht="18" hidden="0" customHeight="1">
      <x:c r="B9" s="8" t="s">
        <x:v>16</x:v>
      </x:c>
      <x:c r="C9" s="9" t="s">
        <x:v>17</x:v>
      </x:c>
      <x:c r="D9" s="9" t="s">
        <x:v>18</x:v>
      </x:c>
      <x:c r="E9" s="10"/>
      <x:c r="F9" s="10"/>
      <x:c r="G9" s="10"/>
      <x:c r="H9" s="11"/>
      <x:c r="J9" s="71"/>
      <x:c r="L9" t="str">
        <x:f>IF($E9="✗",IF(I9="Critical",25,IF(I9="High",15,IF(I9="Medium",8,IF(I9="Low",4,1)))),"")</x:f>
      </x:c>
    </x:row>
    <x:row r="10" ht="18" hidden="0" customHeight="1">
      <x:c r="B10" s="12" t="s">
        <x:v>19</x:v>
      </x:c>
      <x:c r="C10" s="13" t="s">
        <x:v>20</x:v>
      </x:c>
      <x:c r="D10" s="13" t="s">
        <x:v>21</x:v>
      </x:c>
      <x:c r="E10" s="10"/>
      <x:c r="F10" s="10"/>
      <x:c r="G10" s="10"/>
      <x:c r="H10" s="11"/>
      <x:c r="J10" s="71"/>
      <x:c r="L10" t="str">
        <x:f>IF($E10="✗",IF(I10="Critical",25,IF(I10="High",15,IF(I10="Medium",8,IF(I10="Low",4,1)))),"")</x:f>
      </x:c>
    </x:row>
    <x:row r="11" ht="18" hidden="0" customHeight="1">
      <x:c r="B11" s="8" t="s">
        <x:v>22</x:v>
      </x:c>
      <x:c r="C11" s="9" t="s">
        <x:v>23</x:v>
      </x:c>
      <x:c r="D11" s="9" t="s">
        <x:v>24</x:v>
      </x:c>
      <x:c r="E11" s="10"/>
      <x:c r="F11" s="10"/>
      <x:c r="G11" s="10"/>
      <x:c r="H11" s="11"/>
      <x:c r="J11" s="71"/>
      <x:c r="L11" t="str">
        <x:f>IF($E11="✗",IF(I11="Critical",25,IF(I11="High",15,IF(I11="Medium",8,IF(I11="Low",4,1)))),"")</x:f>
      </x:c>
    </x:row>
    <x:row r="12" ht="18" hidden="0" customHeight="1">
      <x:c r="B12" s="12" t="s">
        <x:v>25</x:v>
      </x:c>
      <x:c r="C12" s="13" t="s">
        <x:v>26</x:v>
      </x:c>
      <x:c r="D12" s="13" t="s">
        <x:v>27</x:v>
      </x:c>
      <x:c r="E12" s="10"/>
      <x:c r="F12" s="10"/>
      <x:c r="G12" s="10"/>
      <x:c r="H12" s="11"/>
      <x:c r="J12" s="71"/>
      <x:c r="L12" t="str">
        <x:f>IF($E12="✗",IF(I12="Critical",25,IF(I12="High",15,IF(I12="Medium",8,IF(I12="Low",4,1)))),"")</x:f>
      </x:c>
    </x:row>
    <x:row r="13" ht="18" hidden="0" customHeight="1">
      <x:c r="B13" s="8" t="s">
        <x:v>28</x:v>
      </x:c>
      <x:c r="C13" s="9" t="s">
        <x:v>29</x:v>
      </x:c>
      <x:c r="D13" s="9" t="s">
        <x:v>30</x:v>
      </x:c>
      <x:c r="E13" s="10"/>
      <x:c r="F13" s="10"/>
      <x:c r="G13" s="10"/>
      <x:c r="H13" s="11"/>
      <x:c r="J13" s="71"/>
      <x:c r="L13" t="str">
        <x:f>IF($E13="✗",IF(I13="Critical",25,IF(I13="High",15,IF(I13="Medium",8,IF(I13="Low",4,1)))),"")</x:f>
      </x:c>
    </x:row>
    <x:row r="14" ht="18" hidden="0" customHeight="1">
      <x:c r="B14" s="12" t="s">
        <x:v>31</x:v>
      </x:c>
      <x:c r="C14" s="13" t="s">
        <x:v>32</x:v>
      </x:c>
      <x:c r="D14" s="13" t="s">
        <x:v>33</x:v>
      </x:c>
      <x:c r="E14" s="10"/>
      <x:c r="F14" s="10"/>
      <x:c r="G14" s="10"/>
      <x:c r="H14" s="11"/>
      <x:c r="J14" s="71"/>
      <x:c r="L14" t="str">
        <x:f>IF($E14="✗",IF(I14="Critical",25,IF(I14="High",15,IF(I14="Medium",8,IF(I14="Low",4,1)))),"")</x:f>
      </x:c>
    </x:row>
    <x:row r="15" ht="18" hidden="0" customHeight="1">
      <x:c r="B15" s="8" t="s">
        <x:v>34</x:v>
      </x:c>
      <x:c r="C15" s="9" t="s">
        <x:v>35</x:v>
      </x:c>
      <x:c r="D15" s="9" t="s">
        <x:v>36</x:v>
      </x:c>
      <x:c r="E15" s="10"/>
      <x:c r="F15" s="10"/>
      <x:c r="G15" s="10"/>
      <x:c r="H15" s="11"/>
      <x:c r="J15" s="71"/>
      <x:c r="L15" t="str">
        <x:f>IF($E15="✗",IF(I15="Critical",25,IF(I15="High",15,IF(I15="Medium",8,IF(I15="Low",4,1)))),"")</x:f>
      </x:c>
    </x:row>
    <x:row r="16" ht="18" hidden="0" customHeight="1">
      <x:c r="B16" s="12" t="s">
        <x:v>37</x:v>
      </x:c>
      <x:c r="C16" s="13" t="s">
        <x:v>38</x:v>
      </x:c>
      <x:c r="D16" s="13" t="s">
        <x:v>39</x:v>
      </x:c>
      <x:c r="E16" s="10"/>
      <x:c r="F16" s="10"/>
      <x:c r="G16" s="10"/>
      <x:c r="H16" s="11"/>
      <x:c r="J16" s="71"/>
      <x:c r="L16" t="str">
        <x:f>IF($E16="✗",IF(I16="Critical",25,IF(I16="High",15,IF(I16="Medium",8,IF(I16="Low",4,1)))),"")</x:f>
      </x:c>
    </x:row>
    <x:row r="17" ht="18" hidden="0" customHeight="1">
      <x:c r="B17" s="7" t="s">
        <x:v>40</x:v>
      </x:c>
      <x:c r="C17" s="7"/>
      <x:c r="D17" s="7"/>
      <x:c r="E17" s="7"/>
      <x:c r="F17" s="7"/>
      <x:c r="G17" s="7"/>
      <x:c r="H17" s="7"/>
      <x:c r="J17" s="71"/>
      <x:c r="L17" t="str">
        <x:f>IF($E17="✗",IF(I17="Critical",25,IF(I17="High",15,IF(I17="Medium",8,IF(I17="Low",4,1)))),"")</x:f>
      </x:c>
    </x:row>
    <x:row r="18" ht="18" hidden="0" customHeight="1">
      <x:c r="B18" s="8" t="s">
        <x:v>41</x:v>
      </x:c>
      <x:c r="C18" s="9" t="s">
        <x:v>42</x:v>
      </x:c>
      <x:c r="D18" s="9" t="s">
        <x:v>43</x:v>
      </x:c>
      <x:c r="E18" s="10"/>
      <x:c r="F18" s="10"/>
      <x:c r="G18" s="10"/>
      <x:c r="H18" s="11"/>
      <x:c r="J18" s="71"/>
      <x:c r="L18" t="str">
        <x:f>IF($E18="✗",IF(I18="Critical",25,IF(I18="High",15,IF(I18="Medium",8,IF(I18="Low",4,1)))),"")</x:f>
      </x:c>
    </x:row>
    <x:row r="19" ht="18" hidden="0" customHeight="1">
      <x:c r="B19" s="12" t="s">
        <x:v>44</x:v>
      </x:c>
      <x:c r="C19" s="13" t="s">
        <x:v>45</x:v>
      </x:c>
      <x:c r="D19" s="13" t="s">
        <x:v>46</x:v>
      </x:c>
      <x:c r="E19" s="10"/>
      <x:c r="F19" s="10"/>
      <x:c r="G19" s="10"/>
      <x:c r="H19" s="11"/>
      <x:c r="J19" s="71"/>
      <x:c r="L19" t="str">
        <x:f>IF($E19="✗",IF(I19="Critical",25,IF(I19="High",15,IF(I19="Medium",8,IF(I19="Low",4,1)))),"")</x:f>
      </x:c>
    </x:row>
    <x:row r="20" ht="18" hidden="0" customHeight="1">
      <x:c r="B20" s="8" t="s">
        <x:v>47</x:v>
      </x:c>
      <x:c r="C20" s="9" t="s">
        <x:v>48</x:v>
      </x:c>
      <x:c r="D20" s="9" t="s">
        <x:v>49</x:v>
      </x:c>
      <x:c r="E20" s="10"/>
      <x:c r="F20" s="10"/>
      <x:c r="G20" s="10"/>
      <x:c r="H20" s="11"/>
      <x:c r="J20" s="71"/>
      <x:c r="L20" t="str">
        <x:f>IF($E20="✗",IF(I20="Critical",25,IF(I20="High",15,IF(I20="Medium",8,IF(I20="Low",4,1)))),"")</x:f>
      </x:c>
    </x:row>
    <x:row r="21" ht="18" hidden="0" customHeight="1">
      <x:c r="B21" s="12" t="s">
        <x:v>50</x:v>
      </x:c>
      <x:c r="C21" s="13" t="s">
        <x:v>51</x:v>
      </x:c>
      <x:c r="D21" s="13" t="s">
        <x:v>52</x:v>
      </x:c>
      <x:c r="E21" s="10"/>
      <x:c r="F21" s="10"/>
      <x:c r="G21" s="10"/>
      <x:c r="H21" s="11"/>
      <x:c r="J21" s="71"/>
      <x:c r="L21" t="str">
        <x:f>IF($E21="✗",IF(I21="Critical",25,IF(I21="High",15,IF(I21="Medium",8,IF(I21="Low",4,1)))),"")</x:f>
      </x:c>
    </x:row>
    <x:row r="22" ht="18" hidden="0" customHeight="1">
      <x:c r="B22" s="7" t="s">
        <x:v>53</x:v>
      </x:c>
      <x:c r="C22" s="7"/>
      <x:c r="D22" s="7"/>
      <x:c r="E22" s="7"/>
      <x:c r="F22" s="7"/>
      <x:c r="G22" s="7"/>
      <x:c r="H22" s="7"/>
      <x:c r="J22" s="71"/>
      <x:c r="L22" t="str">
        <x:f>IF($E22="✗",IF(I22="Critical",25,IF(I22="High",15,IF(I22="Medium",8,IF(I22="Low",4,1)))),"")</x:f>
      </x:c>
    </x:row>
    <x:row r="23" ht="18" hidden="0" customHeight="1">
      <x:c r="B23" s="8" t="s">
        <x:v>54</x:v>
      </x:c>
      <x:c r="C23" s="9" t="s">
        <x:v>55</x:v>
      </x:c>
      <x:c r="D23" s="9" t="s">
        <x:v>56</x:v>
      </x:c>
      <x:c r="E23" s="10"/>
      <x:c r="F23" s="10"/>
      <x:c r="G23" s="10"/>
      <x:c r="H23" s="11"/>
      <x:c r="J23" s="71"/>
      <x:c r="L23" t="str">
        <x:f>IF($E23="✗",IF(I23="Critical",25,IF(I23="High",15,IF(I23="Medium",8,IF(I23="Low",4,1)))),"")</x:f>
      </x:c>
    </x:row>
    <x:row r="24" ht="18" hidden="0" customHeight="1">
      <x:c r="B24" s="12" t="s">
        <x:v>57</x:v>
      </x:c>
      <x:c r="C24" s="13" t="s">
        <x:v>58</x:v>
      </x:c>
      <x:c r="D24" s="13" t="s">
        <x:v>59</x:v>
      </x:c>
      <x:c r="E24" s="10"/>
      <x:c r="F24" s="10"/>
      <x:c r="G24" s="10"/>
      <x:c r="H24" s="11"/>
      <x:c r="J24" s="71"/>
      <x:c r="L24" t="str">
        <x:f>IF($E24="✗",IF(I24="Critical",25,IF(I24="High",15,IF(I24="Medium",8,IF(I24="Low",4,1)))),"")</x:f>
      </x:c>
    </x:row>
    <x:row r="25" ht="18" hidden="0" customHeight="1">
      <x:c r="B25" s="8" t="s">
        <x:v>60</x:v>
      </x:c>
      <x:c r="C25" s="9" t="s">
        <x:v>61</x:v>
      </x:c>
      <x:c r="D25" s="9" t="s">
        <x:v>59</x:v>
      </x:c>
      <x:c r="E25" s="10"/>
      <x:c r="F25" s="10"/>
      <x:c r="G25" s="10"/>
      <x:c r="H25" s="11"/>
      <x:c r="J25" s="71"/>
      <x:c r="L25" t="str">
        <x:f>IF($E25="✗",IF(I25="Critical",25,IF(I25="High",15,IF(I25="Medium",8,IF(I25="Low",4,1)))),"")</x:f>
      </x:c>
    </x:row>
    <x:row r="26" ht="18" hidden="0" customHeight="1">
      <x:c r="B26" s="12" t="s">
        <x:v>62</x:v>
      </x:c>
      <x:c r="C26" s="13" t="s">
        <x:v>63</x:v>
      </x:c>
      <x:c r="D26" s="13" t="s">
        <x:v>59</x:v>
      </x:c>
      <x:c r="E26" s="10"/>
      <x:c r="F26" s="10"/>
      <x:c r="G26" s="10"/>
      <x:c r="H26" s="11"/>
      <x:c r="J26" s="71"/>
      <x:c r="L26" t="str">
        <x:f>IF($E26="✗",IF(I26="Critical",25,IF(I26="High",15,IF(I26="Medium",8,IF(I26="Low",4,1)))),"")</x:f>
      </x:c>
    </x:row>
    <x:row r="27" ht="18" hidden="0" customHeight="1">
      <x:c r="B27" s="8" t="s">
        <x:v>64</x:v>
      </x:c>
      <x:c r="C27" s="9" t="s">
        <x:v>65</x:v>
      </x:c>
      <x:c r="D27" s="9" t="s">
        <x:v>66</x:v>
      </x:c>
      <x:c r="E27" s="10"/>
      <x:c r="F27" s="10"/>
      <x:c r="G27" s="10"/>
      <x:c r="H27" s="11"/>
      <x:c r="J27" s="71"/>
      <x:c r="L27" t="str">
        <x:f>IF($E27="✗",IF(I27="Critical",25,IF(I27="High",15,IF(I27="Medium",8,IF(I27="Low",4,1)))),"")</x:f>
      </x:c>
    </x:row>
    <x:row r="28" ht="18" hidden="0" customHeight="1">
      <x:c r="B28" s="7" t="s">
        <x:v>67</x:v>
      </x:c>
      <x:c r="C28" s="7"/>
      <x:c r="D28" s="7"/>
      <x:c r="E28" s="7"/>
      <x:c r="F28" s="7"/>
      <x:c r="G28" s="7"/>
      <x:c r="H28" s="7"/>
      <x:c r="J28" s="71"/>
      <x:c r="L28" t="str">
        <x:f>IF($E28="✗",IF(I28="Critical",25,IF(I28="High",15,IF(I28="Medium",8,IF(I28="Low",4,1)))),"")</x:f>
      </x:c>
    </x:row>
    <x:row r="29" ht="18" hidden="0" customHeight="1">
      <x:c r="B29" s="8" t="s">
        <x:v>68</x:v>
      </x:c>
      <x:c r="C29" s="9" t="s">
        <x:v>69</x:v>
      </x:c>
      <x:c r="D29" s="9" t="s">
        <x:v>70</x:v>
      </x:c>
      <x:c r="E29" s="10"/>
      <x:c r="F29" s="10"/>
      <x:c r="G29" s="10"/>
      <x:c r="H29" s="11"/>
      <x:c r="J29" s="71"/>
      <x:c r="L29" t="str">
        <x:f>IF($E29="✗",IF(I29="Critical",25,IF(I29="High",15,IF(I29="Medium",8,IF(I29="Low",4,1)))),"")</x:f>
      </x:c>
    </x:row>
    <x:row r="30" ht="18" hidden="0" customHeight="1">
      <x:c r="B30" s="12" t="s">
        <x:v>71</x:v>
      </x:c>
      <x:c r="C30" s="13" t="s">
        <x:v>72</x:v>
      </x:c>
      <x:c r="D30" s="13" t="s">
        <x:v>73</x:v>
      </x:c>
      <x:c r="E30" s="10"/>
      <x:c r="F30" s="10"/>
      <x:c r="G30" s="10"/>
      <x:c r="H30" s="11"/>
      <x:c r="J30" s="71"/>
      <x:c r="L30" t="str">
        <x:f>IF($E30="✗",IF(I30="Critical",25,IF(I30="High",15,IF(I30="Medium",8,IF(I30="Low",4,1)))),"")</x:f>
      </x:c>
    </x:row>
    <x:row r="31" ht="18" hidden="0" customHeight="1">
      <x:c r="B31" s="8" t="s">
        <x:v>74</x:v>
      </x:c>
      <x:c r="C31" s="9" t="s">
        <x:v>75</x:v>
      </x:c>
      <x:c r="D31" s="9" t="s">
        <x:v>76</x:v>
      </x:c>
      <x:c r="E31" s="10"/>
      <x:c r="F31" s="10"/>
      <x:c r="G31" s="10"/>
      <x:c r="H31" s="11"/>
      <x:c r="J31" s="71"/>
      <x:c r="L31" t="str">
        <x:f>IF($E31="✗",IF(I31="Critical",25,IF(I31="High",15,IF(I31="Medium",8,IF(I31="Low",4,1)))),"")</x:f>
      </x:c>
    </x:row>
    <x:row r="32" ht="18" hidden="0" customHeight="1">
      <x:c r="B32" s="12" t="s">
        <x:v>77</x:v>
      </x:c>
      <x:c r="C32" s="13" t="s">
        <x:v>78</x:v>
      </x:c>
      <x:c r="D32" s="13" t="s">
        <x:v>79</x:v>
      </x:c>
      <x:c r="E32" s="10"/>
      <x:c r="F32" s="10"/>
      <x:c r="G32" s="10"/>
      <x:c r="H32" s="11"/>
      <x:c r="J32" s="71"/>
      <x:c r="L32" t="str">
        <x:f>IF($E32="✗",IF(I32="Critical",25,IF(I32="High",15,IF(I32="Medium",8,IF(I32="Low",4,1)))),"")</x:f>
      </x:c>
    </x:row>
    <x:row r="33" ht="18" hidden="0" customHeight="1">
      <x:c r="B33" s="7" t="s">
        <x:v>80</x:v>
      </x:c>
      <x:c r="C33" s="7"/>
      <x:c r="D33" s="7"/>
      <x:c r="E33" s="7"/>
      <x:c r="F33" s="7"/>
      <x:c r="G33" s="7"/>
      <x:c r="H33" s="7"/>
      <x:c r="J33" s="71"/>
      <x:c r="L33" t="str">
        <x:f>IF($E33="✗",IF(I33="Critical",25,IF(I33="High",15,IF(I33="Medium",8,IF(I33="Low",4,1)))),"")</x:f>
      </x:c>
    </x:row>
    <x:row r="34" ht="18" hidden="0" customHeight="1">
      <x:c r="B34" s="8" t="s">
        <x:v>81</x:v>
      </x:c>
      <x:c r="C34" s="9" t="s">
        <x:v>82</x:v>
      </x:c>
      <x:c r="D34" s="9" t="s">
        <x:v>83</x:v>
      </x:c>
      <x:c r="E34" s="10"/>
      <x:c r="F34" s="10"/>
      <x:c r="G34" s="10"/>
      <x:c r="H34" s="11"/>
      <x:c r="J34" s="71"/>
      <x:c r="L34" t="str">
        <x:f>IF($E34="✗",IF(I34="Critical",25,IF(I34="High",15,IF(I34="Medium",8,IF(I34="Low",4,1)))),"")</x:f>
      </x:c>
    </x:row>
    <x:row r="35" ht="18" hidden="0" customHeight="1">
      <x:c r="B35" s="12" t="s">
        <x:v>84</x:v>
      </x:c>
      <x:c r="C35" s="13" t="s">
        <x:v>85</x:v>
      </x:c>
      <x:c r="D35" s="13" t="s">
        <x:v>86</x:v>
      </x:c>
      <x:c r="E35" s="10"/>
      <x:c r="F35" s="10"/>
      <x:c r="G35" s="10"/>
      <x:c r="H35" s="11"/>
      <x:c r="J35" s="71"/>
      <x:c r="L35" t="str">
        <x:f>IF($E35="✗",IF(I35="Critical",25,IF(I35="High",15,IF(I35="Medium",8,IF(I35="Low",4,1)))),"")</x:f>
      </x:c>
    </x:row>
    <x:row r="36" ht="18" hidden="0" customHeight="1">
      <x:c r="B36" s="8" t="s">
        <x:v>87</x:v>
      </x:c>
      <x:c r="C36" s="9" t="s">
        <x:v>88</x:v>
      </x:c>
      <x:c r="D36" s="9" t="s">
        <x:v>89</x:v>
      </x:c>
      <x:c r="E36" s="10"/>
      <x:c r="F36" s="10"/>
      <x:c r="G36" s="10"/>
      <x:c r="H36" s="11"/>
      <x:c r="J36" s="71"/>
      <x:c r="L36" t="str">
        <x:f>IF($E36="✗",IF(I36="Critical",25,IF(I36="High",15,IF(I36="Medium",8,IF(I36="Low",4,1)))),"")</x:f>
      </x:c>
    </x:row>
    <x:row r="37" ht="18" hidden="0" customHeight="1">
      <x:c r="B37" s="12" t="s">
        <x:v>90</x:v>
      </x:c>
      <x:c r="C37" s="13" t="s">
        <x:v>91</x:v>
      </x:c>
      <x:c r="D37" s="13" t="s">
        <x:v>92</x:v>
      </x:c>
      <x:c r="E37" s="10"/>
      <x:c r="F37" s="10"/>
      <x:c r="G37" s="10"/>
      <x:c r="H37" s="11"/>
      <x:c r="J37" s="71"/>
      <x:c r="L37" t="str">
        <x:f>IF($E37="✗",IF(I37="Critical",25,IF(I37="High",15,IF(I37="Medium",8,IF(I37="Low",4,1)))),"")</x:f>
      </x:c>
    </x:row>
    <x:row r="38" ht="18" hidden="0" customHeight="1">
      <x:c r="B38" s="8" t="s">
        <x:v>93</x:v>
      </x:c>
      <x:c r="C38" s="9" t="s">
        <x:v>94</x:v>
      </x:c>
      <x:c r="D38" s="9" t="s">
        <x:v>95</x:v>
      </x:c>
      <x:c r="E38" s="10"/>
      <x:c r="F38" s="10"/>
      <x:c r="G38" s="10"/>
      <x:c r="H38" s="11"/>
      <x:c r="J38" s="71"/>
      <x:c r="L38" t="str">
        <x:f>IF($E38="✗",IF(I38="Critical",25,IF(I38="High",15,IF(I38="Medium",8,IF(I38="Low",4,1)))),"")</x:f>
      </x:c>
    </x:row>
    <x:row r="39" ht="18" hidden="0" customHeight="1">
      <x:c r="B39" s="7" t="s">
        <x:v>96</x:v>
      </x:c>
      <x:c r="C39" s="7"/>
      <x:c r="D39" s="7"/>
      <x:c r="E39" s="7"/>
      <x:c r="F39" s="7"/>
      <x:c r="G39" s="7"/>
      <x:c r="H39" s="7"/>
      <x:c r="J39" s="71"/>
      <x:c r="L39" t="str">
        <x:f>IF($E39="✗",IF(I39="Critical",25,IF(I39="High",15,IF(I39="Medium",8,IF(I39="Low",4,1)))),"")</x:f>
      </x:c>
    </x:row>
    <x:row r="40" ht="18" hidden="0" customHeight="1">
      <x:c r="B40" s="8" t="s">
        <x:v>97</x:v>
      </x:c>
      <x:c r="C40" s="9" t="s">
        <x:v>98</x:v>
      </x:c>
      <x:c r="D40" s="9" t="s">
        <x:v>99</x:v>
      </x:c>
      <x:c r="E40" s="10"/>
      <x:c r="F40" s="10"/>
      <x:c r="G40" s="10"/>
      <x:c r="H40" s="11"/>
      <x:c r="J40" s="71"/>
      <x:c r="L40" t="str">
        <x:f>IF($E40="✗",IF(I40="Critical",25,IF(I40="High",15,IF(I40="Medium",8,IF(I40="Low",4,1)))),"")</x:f>
      </x:c>
    </x:row>
    <x:row r="41" ht="18" hidden="0" customHeight="1">
      <x:c r="B41" s="12" t="s">
        <x:v>100</x:v>
      </x:c>
      <x:c r="C41" s="13" t="s">
        <x:v>101</x:v>
      </x:c>
      <x:c r="D41" s="13" t="s">
        <x:v>99</x:v>
      </x:c>
      <x:c r="E41" s="10"/>
      <x:c r="F41" s="10"/>
      <x:c r="G41" s="10"/>
      <x:c r="H41" s="11"/>
      <x:c r="J41" s="71"/>
      <x:c r="L41" t="str">
        <x:f>IF($E41="✗",IF(I41="Critical",25,IF(I41="High",15,IF(I41="Medium",8,IF(I41="Low",4,1)))),"")</x:f>
      </x:c>
    </x:row>
    <x:row r="42" ht="18" hidden="0" customHeight="1">
      <x:c r="B42" s="8" t="s">
        <x:v>102</x:v>
      </x:c>
      <x:c r="C42" s="9" t="s">
        <x:v>103</x:v>
      </x:c>
      <x:c r="D42" s="9" t="s">
        <x:v>104</x:v>
      </x:c>
      <x:c r="E42" s="10"/>
      <x:c r="F42" s="10"/>
      <x:c r="G42" s="10"/>
      <x:c r="H42" s="11"/>
      <x:c r="J42" s="71"/>
      <x:c r="L42" t="str">
        <x:f>IF($E42="✗",IF(I42="Critical",25,IF(I42="High",15,IF(I42="Medium",8,IF(I42="Low",4,1)))),"")</x:f>
      </x:c>
    </x:row>
    <x:row r="43" ht="18" hidden="0" customHeight="1">
      <x:c r="B43" s="12" t="s">
        <x:v>105</x:v>
      </x:c>
      <x:c r="C43" s="13" t="s">
        <x:v>106</x:v>
      </x:c>
      <x:c r="D43" s="13" t="s">
        <x:v>104</x:v>
      </x:c>
      <x:c r="E43" s="10"/>
      <x:c r="F43" s="10"/>
      <x:c r="G43" s="10"/>
      <x:c r="H43" s="11"/>
      <x:c r="J43" s="71"/>
      <x:c r="L43" t="str">
        <x:f>IF($E43="✗",IF(I43="Critical",25,IF(I43="High",15,IF(I43="Medium",8,IF(I43="Low",4,1)))),"")</x:f>
      </x:c>
    </x:row>
    <x:row r="44" ht="18" hidden="0" customHeight="1">
      <x:c r="B44" s="8" t="s">
        <x:v>107</x:v>
      </x:c>
      <x:c r="C44" s="9" t="s">
        <x:v>108</x:v>
      </x:c>
      <x:c r="D44" s="9" t="s">
        <x:v>109</x:v>
      </x:c>
      <x:c r="E44" s="10"/>
      <x:c r="F44" s="10"/>
      <x:c r="G44" s="10"/>
      <x:c r="H44" s="11"/>
      <x:c r="J44" s="71"/>
      <x:c r="L44" t="str">
        <x:f>IF($E44="✗",IF(I44="Critical",25,IF(I44="High",15,IF(I44="Medium",8,IF(I44="Low",4,1)))),"")</x:f>
      </x:c>
    </x:row>
    <x:row r="45" ht="18" hidden="0" customHeight="1">
      <x:c r="B45" s="12" t="s">
        <x:v>110</x:v>
      </x:c>
      <x:c r="C45" s="13" t="s">
        <x:v>111</x:v>
      </x:c>
      <x:c r="D45" s="13" t="s">
        <x:v>112</x:v>
      </x:c>
      <x:c r="E45" s="10"/>
      <x:c r="F45" s="10"/>
      <x:c r="G45" s="10"/>
      <x:c r="H45" s="11"/>
      <x:c r="J45" s="71"/>
      <x:c r="L45" t="str">
        <x:f>IF($E45="✗",IF(I45="Critical",25,IF(I45="High",15,IF(I45="Medium",8,IF(I45="Low",4,1)))),"")</x:f>
      </x:c>
    </x:row>
    <x:row r="46" ht="18" hidden="0" customHeight="1">
      <x:c r="B46" s="7" t="s">
        <x:v>113</x:v>
      </x:c>
      <x:c r="C46" s="7"/>
      <x:c r="D46" s="7"/>
      <x:c r="E46" s="7"/>
      <x:c r="F46" s="7"/>
      <x:c r="G46" s="7"/>
      <x:c r="H46" s="7"/>
      <x:c r="J46" s="71"/>
      <x:c r="L46" t="str">
        <x:f>IF($E46="✗",IF(I46="Critical",25,IF(I46="High",15,IF(I46="Medium",8,IF(I46="Low",4,1)))),"")</x:f>
      </x:c>
    </x:row>
    <x:row r="47" ht="18" hidden="0" customHeight="1">
      <x:c r="B47" s="8" t="s">
        <x:v>114</x:v>
      </x:c>
      <x:c r="C47" s="9" t="s">
        <x:v>115</x:v>
      </x:c>
      <x:c r="D47" s="9" t="s">
        <x:v>116</x:v>
      </x:c>
      <x:c r="E47" s="10"/>
      <x:c r="F47" s="10"/>
      <x:c r="G47" s="10"/>
      <x:c r="H47" s="11"/>
      <x:c r="J47" s="71"/>
      <x:c r="L47" t="str">
        <x:f>IF($E47="✗",IF(I47="Critical",25,IF(I47="High",15,IF(I47="Medium",8,IF(I47="Low",4,1)))),"")</x:f>
      </x:c>
    </x:row>
    <x:row r="48" ht="18" hidden="0" customHeight="1">
      <x:c r="B48" s="12" t="s">
        <x:v>117</x:v>
      </x:c>
      <x:c r="C48" s="13" t="s">
        <x:v>118</x:v>
      </x:c>
      <x:c r="D48" s="13" t="s">
        <x:v>119</x:v>
      </x:c>
      <x:c r="E48" s="10"/>
      <x:c r="F48" s="10"/>
      <x:c r="G48" s="10"/>
      <x:c r="H48" s="11"/>
      <x:c r="J48" s="71"/>
      <x:c r="L48" t="str">
        <x:f>IF($E48="✗",IF(I48="Critical",25,IF(I48="High",15,IF(I48="Medium",8,IF(I48="Low",4,1)))),"")</x:f>
      </x:c>
    </x:row>
    <x:row r="49" ht="18" hidden="0" customHeight="1">
      <x:c r="B49" s="8" t="s">
        <x:v>120</x:v>
      </x:c>
      <x:c r="C49" s="9" t="s">
        <x:v>121</x:v>
      </x:c>
      <x:c r="D49" s="9" t="s">
        <x:v>122</x:v>
      </x:c>
      <x:c r="E49" s="10"/>
      <x:c r="F49" s="10"/>
      <x:c r="G49" s="10"/>
      <x:c r="H49" s="11"/>
      <x:c r="J49" s="71"/>
      <x:c r="L49" t="str">
        <x:f>IF($E49="✗",IF(I49="Critical",25,IF(I49="High",15,IF(I49="Medium",8,IF(I49="Low",4,1)))),"")</x:f>
      </x:c>
    </x:row>
    <x:row r="50" ht="18" hidden="0" customHeight="1">
      <x:c r="B50" s="12" t="s">
        <x:v>123</x:v>
      </x:c>
      <x:c r="C50" s="13" t="s">
        <x:v>124</x:v>
      </x:c>
      <x:c r="D50" s="13" t="s">
        <x:v>125</x:v>
      </x:c>
      <x:c r="E50" s="10"/>
      <x:c r="F50" s="10"/>
      <x:c r="G50" s="10"/>
      <x:c r="H50" s="11"/>
      <x:c r="J50" s="71"/>
      <x:c r="L50" t="str">
        <x:f>IF($E50="✗",IF(I50="Critical",25,IF(I50="High",15,IF(I50="Medium",8,IF(I50="Low",4,1)))),"")</x:f>
      </x:c>
    </x:row>
    <x:row r="51" ht="18" hidden="0" customHeight="1">
      <x:c r="B51" s="8" t="s">
        <x:v>126</x:v>
      </x:c>
      <x:c r="C51" s="9" t="s">
        <x:v>127</x:v>
      </x:c>
      <x:c r="D51" s="9" t="s">
        <x:v>128</x:v>
      </x:c>
      <x:c r="E51" s="10"/>
      <x:c r="F51" s="10"/>
      <x:c r="G51" s="10"/>
      <x:c r="H51" s="11"/>
      <x:c r="J51" s="71"/>
      <x:c r="L51" t="str">
        <x:f>IF($E51="✗",IF(I51="Critical",25,IF(I51="High",15,IF(I51="Medium",8,IF(I51="Low",4,1)))),"")</x:f>
      </x:c>
    </x:row>
    <x:row r="52" ht="9.75" hidden="0" customHeight="1">
      <x:c r="J52" s="71"/>
      <x:c r="L52" t="str">
        <x:f>IF($E52="✗",IF(I52="Critical",25,IF(I52="High",15,IF(I52="Medium",8,IF(I52="Low",4,1)))),"")</x:f>
      </x:c>
    </x:row>
    <x:row r="53" ht="32.79999923706055" hidden="0">
      <x:c r="B53" s="6" t="s">
        <x:v>129</x:v>
      </x:c>
      <x:c r="D53" s="6" t="s">
        <x:v>130</x:v>
      </x:c>
      <x:c r="F53" s="6" t="s">
        <x:v>131</x:v>
      </x:c>
      <x:c r="H53" s="6" t="s">
        <x:v>132</x:v>
      </x:c>
      <x:c r="J53" s="71"/>
      <x:c r="L53" t="str">
        <x:f>IF($E53="✗",IF(I53="Critical",25,IF(I53="High",15,IF(I53="Medium",8,IF(I53="Low",4,1)))),"")</x:f>
      </x:c>
    </x:row>
    <x:row r="54" ht="27.75" hidden="0" customHeight="1">
      <x:c r="B54" s="5"/>
      <x:c r="C54" s="5"/>
      <x:c r="D54" s="5"/>
      <x:c r="E54" s="5"/>
      <x:c r="F54" s="5"/>
      <x:c r="G54" s="5"/>
      <x:c r="H54" s="5"/>
      <x:c r="J54" s="71"/>
      <x:c r="L54" t="str">
        <x:f>IF($E54="✗",IF(I54="Critical",25,IF(I54="High",15,IF(I54="Medium",8,IF(I54="Low",4,1)))),"")</x:f>
      </x:c>
    </x:row>
    <x:row r="55">
      <x:c r="J55" s="71"/>
      <x:c r="L55" t="str">
        <x:f>IF($E55="✗",IF(I55="Critical",25,IF(I55="High",15,IF(I55="Medium",8,IF(I55="Low",4,1)))),"")</x:f>
      </x:c>
    </x:row>
    <x:row r="56">
      <x:c r="J56" s="71"/>
      <x:c r="L56" t="str">
        <x:f>IF($E56="✗",IF(I56="Critical",25,IF(I56="High",15,IF(I56="Medium",8,IF(I56="Low",4,1)))),"")</x:f>
      </x:c>
    </x:row>
    <x:row r="57">
      <x:c r="J57" s="71"/>
      <x:c r="L57" t="str">
        <x:f>IF($E57="✗",IF(I57="Critical",25,IF(I57="High",15,IF(I57="Medium",8,IF(I57="Low",4,1)))),"")</x:f>
      </x:c>
    </x:row>
    <x:row r="58">
      <x:c r="J58" s="71"/>
      <x:c r="L58" t="str">
        <x:f>IF($E58="✗",IF(I58="Critical",25,IF(I58="High",15,IF(I58="Medium",8,IF(I58="Low",4,1)))),"")</x:f>
      </x:c>
    </x:row>
    <x:row r="59">
      <x:c r="J59" s="71"/>
      <x:c r="L59" t="str">
        <x:f>IF($E59="✗",IF(I59="Critical",25,IF(I59="High",15,IF(I59="Medium",8,IF(I59="Low",4,1)))),"")</x:f>
      </x:c>
    </x:row>
    <x:row r="60">
      <x:c r="J60" s="71"/>
      <x:c r="L60" t="str">
        <x:f>IF($E60="✗",IF(I60="Critical",25,IF(I60="High",15,IF(I60="Medium",8,IF(I60="Low",4,1)))),"")</x:f>
      </x:c>
    </x:row>
    <x:row r="61">
      <x:c r="J61" s="71"/>
      <x:c r="L61" t="str">
        <x:f>IF($E61="✗",IF(I61="Critical",25,IF(I61="High",15,IF(I61="Medium",8,IF(I61="Low",4,1)))),"")</x:f>
      </x:c>
    </x:row>
    <x:row r="62">
      <x:c r="J62" s="71"/>
      <x:c r="L62" t="str">
        <x:f>IF($E62="✗",IF(I62="Critical",25,IF(I62="High",15,IF(I62="Medium",8,IF(I62="Low",4,1)))),"")</x:f>
      </x:c>
    </x:row>
    <x:row r="63">
      <x:c r="J63" s="71"/>
      <x:c r="L63" t="str">
        <x:f>IF($E63="✗",IF(I63="Critical",25,IF(I63="High",15,IF(I63="Medium",8,IF(I63="Low",4,1)))),"")</x:f>
      </x:c>
    </x:row>
    <x:row r="64">
      <x:c r="J64" s="71"/>
      <x:c r="L64" t="str">
        <x:f>IF($E64="✗",IF(I64="Critical",25,IF(I64="High",15,IF(I64="Medium",8,IF(I64="Low",4,1)))),"")</x:f>
      </x:c>
    </x:row>
    <x:row r="65">
      <x:c r="J65" s="71"/>
      <x:c r="L65" t="str">
        <x:f>IF($E65="✗",IF(I65="Critical",25,IF(I65="High",15,IF(I65="Medium",8,IF(I65="Low",4,1)))),"")</x:f>
      </x:c>
    </x:row>
  </x:sheetData>
  <x:mergeCells>
    <x:mergeCell ref="B2:H2"/>
    <x:mergeCell ref="B3:G3"/>
    <x:mergeCell ref="B8:H8"/>
    <x:mergeCell ref="B17:H17"/>
    <x:mergeCell ref="B22:H22"/>
    <x:mergeCell ref="B28:H28"/>
    <x:mergeCell ref="B33:H33"/>
    <x:mergeCell ref="B39:H39"/>
    <x:mergeCell ref="B46:H46"/>
  </x:mergeCells>
  <x:conditionalFormatting sqref="K8:K65">
    <x:cfRule type="cellIs" dxfId="5" priority="1">
      <x:formula>"Complete"</x:formula>
    </x:cfRule>
    <x:cfRule type="cellIs" dxfId="6" priority="2">
      <x:formula>"Verified"</x:formula>
    </x:cfRule>
    <x:cfRule type="cellIs" dxfId="7" priority="3">
      <x:formula>"Overdue"</x:formula>
    </x:cfRule>
    <x:cfRule type="cellIs" dxfId="8" priority="4">
      <x:formula>"Open"</x:formula>
    </x:cfRule>
  </x:conditionalFormatting>
  <x:conditionalFormatting sqref="L8:L65">
    <x:cfRule type="cellIs" dxfId="9" priority="5" operator="greaterThanOrEqual">
      <x:formula>15</x:formula>
    </x:cfRule>
  </x:conditionalFormatting>
  <x:dataValidations count="2">
    <x:dataValidation type="list" sqref="I8:I65">
      <x:formula1>"Critical,High,Medium,Low,Monitor"</x:formula1>
    </x:dataValidation>
    <x:dataValidation type="list" sqref="K8:K65">
      <x:formula1>"Open,In Progress,Complete,Overdue,Deferred,Verified"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0" hidden="0" customWidth="1"/>
  </x:cols>
  <x:sheetData>
    <x:row r="1" ht="30" customHeight="1">
      <x:c r="A1" s="31" t="str">
        <x:v>Gearbox Inspection Checklist — PREMIUM UPGRADE GUIDE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2" customHeight="1">
      <x:c r="A2" s="38" t="str">
        <x:v>Original template preserved. Added premium sheets turn the file into a semi-automated maintenance management tool.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4" ht="26" customHeight="1">
      <x:c r="A4" s="46" t="str">
        <x:v>Step</x:v>
      </x:c>
      <x:c r="B4" s="46" t="str">
        <x:v>What to do</x:v>
      </x:c>
      <x:c r="C4" s="46" t="str">
        <x:v>Outcome</x:v>
      </x:c>
    </x:row>
    <x:row r="5">
      <x:c r="A5" s="54" t="str">
        <x:v>1</x:v>
      </x:c>
      <x:c r="B5" s="54" t="str">
        <x:v>Enter field data</x:v>
      </x:c>
      <x:c r="C5" s="54" t="str">
        <x:v>Complete the original inspection/report sheet. Yellow cells and result columns are input fields.</x:v>
      </x:c>
    </x:row>
    <x:row r="6">
      <x:c r="A6" s="54" t="str">
        <x:v>2</x:v>
      </x:c>
      <x:c r="B6" s="54" t="str">
        <x:v>Use dropdowns</x:v>
      </x:c>
      <x:c r="C6" s="54" t="str">
        <x:v>Use standardised results, priority, status, criticality and RCA decision fields to keep data clean.</x:v>
      </x:c>
    </x:row>
    <x:row r="7">
      <x:c r="A7" s="54" t="str">
        <x:v>3</x:v>
      </x:c>
      <x:c r="B7" s="54" t="str">
        <x:v>Review dashboard</x:v>
      </x:c>
      <x:c r="C7" s="54" t="str">
        <x:v>Open the dashboard/summary sheet to view compliance, open actions, overdue actions and management risk indicators.</x:v>
      </x:c>
    </x:row>
    <x:row r="8">
      <x:c r="A8" s="54" t="str">
        <x:v>4</x:v>
      </x:c>
      <x:c r="B8" s="54" t="str">
        <x:v>Close actions</x:v>
      </x:c>
      <x:c r="C8" s="54" t="str">
        <x:v>Transfer defects/recommendations to the Action Tracker with owner, due date, status and verification evidence.</x:v>
      </x:c>
    </x:row>
    <x:row r="9">
      <x:c r="A9" s="54" t="str">
        <x:v>5</x:v>
      </x:c>
      <x:c r="B9" s="54" t="str">
        <x:v>Issue report</x:v>
      </x:c>
      <x:c r="C9" s="54" t="str">
        <x:v>Use the original form for site records and the added registers for meetings, audits and maintenance planning.</x:v>
      </x:c>
    </x:row>
    <x:row r="12">
      <x:c r="A12" s="58" t="str">
        <x:v>Upgrades Implemented</x:v>
      </x:c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</x:row>
    <x:row r="13">
      <x:c r="A13" s="62" t="str">
        <x:v>• Priority, due date, action status, risk score and evidence reference columns added.</x:v>
      </x:c>
      <x:c r="B13" s="62" t="str"/>
      <x:c r="C13" s="62" t="str"/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</x:row>
    <x:row r="14">
      <x:c r="A14" s="62" t="str">
        <x:v>• Oil analysis log added for viscosity, water, particle count, ferrous debris and lab sample tracking.</x:v>
      </x:c>
      <x:c r="B14" s="62" t="str"/>
      <x:c r="C14" s="62" t="str"/>
      <x:c r="D14" s="62" t="str"/>
      <x:c r="E14" s="62" t="str"/>
      <x:c r="F14" s="62" t="str"/>
      <x:c r="G14" s="62" t="str"/>
      <x:c r="H14" s="62" t="str"/>
      <x:c r="I14" s="62" t="str"/>
      <x:c r="J14" s="62" t="str"/>
      <x:c r="K14" s="62" t="str"/>
    </x:row>
    <x:row r="15">
      <x:c r="A15" s="62" t="str">
        <x:v>• Temperature/vibration trend log added for input/output bearings, oil sump and axial/horizontal/vertical readings.</x:v>
      </x:c>
      <x:c r="B15" s="62" t="str"/>
      <x:c r="C15" s="62" t="str"/>
      <x:c r="D15" s="62" t="str"/>
      <x:c r="E15" s="62" t="str"/>
      <x:c r="F15" s="62" t="str"/>
      <x:c r="G15" s="62" t="str"/>
      <x:c r="H15" s="62" t="str"/>
      <x:c r="I15" s="62" t="str"/>
      <x:c r="J15" s="62" t="str"/>
      <x:c r="K15" s="62" t="str"/>
    </x:row>
    <x:row r="16">
      <x:c r="A16" s="62" t="str">
        <x:v>• Gear defect classification guide added for pitting, scuffing, scoring, spalling and backlash issues.</x:v>
      </x:c>
      <x:c r="B16" s="62" t="str"/>
      <x:c r="C16" s="62" t="str"/>
      <x:c r="D16" s="62" t="str"/>
      <x:c r="E16" s="62" t="str"/>
      <x:c r="F16" s="62" t="str"/>
      <x:c r="G16" s="62" t="str"/>
      <x:c r="H16" s="62" t="str"/>
      <x:c r="I16" s="62" t="str"/>
      <x:c r="J16" s="62" t="str"/>
      <x:c r="K16" s="62" t="str"/>
    </x:row>
    <x:row r="17">
      <x:c r="A17" s="62" t="str">
        <x:v>• Dashboard added for compliance, defects, open actions and overdue actions.</x:v>
      </x:c>
      <x:c r="B17" s="62" t="str"/>
      <x:c r="C17" s="62" t="str"/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</x:row>
  </x:sheetData>
  <x:mergeCells>
    <x:mergeCell ref="A1:K1"/>
    <x:mergeCell ref="A2:K2"/>
    <x:mergeCell ref="A13:K13"/>
    <x:mergeCell ref="A14:K14"/>
    <x:mergeCell ref="A15:K15"/>
    <x:mergeCell ref="A16:K16"/>
    <x:mergeCell ref="A17:K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9.5" hidden="0" customWidth="1"/>
    <x:col min="2" max="2" width="6.880000114440918" hidden="0" customWidth="1"/>
    <x:col min="3" max="3" width="6.630000114440918" hidden="0" customWidth="1"/>
    <x:col min="4" max="4" width="6.75" hidden="0" customWidth="1"/>
    <x:col min="5" max="5" width="12.630000114440918" hidden="0" customWidth="1"/>
    <x:col min="6" max="6" width="10.5" hidden="0" customWidth="1"/>
    <x:col min="7" max="7" width="4.630000114440918" hidden="0" customWidth="1"/>
    <x:col min="8" max="8" width="11" hidden="0" customWidth="1"/>
  </x:cols>
  <x:sheetData>
    <x:row r="1" ht="30" customHeight="1">
      <x:c r="A1" s="31" t="str">
        <x:v>CONTROL LISTS / DROPDOWNS</x:v>
      </x:c>
      <x:c r="B1" s="31"/>
      <x:c r="C1" s="31"/>
      <x:c r="D1" s="31"/>
      <x:c r="E1" s="31"/>
      <x:c r="F1" s="31"/>
      <x:c r="G1" s="31"/>
      <x:c r="H1" s="31"/>
    </x:row>
    <x:row r="2" ht="32" customHeight="1">
      <x:c r="A2" s="38" t="str">
        <x:v>Edit these lists if your site uses different status, priority, failure mode or criticality labels.</x:v>
      </x:c>
      <x:c r="B2" s="38"/>
      <x:c r="C2" s="38"/>
      <x:c r="D2" s="38"/>
      <x:c r="E2" s="38"/>
      <x:c r="F2" s="38"/>
      <x:c r="G2" s="38"/>
      <x:c r="H2" s="38"/>
    </x:row>
    <x:row r="4">
      <x:c r="A4" s="65" t="str">
        <x:v>Status</x:v>
      </x:c>
      <x:c r="B4" s="65" t="str">
        <x:v>Priority</x:v>
      </x:c>
      <x:c r="C4" s="65" t="str">
        <x:v>Result</x:v>
      </x:c>
      <x:c r="D4" s="65" t="str">
        <x:v>Severity</x:v>
      </x:c>
      <x:c r="E4" s="65" t="str">
        <x:v>Failure Mode</x:v>
      </x:c>
      <x:c r="F4" s="65" t="str">
        <x:v>Criticality</x:v>
      </x:c>
      <x:c r="G4" s="65" t="str">
        <x:v>Shift</x:v>
      </x:c>
      <x:c r="H4" s="65" t="str">
        <x:v>RCA Required</x:v>
      </x:c>
    </x:row>
    <x:row r="5">
      <x:c r="A5" t="str">
        <x:v>Open</x:v>
      </x:c>
      <x:c r="B5" t="str">
        <x:v>Critical</x:v>
      </x:c>
      <x:c r="C5" t="str">
        <x:v>✓</x:v>
      </x:c>
      <x:c r="D5" t="n">
        <x:v>1</x:v>
      </x:c>
      <x:c r="E5" t="str">
        <x:v>Mechanical</x:v>
      </x:c>
      <x:c r="F5" t="str">
        <x:v>A - Critical</x:v>
      </x:c>
      <x:c r="G5" t="str">
        <x:v>Day</x:v>
      </x:c>
      <x:c r="H5" t="str">
        <x:v>Yes</x:v>
      </x:c>
    </x:row>
    <x:row r="6">
      <x:c r="A6" t="str">
        <x:v>In Progress</x:v>
      </x:c>
      <x:c r="B6" t="str">
        <x:v>High</x:v>
      </x:c>
      <x:c r="C6" t="str">
        <x:v>✗</x:v>
      </x:c>
      <x:c r="D6" t="n">
        <x:v>2</x:v>
      </x:c>
      <x:c r="E6" t="str">
        <x:v>Electrical</x:v>
      </x:c>
      <x:c r="F6" t="str">
        <x:v>B - Important</x:v>
      </x:c>
      <x:c r="G6" t="str">
        <x:v>Night</x:v>
      </x:c>
      <x:c r="H6" t="str">
        <x:v>No</x:v>
      </x:c>
    </x:row>
    <x:row r="7">
      <x:c r="A7" t="str">
        <x:v>Complete</x:v>
      </x:c>
      <x:c r="B7" t="str">
        <x:v>Medium</x:v>
      </x:c>
      <x:c r="C7" t="str">
        <x:v>N/A</x:v>
      </x:c>
      <x:c r="D7" t="n">
        <x:v>3</x:v>
      </x:c>
      <x:c r="E7" t="str">
        <x:v>Lubrication</x:v>
      </x:c>
      <x:c r="F7" t="str">
        <x:v>C - General</x:v>
      </x:c>
      <x:c r="G7" t="str">
        <x:v>A</x:v>
      </x:c>
      <x:c r="H7" t="str">
        <x:v>TBC</x:v>
      </x:c>
    </x:row>
    <x:row r="8">
      <x:c r="A8" t="str">
        <x:v>Overdue</x:v>
      </x:c>
      <x:c r="B8" t="str">
        <x:v>Low</x:v>
      </x:c>
      <x:c r="C8" t="str">
        <x:v>Monitor</x:v>
      </x:c>
      <x:c r="D8" t="n">
        <x:v>4</x:v>
      </x:c>
      <x:c r="E8" t="str">
        <x:v>Hydraulic</x:v>
      </x:c>
      <x:c r="G8" t="str">
        <x:v>B</x:v>
      </x:c>
    </x:row>
    <x:row r="9">
      <x:c r="A9" t="str">
        <x:v>Deferred</x:v>
      </x:c>
      <x:c r="B9" t="str">
        <x:v>Monitor</x:v>
      </x:c>
      <x:c r="D9" t="n">
        <x:v>5</x:v>
      </x:c>
      <x:c r="E9" t="str">
        <x:v>Pneumatic</x:v>
      </x:c>
      <x:c r="G9" t="str">
        <x:v>C</x:v>
      </x:c>
    </x:row>
    <x:row r="10">
      <x:c r="A10" t="str">
        <x:v>Cancelled</x:v>
      </x:c>
      <x:c r="E10" t="str">
        <x:v>Instrumentation</x:v>
      </x:c>
      <x:c r="G10" t="str">
        <x:v>D</x:v>
      </x:c>
    </x:row>
    <x:row r="11">
      <x:c r="A11" t="str">
        <x:v>Verified</x:v>
      </x:c>
      <x:c r="E11" t="str">
        <x:v>Process</x:v>
      </x:c>
    </x:row>
    <x:row r="12">
      <x:c r="E12" t="str">
        <x:v>Operator</x:v>
      </x:c>
    </x:row>
    <x:row r="13">
      <x:c r="E13" t="str">
        <x:v>Design</x:v>
      </x:c>
    </x:row>
    <x:row r="14">
      <x:c r="E14" t="str">
        <x:v>Unknown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6" hidden="0" customWidth="1"/>
    <x:col min="5" max="5" width="13" hidden="0" customWidth="1"/>
    <x:col min="6" max="6" width="18" hidden="0" customWidth="1"/>
    <x:col min="7" max="7" width="13" hidden="0" customWidth="1"/>
    <x:col min="8" max="8" width="14" hidden="0" customWidth="1"/>
    <x:col min="9" max="9" width="13" hidden="0" customWidth="1"/>
    <x:col min="10" max="10" width="32" hidden="0" customWidth="1"/>
    <x:col min="11" max="11" width="12" hidden="0" customWidth="1"/>
  </x:cols>
  <x:sheetData>
    <x:row r="1" ht="30" customHeight="1">
      <x:c r="A1" s="31" t="str">
        <x:v>ACTION TRACKER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2" customHeight="1">
      <x:c r="A2" s="38" t="str">
        <x:v>Central register for defects, recommendations, close-out dates, and verification.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4" ht="26" customHeight="1">
      <x:c r="A4" s="46" t="str">
        <x:v>Source/Sheet</x:v>
      </x:c>
      <x:c r="B4" s="46" t="str">
        <x:v>Asset / Equipment</x:v>
      </x:c>
      <x:c r="C4" s="46" t="str">
        <x:v>Finding / Defect</x:v>
      </x:c>
      <x:c r="D4" s="46" t="str">
        <x:v>Risk / Impact</x:v>
      </x:c>
      <x:c r="E4" s="46" t="str">
        <x:v>Priority</x:v>
      </x:c>
      <x:c r="F4" s="46" t="str">
        <x:v>Responsible Person</x:v>
      </x:c>
      <x:c r="G4" s="46" t="str">
        <x:v>Due Date</x:v>
      </x:c>
      <x:c r="H4" s="46" t="str">
        <x:v>Status</x:v>
      </x:c>
      <x:c r="I4" s="46" t="str">
        <x:v>Close-out Date</x:v>
      </x:c>
      <x:c r="J4" s="46" t="str">
        <x:v>Verification / Evidence</x:v>
      </x:c>
      <x:c r="K4" s="46" t="str">
        <x:v>Days Overdue</x:v>
      </x:c>
    </x:row>
    <x:row r="5">
      <x:c r="A5" s="54" t="str"/>
      <x:c r="B5" s="54" t="str"/>
      <x:c r="C5" s="54" t="str"/>
      <x:c r="D5" s="54" t="str"/>
      <x:c r="E5" s="54" t="str"/>
      <x:c r="F5" s="54" t="str"/>
      <x:c r="G5" s="67" t="str"/>
      <x:c r="H5" s="54" t="str">
        <x:v>Open</x:v>
      </x:c>
      <x:c r="I5" s="67" t="str"/>
      <x:c r="J5" s="54" t="str"/>
      <x:c r="K5" s="54" t="n">
        <x:f>IF(AND(G5&lt;&gt;"",H5&lt;&gt;"Complete",H5&lt;&gt;"Verified"),MAX(0,TODAY()-G5),0)</x:f>
        <x:v>0</x:v>
      </x:c>
    </x:row>
    <x:row r="6">
      <x:c r="A6" s="54" t="str"/>
      <x:c r="B6" s="54" t="str"/>
      <x:c r="C6" s="54" t="str"/>
      <x:c r="D6" s="54" t="str"/>
      <x:c r="E6" s="54" t="str"/>
      <x:c r="F6" s="54" t="str"/>
      <x:c r="G6" s="67" t="str"/>
      <x:c r="H6" s="54" t="str">
        <x:v>Open</x:v>
      </x:c>
      <x:c r="I6" s="67" t="str"/>
      <x:c r="J6" s="54" t="str"/>
      <x:c r="K6" s="54" t="n">
        <x:f>IF(AND(G6&lt;&gt;"",H6&lt;&gt;"Complete",H6&lt;&gt;"Verified"),MAX(0,TODAY()-G6),0)</x:f>
        <x:v>0</x:v>
      </x:c>
    </x:row>
    <x:row r="7">
      <x:c r="A7" s="54" t="str"/>
      <x:c r="B7" s="54" t="str"/>
      <x:c r="C7" s="54" t="str"/>
      <x:c r="D7" s="54" t="str"/>
      <x:c r="E7" s="54" t="str"/>
      <x:c r="F7" s="54" t="str"/>
      <x:c r="G7" s="67" t="str"/>
      <x:c r="H7" s="54" t="str">
        <x:v>Open</x:v>
      </x:c>
      <x:c r="I7" s="67" t="str"/>
      <x:c r="J7" s="54" t="str"/>
      <x:c r="K7" s="54" t="n">
        <x:f>IF(AND(G7&lt;&gt;"",H7&lt;&gt;"Complete",H7&lt;&gt;"Verified"),MAX(0,TODAY()-G7),0)</x:f>
        <x:v>0</x:v>
      </x:c>
    </x:row>
    <x:row r="8">
      <x:c r="A8" s="54" t="str"/>
      <x:c r="B8" s="54" t="str"/>
      <x:c r="C8" s="54" t="str"/>
      <x:c r="D8" s="54" t="str"/>
      <x:c r="E8" s="54" t="str"/>
      <x:c r="F8" s="54" t="str"/>
      <x:c r="G8" s="67" t="str"/>
      <x:c r="H8" s="54" t="str">
        <x:v>Open</x:v>
      </x:c>
      <x:c r="I8" s="67" t="str"/>
      <x:c r="J8" s="54" t="str"/>
      <x:c r="K8" s="54" t="n">
        <x:f>IF(AND(G8&lt;&gt;"",H8&lt;&gt;"Complete",H8&lt;&gt;"Verified"),MAX(0,TODAY()-G8),0)</x:f>
        <x:v>0</x:v>
      </x:c>
    </x:row>
    <x:row r="9">
      <x:c r="A9" s="54" t="str"/>
      <x:c r="B9" s="54" t="str"/>
      <x:c r="C9" s="54" t="str"/>
      <x:c r="D9" s="54" t="str"/>
      <x:c r="E9" s="54" t="str"/>
      <x:c r="F9" s="54" t="str"/>
      <x:c r="G9" s="67" t="str"/>
      <x:c r="H9" s="54" t="str">
        <x:v>Open</x:v>
      </x:c>
      <x:c r="I9" s="67" t="str"/>
      <x:c r="J9" s="54" t="str"/>
      <x:c r="K9" s="54" t="n">
        <x:f>IF(AND(G9&lt;&gt;"",H9&lt;&gt;"Complete",H9&lt;&gt;"Verified"),MAX(0,TODAY()-G9),0)</x:f>
        <x:v>0</x:v>
      </x:c>
    </x:row>
    <x:row r="10">
      <x:c r="A10" s="54" t="str"/>
      <x:c r="B10" s="54" t="str"/>
      <x:c r="C10" s="54" t="str"/>
      <x:c r="D10" s="54" t="str"/>
      <x:c r="E10" s="54" t="str"/>
      <x:c r="F10" s="54" t="str"/>
      <x:c r="G10" s="67" t="str"/>
      <x:c r="H10" s="54" t="str">
        <x:v>Open</x:v>
      </x:c>
      <x:c r="I10" s="67" t="str"/>
      <x:c r="J10" s="54" t="str"/>
      <x:c r="K10" s="54" t="n">
        <x:f>IF(AND(G10&lt;&gt;"",H10&lt;&gt;"Complete",H10&lt;&gt;"Verified"),MAX(0,TODAY()-G10),0)</x:f>
        <x:v>0</x:v>
      </x:c>
    </x:row>
    <x:row r="11">
      <x:c r="A11" s="54" t="str"/>
      <x:c r="B11" s="54" t="str"/>
      <x:c r="C11" s="54" t="str"/>
      <x:c r="D11" s="54" t="str"/>
      <x:c r="E11" s="54" t="str"/>
      <x:c r="F11" s="54" t="str"/>
      <x:c r="G11" s="67" t="str"/>
      <x:c r="H11" s="54" t="str">
        <x:v>Open</x:v>
      </x:c>
      <x:c r="I11" s="67" t="str"/>
      <x:c r="J11" s="54" t="str"/>
      <x:c r="K11" s="54" t="n">
        <x:f>IF(AND(G11&lt;&gt;"",H11&lt;&gt;"Complete",H11&lt;&gt;"Verified"),MAX(0,TODAY()-G11),0)</x:f>
        <x:v>0</x:v>
      </x:c>
    </x:row>
    <x:row r="12">
      <x:c r="A12" s="54" t="str"/>
      <x:c r="B12" s="54" t="str"/>
      <x:c r="C12" s="54" t="str"/>
      <x:c r="D12" s="54" t="str"/>
      <x:c r="E12" s="54" t="str"/>
      <x:c r="F12" s="54" t="str"/>
      <x:c r="G12" s="67" t="str"/>
      <x:c r="H12" s="54" t="str">
        <x:v>Open</x:v>
      </x:c>
      <x:c r="I12" s="67" t="str"/>
      <x:c r="J12" s="54" t="str"/>
      <x:c r="K12" s="54" t="n">
        <x:f>IF(AND(G12&lt;&gt;"",H12&lt;&gt;"Complete",H12&lt;&gt;"Verified"),MAX(0,TODAY()-G12),0)</x:f>
        <x:v>0</x:v>
      </x:c>
    </x:row>
    <x:row r="13">
      <x:c r="A13" s="54" t="str"/>
      <x:c r="B13" s="54" t="str"/>
      <x:c r="C13" s="54" t="str"/>
      <x:c r="D13" s="54" t="str"/>
      <x:c r="E13" s="54" t="str"/>
      <x:c r="F13" s="54" t="str"/>
      <x:c r="G13" s="67" t="str"/>
      <x:c r="H13" s="54" t="str">
        <x:v>Open</x:v>
      </x:c>
      <x:c r="I13" s="67" t="str"/>
      <x:c r="J13" s="54" t="str"/>
      <x:c r="K13" s="54" t="n">
        <x:f>IF(AND(G13&lt;&gt;"",H13&lt;&gt;"Complete",H13&lt;&gt;"Verified"),MAX(0,TODAY()-G13),0)</x:f>
        <x:v>0</x:v>
      </x:c>
    </x:row>
    <x:row r="14">
      <x:c r="A14" s="54" t="str"/>
      <x:c r="B14" s="54" t="str"/>
      <x:c r="C14" s="54" t="str"/>
      <x:c r="D14" s="54" t="str"/>
      <x:c r="E14" s="54" t="str"/>
      <x:c r="F14" s="54" t="str"/>
      <x:c r="G14" s="67" t="str"/>
      <x:c r="H14" s="54" t="str">
        <x:v>Open</x:v>
      </x:c>
      <x:c r="I14" s="67" t="str"/>
      <x:c r="J14" s="54" t="str"/>
      <x:c r="K14" s="54" t="n">
        <x:f>IF(AND(G14&lt;&gt;"",H14&lt;&gt;"Complete",H14&lt;&gt;"Verified"),MAX(0,TODAY()-G14),0)</x:f>
        <x:v>0</x:v>
      </x:c>
    </x:row>
    <x:row r="15">
      <x:c r="A15" s="54" t="str"/>
      <x:c r="B15" s="54" t="str"/>
      <x:c r="C15" s="54" t="str"/>
      <x:c r="D15" s="54" t="str"/>
      <x:c r="E15" s="54" t="str"/>
      <x:c r="F15" s="54" t="str"/>
      <x:c r="G15" s="67" t="str"/>
      <x:c r="H15" s="54" t="str">
        <x:v>Open</x:v>
      </x:c>
      <x:c r="I15" s="67" t="str"/>
      <x:c r="J15" s="54" t="str"/>
      <x:c r="K15" s="54" t="n">
        <x:f>IF(AND(G15&lt;&gt;"",H15&lt;&gt;"Complete",H15&lt;&gt;"Verified"),MAX(0,TODAY()-G15),0)</x:f>
        <x:v>0</x:v>
      </x:c>
    </x:row>
    <x:row r="16">
      <x:c r="A16" s="54" t="str"/>
      <x:c r="B16" s="54" t="str"/>
      <x:c r="C16" s="54" t="str"/>
      <x:c r="D16" s="54" t="str"/>
      <x:c r="E16" s="54" t="str"/>
      <x:c r="F16" s="54" t="str"/>
      <x:c r="G16" s="67" t="str"/>
      <x:c r="H16" s="54" t="str">
        <x:v>Open</x:v>
      </x:c>
      <x:c r="I16" s="67" t="str"/>
      <x:c r="J16" s="54" t="str"/>
      <x:c r="K16" s="54" t="n">
        <x:f>IF(AND(G16&lt;&gt;"",H16&lt;&gt;"Complete",H16&lt;&gt;"Verified"),MAX(0,TODAY()-G16),0)</x:f>
        <x:v>0</x:v>
      </x:c>
    </x:row>
    <x:row r="17">
      <x:c r="A17" s="54" t="str"/>
      <x:c r="B17" s="54" t="str"/>
      <x:c r="C17" s="54" t="str"/>
      <x:c r="D17" s="54" t="str"/>
      <x:c r="E17" s="54" t="str"/>
      <x:c r="F17" s="54" t="str"/>
      <x:c r="G17" s="67" t="str"/>
      <x:c r="H17" s="54" t="str">
        <x:v>Open</x:v>
      </x:c>
      <x:c r="I17" s="67" t="str"/>
      <x:c r="J17" s="54" t="str"/>
      <x:c r="K17" s="54" t="n">
        <x:f>IF(AND(G17&lt;&gt;"",H17&lt;&gt;"Complete",H17&lt;&gt;"Verified"),MAX(0,TODAY()-G17),0)</x:f>
        <x:v>0</x:v>
      </x:c>
    </x:row>
    <x:row r="18">
      <x:c r="A18" s="54" t="str"/>
      <x:c r="B18" s="54" t="str"/>
      <x:c r="C18" s="54" t="str"/>
      <x:c r="D18" s="54" t="str"/>
      <x:c r="E18" s="54" t="str"/>
      <x:c r="F18" s="54" t="str"/>
      <x:c r="G18" s="67" t="str"/>
      <x:c r="H18" s="54" t="str">
        <x:v>Open</x:v>
      </x:c>
      <x:c r="I18" s="67" t="str"/>
      <x:c r="J18" s="54" t="str"/>
      <x:c r="K18" s="54" t="n">
        <x:f>IF(AND(G18&lt;&gt;"",H18&lt;&gt;"Complete",H18&lt;&gt;"Verified"),MAX(0,TODAY()-G18),0)</x:f>
        <x:v>0</x:v>
      </x:c>
    </x:row>
    <x:row r="19">
      <x:c r="A19" s="54" t="str"/>
      <x:c r="B19" s="54" t="str"/>
      <x:c r="C19" s="54" t="str"/>
      <x:c r="D19" s="54" t="str"/>
      <x:c r="E19" s="54" t="str"/>
      <x:c r="F19" s="54" t="str"/>
      <x:c r="G19" s="67" t="str"/>
      <x:c r="H19" s="54" t="str">
        <x:v>Open</x:v>
      </x:c>
      <x:c r="I19" s="67" t="str"/>
      <x:c r="J19" s="54" t="str"/>
      <x:c r="K19" s="54" t="n">
        <x:f>IF(AND(G19&lt;&gt;"",H19&lt;&gt;"Complete",H19&lt;&gt;"Verified"),MAX(0,TODAY()-G19),0)</x:f>
        <x:v>0</x:v>
      </x:c>
    </x:row>
    <x:row r="20">
      <x:c r="A20" s="54" t="str"/>
      <x:c r="B20" s="54" t="str"/>
      <x:c r="C20" s="54" t="str"/>
      <x:c r="D20" s="54" t="str"/>
      <x:c r="E20" s="54" t="str"/>
      <x:c r="F20" s="54" t="str"/>
      <x:c r="G20" s="67" t="str"/>
      <x:c r="H20" s="54" t="str">
        <x:v>Open</x:v>
      </x:c>
      <x:c r="I20" s="67" t="str"/>
      <x:c r="J20" s="54" t="str"/>
      <x:c r="K20" s="54" t="n">
        <x:f>IF(AND(G20&lt;&gt;"",H20&lt;&gt;"Complete",H20&lt;&gt;"Verified"),MAX(0,TODAY()-G20),0)</x:f>
        <x:v>0</x:v>
      </x:c>
    </x:row>
    <x:row r="21">
      <x:c r="A21" s="54" t="str"/>
      <x:c r="B21" s="54" t="str"/>
      <x:c r="C21" s="54" t="str"/>
      <x:c r="D21" s="54" t="str"/>
      <x:c r="E21" s="54" t="str"/>
      <x:c r="F21" s="54" t="str"/>
      <x:c r="G21" s="67" t="str"/>
      <x:c r="H21" s="54" t="str">
        <x:v>Open</x:v>
      </x:c>
      <x:c r="I21" s="67" t="str"/>
      <x:c r="J21" s="54" t="str"/>
      <x:c r="K21" s="54" t="n">
        <x:f>IF(AND(G21&lt;&gt;"",H21&lt;&gt;"Complete",H21&lt;&gt;"Verified"),MAX(0,TODAY()-G21),0)</x:f>
        <x:v>0</x:v>
      </x:c>
    </x:row>
    <x:row r="22">
      <x:c r="A22" s="54" t="str"/>
      <x:c r="B22" s="54" t="str"/>
      <x:c r="C22" s="54" t="str"/>
      <x:c r="D22" s="54" t="str"/>
      <x:c r="E22" s="54" t="str"/>
      <x:c r="F22" s="54" t="str"/>
      <x:c r="G22" s="67" t="str"/>
      <x:c r="H22" s="54" t="str">
        <x:v>Open</x:v>
      </x:c>
      <x:c r="I22" s="67" t="str"/>
      <x:c r="J22" s="54" t="str"/>
      <x:c r="K22" s="54" t="n">
        <x:f>IF(AND(G22&lt;&gt;"",H22&lt;&gt;"Complete",H22&lt;&gt;"Verified"),MAX(0,TODAY()-G22),0)</x:f>
        <x:v>0</x:v>
      </x:c>
    </x:row>
    <x:row r="23">
      <x:c r="A23" s="54" t="str"/>
      <x:c r="B23" s="54" t="str"/>
      <x:c r="C23" s="54" t="str"/>
      <x:c r="D23" s="54" t="str"/>
      <x:c r="E23" s="54" t="str"/>
      <x:c r="F23" s="54" t="str"/>
      <x:c r="G23" s="67" t="str"/>
      <x:c r="H23" s="54" t="str">
        <x:v>Open</x:v>
      </x:c>
      <x:c r="I23" s="67" t="str"/>
      <x:c r="J23" s="54" t="str"/>
      <x:c r="K23" s="54" t="n">
        <x:f>IF(AND(G23&lt;&gt;"",H23&lt;&gt;"Complete",H23&lt;&gt;"Verified"),MAX(0,TODAY()-G23),0)</x:f>
        <x:v>0</x:v>
      </x:c>
    </x:row>
    <x:row r="24">
      <x:c r="A24" s="54" t="str"/>
      <x:c r="B24" s="54" t="str"/>
      <x:c r="C24" s="54" t="str"/>
      <x:c r="D24" s="54" t="str"/>
      <x:c r="E24" s="54" t="str"/>
      <x:c r="F24" s="54" t="str"/>
      <x:c r="G24" s="67" t="str"/>
      <x:c r="H24" s="54" t="str">
        <x:v>Open</x:v>
      </x:c>
      <x:c r="I24" s="67" t="str"/>
      <x:c r="J24" s="54" t="str"/>
      <x:c r="K24" s="54" t="n">
        <x:f>IF(AND(G24&lt;&gt;"",H24&lt;&gt;"Complete",H24&lt;&gt;"Verified"),MAX(0,TODAY()-G24),0)</x:f>
        <x:v>0</x:v>
      </x:c>
    </x:row>
    <x:row r="25">
      <x:c r="A25" s="54" t="str"/>
      <x:c r="B25" s="54" t="str"/>
      <x:c r="C25" s="54" t="str"/>
      <x:c r="D25" s="54" t="str"/>
      <x:c r="E25" s="54" t="str"/>
      <x:c r="F25" s="54" t="str"/>
      <x:c r="G25" s="67" t="str"/>
      <x:c r="H25" s="54" t="str">
        <x:v>Open</x:v>
      </x:c>
      <x:c r="I25" s="67" t="str"/>
      <x:c r="J25" s="54" t="str"/>
      <x:c r="K25" s="54" t="n">
        <x:f>IF(AND(G25&lt;&gt;"",H25&lt;&gt;"Complete",H25&lt;&gt;"Verified"),MAX(0,TODAY()-G25),0)</x:f>
        <x:v>0</x:v>
      </x:c>
    </x:row>
    <x:row r="26">
      <x:c r="A26" s="54" t="str"/>
      <x:c r="B26" s="54" t="str"/>
      <x:c r="C26" s="54" t="str"/>
      <x:c r="D26" s="54" t="str"/>
      <x:c r="E26" s="54" t="str"/>
      <x:c r="F26" s="54" t="str"/>
      <x:c r="G26" s="67" t="str"/>
      <x:c r="H26" s="54" t="str">
        <x:v>Open</x:v>
      </x:c>
      <x:c r="I26" s="67" t="str"/>
      <x:c r="J26" s="54" t="str"/>
      <x:c r="K26" s="54" t="n">
        <x:f>IF(AND(G26&lt;&gt;"",H26&lt;&gt;"Complete",H26&lt;&gt;"Verified"),MAX(0,TODAY()-G26),0)</x:f>
        <x:v>0</x:v>
      </x:c>
    </x:row>
    <x:row r="27">
      <x:c r="A27" s="54" t="str"/>
      <x:c r="B27" s="54" t="str"/>
      <x:c r="C27" s="54" t="str"/>
      <x:c r="D27" s="54" t="str"/>
      <x:c r="E27" s="54" t="str"/>
      <x:c r="F27" s="54" t="str"/>
      <x:c r="G27" s="67" t="str"/>
      <x:c r="H27" s="54" t="str">
        <x:v>Open</x:v>
      </x:c>
      <x:c r="I27" s="67" t="str"/>
      <x:c r="J27" s="54" t="str"/>
      <x:c r="K27" s="54" t="n">
        <x:f>IF(AND(G27&lt;&gt;"",H27&lt;&gt;"Complete",H27&lt;&gt;"Verified"),MAX(0,TODAY()-G27),0)</x:f>
        <x:v>0</x:v>
      </x:c>
    </x:row>
    <x:row r="28">
      <x:c r="A28" s="54" t="str"/>
      <x:c r="B28" s="54" t="str"/>
      <x:c r="C28" s="54" t="str"/>
      <x:c r="D28" s="54" t="str"/>
      <x:c r="E28" s="54" t="str"/>
      <x:c r="F28" s="54" t="str"/>
      <x:c r="G28" s="67" t="str"/>
      <x:c r="H28" s="54" t="str">
        <x:v>Open</x:v>
      </x:c>
      <x:c r="I28" s="67" t="str"/>
      <x:c r="J28" s="54" t="str"/>
      <x:c r="K28" s="54" t="n">
        <x:f>IF(AND(G28&lt;&gt;"",H28&lt;&gt;"Complete",H28&lt;&gt;"Verified"),MAX(0,TODAY()-G28),0)</x:f>
        <x:v>0</x:v>
      </x:c>
    </x:row>
    <x:row r="29">
      <x:c r="A29" s="54" t="str"/>
      <x:c r="B29" s="54" t="str"/>
      <x:c r="C29" s="54" t="str"/>
      <x:c r="D29" s="54" t="str"/>
      <x:c r="E29" s="54" t="str"/>
      <x:c r="F29" s="54" t="str"/>
      <x:c r="G29" s="67" t="str"/>
      <x:c r="H29" s="54" t="str">
        <x:v>Open</x:v>
      </x:c>
      <x:c r="I29" s="67" t="str"/>
      <x:c r="J29" s="54" t="str"/>
      <x:c r="K29" s="54" t="n">
        <x:f>IF(AND(G29&lt;&gt;"",H29&lt;&gt;"Complete",H29&lt;&gt;"Verified"),MAX(0,TODAY()-G29),0)</x:f>
        <x:v>0</x:v>
      </x:c>
    </x:row>
    <x:row r="30">
      <x:c r="A30" s="54" t="str"/>
      <x:c r="B30" s="54" t="str"/>
      <x:c r="C30" s="54" t="str"/>
      <x:c r="D30" s="54" t="str"/>
      <x:c r="E30" s="54" t="str"/>
      <x:c r="F30" s="54" t="str"/>
      <x:c r="G30" s="67" t="str"/>
      <x:c r="H30" s="54" t="str">
        <x:v>Open</x:v>
      </x:c>
      <x:c r="I30" s="67" t="str"/>
      <x:c r="J30" s="54" t="str"/>
      <x:c r="K30" s="54" t="n">
        <x:f>IF(AND(G30&lt;&gt;"",H30&lt;&gt;"Complete",H30&lt;&gt;"Verified"),MAX(0,TODAY()-G30),0)</x:f>
        <x:v>0</x:v>
      </x:c>
    </x:row>
    <x:row r="31">
      <x:c r="A31" s="54" t="str"/>
      <x:c r="B31" s="54" t="str"/>
      <x:c r="C31" s="54" t="str"/>
      <x:c r="D31" s="54" t="str"/>
      <x:c r="E31" s="54" t="str"/>
      <x:c r="F31" s="54" t="str"/>
      <x:c r="G31" s="67" t="str"/>
      <x:c r="H31" s="54" t="str">
        <x:v>Open</x:v>
      </x:c>
      <x:c r="I31" s="67" t="str"/>
      <x:c r="J31" s="54" t="str"/>
      <x:c r="K31" s="54" t="n">
        <x:f>IF(AND(G31&lt;&gt;"",H31&lt;&gt;"Complete",H31&lt;&gt;"Verified"),MAX(0,TODAY()-G31),0)</x:f>
        <x:v>0</x:v>
      </x:c>
    </x:row>
    <x:row r="32">
      <x:c r="A32" s="54" t="str"/>
      <x:c r="B32" s="54" t="str"/>
      <x:c r="C32" s="54" t="str"/>
      <x:c r="D32" s="54" t="str"/>
      <x:c r="E32" s="54" t="str"/>
      <x:c r="F32" s="54" t="str"/>
      <x:c r="G32" s="67" t="str"/>
      <x:c r="H32" s="54" t="str">
        <x:v>Open</x:v>
      </x:c>
      <x:c r="I32" s="67" t="str"/>
      <x:c r="J32" s="54" t="str"/>
      <x:c r="K32" s="54" t="n">
        <x:f>IF(AND(G32&lt;&gt;"",H32&lt;&gt;"Complete",H32&lt;&gt;"Verified"),MAX(0,TODAY()-G32),0)</x:f>
        <x:v>0</x:v>
      </x:c>
    </x:row>
    <x:row r="33">
      <x:c r="A33" s="54" t="str"/>
      <x:c r="B33" s="54" t="str"/>
      <x:c r="C33" s="54" t="str"/>
      <x:c r="D33" s="54" t="str"/>
      <x:c r="E33" s="54" t="str"/>
      <x:c r="F33" s="54" t="str"/>
      <x:c r="G33" s="67" t="str"/>
      <x:c r="H33" s="54" t="str">
        <x:v>Open</x:v>
      </x:c>
      <x:c r="I33" s="67" t="str"/>
      <x:c r="J33" s="54" t="str"/>
      <x:c r="K33" s="54" t="n">
        <x:f>IF(AND(G33&lt;&gt;"",H33&lt;&gt;"Complete",H33&lt;&gt;"Verified"),MAX(0,TODAY()-G33),0)</x:f>
        <x:v>0</x:v>
      </x:c>
    </x:row>
    <x:row r="34">
      <x:c r="A34" s="54" t="str"/>
      <x:c r="B34" s="54" t="str"/>
      <x:c r="C34" s="54" t="str"/>
      <x:c r="D34" s="54" t="str"/>
      <x:c r="E34" s="54" t="str"/>
      <x:c r="F34" s="54" t="str"/>
      <x:c r="G34" s="67" t="str"/>
      <x:c r="H34" s="54" t="str">
        <x:v>Open</x:v>
      </x:c>
      <x:c r="I34" s="67" t="str"/>
      <x:c r="J34" s="54" t="str"/>
      <x:c r="K34" s="54" t="n">
        <x:f>IF(AND(G34&lt;&gt;"",H34&lt;&gt;"Complete",H34&lt;&gt;"Verified"),MAX(0,TODAY()-G34),0)</x:f>
        <x:v>0</x:v>
      </x:c>
    </x:row>
  </x:sheetData>
  <x:mergeCells>
    <x:mergeCell ref="A1:K1"/>
    <x:mergeCell ref="A2:K2"/>
  </x:mergeCells>
  <x:conditionalFormatting sqref="H5:H34">
    <x:cfRule type="cellIs" dxfId="0" priority="1">
      <x:formula>"Complete"</x:formula>
    </x:cfRule>
    <x:cfRule type="cellIs" dxfId="1" priority="2">
      <x:formula>"Verified"</x:formula>
    </x:cfRule>
    <x:cfRule type="cellIs" dxfId="2" priority="3">
      <x:formula>"Overdue"</x:formula>
    </x:cfRule>
    <x:cfRule type="cellIs" dxfId="3" priority="4">
      <x:formula>"Open"</x:formula>
    </x:cfRule>
  </x:conditionalFormatting>
  <x:conditionalFormatting sqref="K5:K34">
    <x:cfRule type="cellIs" dxfId="4" priority="5" operator="greaterThan">
      <x:formula>0</x:formula>
    </x:cfRule>
  </x:conditionalFormatting>
  <x:dataValidations count="2">
    <x:dataValidation type="list" sqref="E5:E34">
      <x:formula1>"Critical,High,Medium,Low,Monitor"</x:formula1>
    </x:dataValidation>
    <x:dataValidation type="list" sqref="H5:H34">
      <x:formula1>"Open,In Progress,Complete,Overdue,Deferred,Cancelled,Verified"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56ce13f7fa4a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22" hidden="0" customWidth="1"/>
    <x:col min="5" max="5" width="16.5" hidden="0" customWidth="1"/>
    <x:col min="6" max="6" width="17.75" hidden="0" customWidth="1"/>
    <x:col min="7" max="7" width="16.3799991607666" hidden="0" customWidth="1"/>
    <x:col min="8" max="8" width="16.3799991607666" hidden="0" customWidth="1"/>
    <x:col min="9" max="9" width="16.25" hidden="0" customWidth="1"/>
    <x:col min="10" max="10" width="17.6299991607666" hidden="0" customWidth="1"/>
    <x:col min="11" max="11" width="17.5" hidden="0" customWidth="1"/>
    <x:col min="12" max="12" width="12.630000114440918" hidden="0" customWidth="1"/>
    <x:col min="13" max="13" width="14.130000114440918" hidden="0" customWidth="1"/>
    <x:col min="14" max="14" width="10.25" hidden="0" customWidth="1"/>
  </x:cols>
  <x:sheetData>
    <x:row r="1" ht="30" customHeight="1">
      <x:c r="A1" s="31" t="str">
        <x:v>TEMP &amp; VIBRATION TRENDS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2" customHeight="1">
      <x:c r="A2" s="38" t="str">
        <x:v>Record readings over time to support trend-based maintenance and condition monitoring.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4" ht="26" customHeight="1">
      <x:c r="A4" s="46" t="str">
        <x:v>Date</x:v>
      </x:c>
      <x:c r="B4" s="46" t="str">
        <x:v>Asset Tag</x:v>
      </x:c>
      <x:c r="C4" s="46" t="str">
        <x:v>Operating Hours</x:v>
      </x:c>
      <x:c r="D4" s="46" t="str">
        <x:v>Operating Condition</x:v>
      </x:c>
      <x:c r="E4" s="46" t="str">
        <x:v>Input Brg Temp (°C)</x:v>
      </x:c>
      <x:c r="F4" s="46" t="str">
        <x:v>Output Brg Temp (°C)</x:v>
      </x:c>
      <x:c r="G4" s="46" t="str">
        <x:v>Oil Sump Temp (°C)</x:v>
      </x:c>
      <x:c r="H4" s="46" t="str">
        <x:v>Input Vib H (mm/s)</x:v>
      </x:c>
      <x:c r="I4" s="46" t="str">
        <x:v>Input Vib V (mm/s)</x:v>
      </x:c>
      <x:c r="J4" s="46" t="str">
        <x:v>Output Vib H (mm/s)</x:v>
      </x:c>
      <x:c r="K4" s="46" t="str">
        <x:v>Output Vib V (mm/s)</x:v>
      </x:c>
      <x:c r="L4" s="46" t="str">
        <x:v>Overall Status</x:v>
      </x:c>
      <x:c r="M4" s="46" t="str">
        <x:v>Action Required</x:v>
      </x:c>
      <x:c r="N4" s="46" t="str">
        <x:v>Technician</x:v>
      </x:c>
    </x:row>
    <x:row r="5">
      <x:c r="A5" s="67" t="str"/>
      <x:c r="B5" s="54" t="str"/>
      <x:c r="C5" s="54" t="str"/>
      <x:c r="D5" s="54" t="str"/>
      <x:c r="E5" s="54" t="str"/>
      <x:c r="F5" s="54" t="str"/>
      <x:c r="G5" s="54" t="str"/>
      <x:c r="H5" s="54" t="str"/>
      <x:c r="I5" s="54" t="str"/>
      <x:c r="J5" s="54" t="str"/>
      <x:c r="K5" s="54" t="str"/>
      <x:c r="L5" s="54" t="str"/>
      <x:c r="M5" s="54" t="str"/>
      <x:c r="N5" s="54" t="str"/>
    </x:row>
    <x:row r="6">
      <x:c r="A6" s="67" t="str"/>
      <x:c r="B6" s="54" t="str"/>
      <x:c r="C6" s="54" t="str"/>
      <x:c r="D6" s="54" t="str"/>
      <x:c r="E6" s="54" t="str"/>
      <x:c r="F6" s="54" t="str"/>
      <x:c r="G6" s="54" t="str"/>
      <x:c r="H6" s="54" t="str"/>
      <x:c r="I6" s="54" t="str"/>
      <x:c r="J6" s="54" t="str"/>
      <x:c r="K6" s="54" t="str"/>
      <x:c r="L6" s="54" t="str"/>
      <x:c r="M6" s="54" t="str"/>
      <x:c r="N6" s="54" t="str"/>
    </x:row>
    <x:row r="7">
      <x:c r="A7" s="67" t="str"/>
      <x:c r="B7" s="54" t="str"/>
      <x:c r="C7" s="54" t="str"/>
      <x:c r="D7" s="54" t="str"/>
      <x:c r="E7" s="54" t="str"/>
      <x:c r="F7" s="54" t="str"/>
      <x:c r="G7" s="54" t="str"/>
      <x:c r="H7" s="54" t="str"/>
      <x:c r="I7" s="54" t="str"/>
      <x:c r="J7" s="54" t="str"/>
      <x:c r="K7" s="54" t="str"/>
      <x:c r="L7" s="54" t="str"/>
      <x:c r="M7" s="54" t="str"/>
      <x:c r="N7" s="54" t="str"/>
    </x:row>
    <x:row r="8">
      <x:c r="A8" s="67" t="str"/>
      <x:c r="B8" s="54" t="str"/>
      <x:c r="C8" s="54" t="str"/>
      <x:c r="D8" s="54" t="str"/>
      <x:c r="E8" s="54" t="str"/>
      <x:c r="F8" s="54" t="str"/>
      <x:c r="G8" s="54" t="str"/>
      <x:c r="H8" s="54" t="str"/>
      <x:c r="I8" s="54" t="str"/>
      <x:c r="J8" s="54" t="str"/>
      <x:c r="K8" s="54" t="str"/>
      <x:c r="L8" s="54" t="str"/>
      <x:c r="M8" s="54" t="str"/>
      <x:c r="N8" s="54" t="str"/>
    </x:row>
    <x:row r="9">
      <x:c r="A9" s="67" t="str"/>
      <x:c r="B9" s="54" t="str"/>
      <x:c r="C9" s="54" t="str"/>
      <x:c r="D9" s="54" t="str"/>
      <x:c r="E9" s="54" t="str"/>
      <x:c r="F9" s="54" t="str"/>
      <x:c r="G9" s="54" t="str"/>
      <x:c r="H9" s="54" t="str"/>
      <x:c r="I9" s="54" t="str"/>
      <x:c r="J9" s="54" t="str"/>
      <x:c r="K9" s="54" t="str"/>
      <x:c r="L9" s="54" t="str"/>
      <x:c r="M9" s="54" t="str"/>
      <x:c r="N9" s="54" t="str"/>
    </x:row>
    <x:row r="10">
      <x:c r="A10" s="67" t="str"/>
      <x:c r="B10" s="54" t="str"/>
      <x:c r="C10" s="54" t="str"/>
      <x:c r="D10" s="54" t="str"/>
      <x:c r="E10" s="54" t="str"/>
      <x:c r="F10" s="54" t="str"/>
      <x:c r="G10" s="54" t="str"/>
      <x:c r="H10" s="54" t="str"/>
      <x:c r="I10" s="54" t="str"/>
      <x:c r="J10" s="54" t="str"/>
      <x:c r="K10" s="54" t="str"/>
      <x:c r="L10" s="54" t="str"/>
      <x:c r="M10" s="54" t="str"/>
      <x:c r="N10" s="54" t="str"/>
    </x:row>
    <x:row r="11">
      <x:c r="A11" s="67" t="str"/>
      <x:c r="B11" s="54" t="str"/>
      <x:c r="C11" s="54" t="str"/>
      <x:c r="D11" s="54" t="str"/>
      <x:c r="E11" s="54" t="str"/>
      <x:c r="F11" s="54" t="str"/>
      <x:c r="G11" s="54" t="str"/>
      <x:c r="H11" s="54" t="str"/>
      <x:c r="I11" s="54" t="str"/>
      <x:c r="J11" s="54" t="str"/>
      <x:c r="K11" s="54" t="str"/>
      <x:c r="L11" s="54" t="str"/>
      <x:c r="M11" s="54" t="str"/>
      <x:c r="N11" s="54" t="str"/>
    </x:row>
    <x:row r="12">
      <x:c r="A12" s="67" t="str"/>
      <x:c r="B12" s="54" t="str"/>
      <x:c r="C12" s="54" t="str"/>
      <x:c r="D12" s="54" t="str"/>
      <x:c r="E12" s="54" t="str"/>
      <x:c r="F12" s="54" t="str"/>
      <x:c r="G12" s="54" t="str"/>
      <x:c r="H12" s="54" t="str"/>
      <x:c r="I12" s="54" t="str"/>
      <x:c r="J12" s="54" t="str"/>
      <x:c r="K12" s="54" t="str"/>
      <x:c r="L12" s="54" t="str"/>
      <x:c r="M12" s="54" t="str"/>
      <x:c r="N12" s="54" t="str"/>
    </x:row>
    <x:row r="13">
      <x:c r="A13" s="67" t="str"/>
      <x:c r="B13" s="54" t="str"/>
      <x:c r="C13" s="54" t="str"/>
      <x:c r="D13" s="54" t="str"/>
      <x:c r="E13" s="54" t="str"/>
      <x:c r="F13" s="54" t="str"/>
      <x:c r="G13" s="54" t="str"/>
      <x:c r="H13" s="54" t="str"/>
      <x:c r="I13" s="54" t="str"/>
      <x:c r="J13" s="54" t="str"/>
      <x:c r="K13" s="54" t="str"/>
      <x:c r="L13" s="54" t="str"/>
      <x:c r="M13" s="54" t="str"/>
      <x:c r="N13" s="54" t="str"/>
    </x:row>
    <x:row r="14">
      <x:c r="A14" s="67" t="str"/>
      <x:c r="B14" s="54" t="str"/>
      <x:c r="C14" s="54" t="str"/>
      <x:c r="D14" s="54" t="str"/>
      <x:c r="E14" s="54" t="str"/>
      <x:c r="F14" s="54" t="str"/>
      <x:c r="G14" s="54" t="str"/>
      <x:c r="H14" s="54" t="str"/>
      <x:c r="I14" s="54" t="str"/>
      <x:c r="J14" s="54" t="str"/>
      <x:c r="K14" s="54" t="str"/>
      <x:c r="L14" s="54" t="str"/>
      <x:c r="M14" s="54" t="str"/>
      <x:c r="N14" s="54" t="str"/>
    </x:row>
    <x:row r="15">
      <x:c r="A15" s="67" t="str"/>
      <x:c r="B15" s="54" t="str"/>
      <x:c r="C15" s="54" t="str"/>
      <x:c r="D15" s="54" t="str"/>
      <x:c r="E15" s="54" t="str"/>
      <x:c r="F15" s="54" t="str"/>
      <x:c r="G15" s="54" t="str"/>
      <x:c r="H15" s="54" t="str"/>
      <x:c r="I15" s="54" t="str"/>
      <x:c r="J15" s="54" t="str"/>
      <x:c r="K15" s="54" t="str"/>
      <x:c r="L15" s="54" t="str"/>
      <x:c r="M15" s="54" t="str"/>
      <x:c r="N15" s="54" t="str"/>
    </x:row>
    <x:row r="16">
      <x:c r="A16" s="67" t="str"/>
      <x:c r="B16" s="54" t="str"/>
      <x:c r="C16" s="54" t="str"/>
      <x:c r="D16" s="54" t="str"/>
      <x:c r="E16" s="54" t="str"/>
      <x:c r="F16" s="54" t="str"/>
      <x:c r="G16" s="54" t="str"/>
      <x:c r="H16" s="54" t="str"/>
      <x:c r="I16" s="54" t="str"/>
      <x:c r="J16" s="54" t="str"/>
      <x:c r="K16" s="54" t="str"/>
      <x:c r="L16" s="54" t="str"/>
      <x:c r="M16" s="54" t="str"/>
      <x:c r="N16" s="54" t="str"/>
    </x:row>
    <x:row r="17">
      <x:c r="A17" s="67" t="str"/>
      <x:c r="B17" s="54" t="str"/>
      <x:c r="C17" s="54" t="str"/>
      <x:c r="D17" s="54" t="str"/>
      <x:c r="E17" s="54" t="str"/>
      <x:c r="F17" s="54" t="str"/>
      <x:c r="G17" s="54" t="str"/>
      <x:c r="H17" s="54" t="str"/>
      <x:c r="I17" s="54" t="str"/>
      <x:c r="J17" s="54" t="str"/>
      <x:c r="K17" s="54" t="str"/>
      <x:c r="L17" s="54" t="str"/>
      <x:c r="M17" s="54" t="str"/>
      <x:c r="N17" s="54" t="str"/>
    </x:row>
    <x:row r="18">
      <x:c r="A18" s="67" t="str"/>
      <x:c r="B18" s="54" t="str"/>
      <x:c r="C18" s="54" t="str"/>
      <x:c r="D18" s="54" t="str"/>
      <x:c r="E18" s="54" t="str"/>
      <x:c r="F18" s="54" t="str"/>
      <x:c r="G18" s="54" t="str"/>
      <x:c r="H18" s="54" t="str"/>
      <x:c r="I18" s="54" t="str"/>
      <x:c r="J18" s="54" t="str"/>
      <x:c r="K18" s="54" t="str"/>
      <x:c r="L18" s="54" t="str"/>
      <x:c r="M18" s="54" t="str"/>
      <x:c r="N18" s="54" t="str"/>
    </x:row>
    <x:row r="19">
      <x:c r="A19" s="67" t="str"/>
      <x:c r="B19" s="54" t="str"/>
      <x:c r="C19" s="54" t="str"/>
      <x:c r="D19" s="54" t="str"/>
      <x:c r="E19" s="54" t="str"/>
      <x:c r="F19" s="54" t="str"/>
      <x:c r="G19" s="54" t="str"/>
      <x:c r="H19" s="54" t="str"/>
      <x:c r="I19" s="54" t="str"/>
      <x:c r="J19" s="54" t="str"/>
      <x:c r="K19" s="54" t="str"/>
      <x:c r="L19" s="54" t="str"/>
      <x:c r="M19" s="54" t="str"/>
      <x:c r="N19" s="54" t="str"/>
    </x:row>
    <x:row r="20">
      <x:c r="A20" s="67" t="str"/>
      <x:c r="B20" s="54" t="str"/>
      <x:c r="C20" s="54" t="str"/>
      <x:c r="D20" s="54" t="str"/>
      <x:c r="E20" s="54" t="str"/>
      <x:c r="F20" s="54" t="str"/>
      <x:c r="G20" s="54" t="str"/>
      <x:c r="H20" s="54" t="str"/>
      <x:c r="I20" s="54" t="str"/>
      <x:c r="J20" s="54" t="str"/>
      <x:c r="K20" s="54" t="str"/>
      <x:c r="L20" s="54" t="str"/>
      <x:c r="M20" s="54" t="str"/>
      <x:c r="N20" s="54" t="str"/>
    </x:row>
    <x:row r="21">
      <x:c r="A21" s="67" t="str"/>
      <x:c r="B21" s="54" t="str"/>
      <x:c r="C21" s="54" t="str"/>
      <x:c r="D21" s="54" t="str"/>
      <x:c r="E21" s="54" t="str"/>
      <x:c r="F21" s="54" t="str"/>
      <x:c r="G21" s="54" t="str"/>
      <x:c r="H21" s="54" t="str"/>
      <x:c r="I21" s="54" t="str"/>
      <x:c r="J21" s="54" t="str"/>
      <x:c r="K21" s="54" t="str"/>
      <x:c r="L21" s="54" t="str"/>
      <x:c r="M21" s="54" t="str"/>
      <x:c r="N21" s="54" t="str"/>
    </x:row>
    <x:row r="22">
      <x:c r="A22" s="67" t="str"/>
      <x:c r="B22" s="54" t="str"/>
      <x:c r="C22" s="54" t="str"/>
      <x:c r="D22" s="54" t="str"/>
      <x:c r="E22" s="54" t="str"/>
      <x:c r="F22" s="54" t="str"/>
      <x:c r="G22" s="54" t="str"/>
      <x:c r="H22" s="54" t="str"/>
      <x:c r="I22" s="54" t="str"/>
      <x:c r="J22" s="54" t="str"/>
      <x:c r="K22" s="54" t="str"/>
      <x:c r="L22" s="54" t="str"/>
      <x:c r="M22" s="54" t="str"/>
      <x:c r="N22" s="54" t="str"/>
    </x:row>
    <x:row r="23">
      <x:c r="A23" s="67" t="str"/>
      <x:c r="B23" s="54" t="str"/>
      <x:c r="C23" s="54" t="str"/>
      <x:c r="D23" s="54" t="str"/>
      <x:c r="E23" s="54" t="str"/>
      <x:c r="F23" s="54" t="str"/>
      <x:c r="G23" s="54" t="str"/>
      <x:c r="H23" s="54" t="str"/>
      <x:c r="I23" s="54" t="str"/>
      <x:c r="J23" s="54" t="str"/>
      <x:c r="K23" s="54" t="str"/>
      <x:c r="L23" s="54" t="str"/>
      <x:c r="M23" s="54" t="str"/>
      <x:c r="N23" s="54" t="str"/>
    </x:row>
    <x:row r="24">
      <x:c r="A24" s="67" t="str"/>
      <x:c r="B24" s="54" t="str"/>
      <x:c r="C24" s="54" t="str"/>
      <x:c r="D24" s="54" t="str"/>
      <x:c r="E24" s="54" t="str"/>
      <x:c r="F24" s="54" t="str"/>
      <x:c r="G24" s="54" t="str"/>
      <x:c r="H24" s="54" t="str"/>
      <x:c r="I24" s="54" t="str"/>
      <x:c r="J24" s="54" t="str"/>
      <x:c r="K24" s="54" t="str"/>
      <x:c r="L24" s="54" t="str"/>
      <x:c r="M24" s="54" t="str"/>
      <x:c r="N24" s="54" t="str"/>
    </x:row>
  </x:sheetData>
  <x:mergeCells>
    <x:mergeCell ref="A1:N1"/>
    <x:mergeCell ref="A2:N2"/>
  </x:mergeCells>
  <x:dataValidations count="1">
    <x:dataValidation type="list" sqref="L5:L24">
      <x:formula1>"Good,Monitor,Action Required,Stop Equipment"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efb17bd9854d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8" hidden="0" customWidth="1"/>
    <x:col min="4" max="4" width="16" hidden="0" customWidth="1"/>
    <x:col min="5" max="5" width="15" hidden="0" customWidth="1"/>
    <x:col min="6" max="6" width="20" hidden="0" customWidth="1"/>
    <x:col min="7" max="7" width="18" hidden="0" customWidth="1"/>
    <x:col min="8" max="8" width="22" hidden="0" customWidth="1"/>
    <x:col min="9" max="9" width="18" hidden="0" customWidth="1"/>
    <x:col min="10" max="10" width="15" hidden="0" customWidth="1"/>
    <x:col min="11" max="11" width="32" hidden="0" customWidth="1"/>
    <x:col min="12" max="12" width="12" hidden="0" customWidth="1"/>
  </x:cols>
  <x:sheetData>
    <x:row r="1" ht="30" customHeight="1">
      <x:c r="A1" s="31" t="str">
        <x:v>GEARBOX OIL ANALYSIS LOG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32" customHeight="1">
      <x:c r="A2" s="38" t="str">
        <x:v>Track lubricant health, contamination and sample evidence.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4" ht="26" customHeight="1">
      <x:c r="A4" s="46" t="str">
        <x:v>Date</x:v>
      </x:c>
      <x:c r="B4" s="46" t="str">
        <x:v>Gearbox Tag</x:v>
      </x:c>
      <x:c r="C4" s="46" t="str">
        <x:v>Oil Type/Grade</x:v>
      </x:c>
      <x:c r="D4" s="46" t="str">
        <x:v>Running Hours</x:v>
      </x:c>
      <x:c r="E4" s="46" t="str">
        <x:v>Sample No.</x:v>
      </x:c>
      <x:c r="F4" s="46" t="str">
        <x:v>Viscosity Result</x:v>
      </x:c>
      <x:c r="G4" s="46" t="str">
        <x:v>Water Content</x:v>
      </x:c>
      <x:c r="H4" s="46" t="str">
        <x:v>Particle Count / ISO Code</x:v>
      </x:c>
      <x:c r="I4" s="46" t="str">
        <x:v>Ferrous Debris</x:v>
      </x:c>
      <x:c r="J4" s="46" t="str">
        <x:v>Lab Status</x:v>
      </x:c>
      <x:c r="K4" s="46" t="str">
        <x:v>Recommendation</x:v>
      </x:c>
      <x:c r="L4" s="46" t="str">
        <x:v>Action Ref</x:v>
      </x:c>
    </x:row>
    <x:row r="5">
      <x:c r="A5" s="67" t="str"/>
      <x:c r="B5" s="54" t="str"/>
      <x:c r="C5" s="54" t="str"/>
      <x:c r="D5" s="54" t="str"/>
      <x:c r="E5" s="54" t="str"/>
      <x:c r="F5" s="54" t="str"/>
      <x:c r="G5" s="54" t="str"/>
      <x:c r="H5" s="54" t="str"/>
      <x:c r="I5" s="54" t="str"/>
      <x:c r="J5" s="54" t="str"/>
      <x:c r="K5" s="54" t="str"/>
      <x:c r="L5" s="54" t="str"/>
    </x:row>
    <x:row r="6">
      <x:c r="A6" s="67" t="str"/>
      <x:c r="B6" s="54" t="str"/>
      <x:c r="C6" s="54" t="str"/>
      <x:c r="D6" s="54" t="str"/>
      <x:c r="E6" s="54" t="str"/>
      <x:c r="F6" s="54" t="str"/>
      <x:c r="G6" s="54" t="str"/>
      <x:c r="H6" s="54" t="str"/>
      <x:c r="I6" s="54" t="str"/>
      <x:c r="J6" s="54" t="str"/>
      <x:c r="K6" s="54" t="str"/>
      <x:c r="L6" s="54" t="str"/>
    </x:row>
    <x:row r="7">
      <x:c r="A7" s="67" t="str"/>
      <x:c r="B7" s="54" t="str"/>
      <x:c r="C7" s="54" t="str"/>
      <x:c r="D7" s="54" t="str"/>
      <x:c r="E7" s="54" t="str"/>
      <x:c r="F7" s="54" t="str"/>
      <x:c r="G7" s="54" t="str"/>
      <x:c r="H7" s="54" t="str"/>
      <x:c r="I7" s="54" t="str"/>
      <x:c r="J7" s="54" t="str"/>
      <x:c r="K7" s="54" t="str"/>
      <x:c r="L7" s="54" t="str"/>
    </x:row>
    <x:row r="8">
      <x:c r="A8" s="67" t="str"/>
      <x:c r="B8" s="54" t="str"/>
      <x:c r="C8" s="54" t="str"/>
      <x:c r="D8" s="54" t="str"/>
      <x:c r="E8" s="54" t="str"/>
      <x:c r="F8" s="54" t="str"/>
      <x:c r="G8" s="54" t="str"/>
      <x:c r="H8" s="54" t="str"/>
      <x:c r="I8" s="54" t="str"/>
      <x:c r="J8" s="54" t="str"/>
      <x:c r="K8" s="54" t="str"/>
      <x:c r="L8" s="54" t="str"/>
    </x:row>
    <x:row r="9">
      <x:c r="A9" s="67" t="str"/>
      <x:c r="B9" s="54" t="str"/>
      <x:c r="C9" s="54" t="str"/>
      <x:c r="D9" s="54" t="str"/>
      <x:c r="E9" s="54" t="str"/>
      <x:c r="F9" s="54" t="str"/>
      <x:c r="G9" s="54" t="str"/>
      <x:c r="H9" s="54" t="str"/>
      <x:c r="I9" s="54" t="str"/>
      <x:c r="J9" s="54" t="str"/>
      <x:c r="K9" s="54" t="str"/>
      <x:c r="L9" s="54" t="str"/>
    </x:row>
    <x:row r="10">
      <x:c r="A10" s="67" t="str"/>
      <x:c r="B10" s="54" t="str"/>
      <x:c r="C10" s="54" t="str"/>
      <x:c r="D10" s="54" t="str"/>
      <x:c r="E10" s="54" t="str"/>
      <x:c r="F10" s="54" t="str"/>
      <x:c r="G10" s="54" t="str"/>
      <x:c r="H10" s="54" t="str"/>
      <x:c r="I10" s="54" t="str"/>
      <x:c r="J10" s="54" t="str"/>
      <x:c r="K10" s="54" t="str"/>
      <x:c r="L10" s="54" t="str"/>
    </x:row>
    <x:row r="11">
      <x:c r="A11" s="67" t="str"/>
      <x:c r="B11" s="54" t="str"/>
      <x:c r="C11" s="54" t="str"/>
      <x:c r="D11" s="54" t="str"/>
      <x:c r="E11" s="54" t="str"/>
      <x:c r="F11" s="54" t="str"/>
      <x:c r="G11" s="54" t="str"/>
      <x:c r="H11" s="54" t="str"/>
      <x:c r="I11" s="54" t="str"/>
      <x:c r="J11" s="54" t="str"/>
      <x:c r="K11" s="54" t="str"/>
      <x:c r="L11" s="54" t="str"/>
    </x:row>
    <x:row r="12">
      <x:c r="A12" s="67" t="str"/>
      <x:c r="B12" s="54" t="str"/>
      <x:c r="C12" s="54" t="str"/>
      <x:c r="D12" s="54" t="str"/>
      <x:c r="E12" s="54" t="str"/>
      <x:c r="F12" s="54" t="str"/>
      <x:c r="G12" s="54" t="str"/>
      <x:c r="H12" s="54" t="str"/>
      <x:c r="I12" s="54" t="str"/>
      <x:c r="J12" s="54" t="str"/>
      <x:c r="K12" s="54" t="str"/>
      <x:c r="L12" s="54" t="str"/>
    </x:row>
    <x:row r="13">
      <x:c r="A13" s="67" t="str"/>
      <x:c r="B13" s="54" t="str"/>
      <x:c r="C13" s="54" t="str"/>
      <x:c r="D13" s="54" t="str"/>
      <x:c r="E13" s="54" t="str"/>
      <x:c r="F13" s="54" t="str"/>
      <x:c r="G13" s="54" t="str"/>
      <x:c r="H13" s="54" t="str"/>
      <x:c r="I13" s="54" t="str"/>
      <x:c r="J13" s="54" t="str"/>
      <x:c r="K13" s="54" t="str"/>
      <x:c r="L13" s="54" t="str"/>
    </x:row>
    <x:row r="14">
      <x:c r="A14" s="67" t="str"/>
      <x:c r="B14" s="54" t="str"/>
      <x:c r="C14" s="54" t="str"/>
      <x:c r="D14" s="54" t="str"/>
      <x:c r="E14" s="54" t="str"/>
      <x:c r="F14" s="54" t="str"/>
      <x:c r="G14" s="54" t="str"/>
      <x:c r="H14" s="54" t="str"/>
      <x:c r="I14" s="54" t="str"/>
      <x:c r="J14" s="54" t="str"/>
      <x:c r="K14" s="54" t="str"/>
      <x:c r="L14" s="54" t="str"/>
    </x:row>
    <x:row r="15">
      <x:c r="A15" s="67" t="str"/>
      <x:c r="B15" s="54" t="str"/>
      <x:c r="C15" s="54" t="str"/>
      <x:c r="D15" s="54" t="str"/>
      <x:c r="E15" s="54" t="str"/>
      <x:c r="F15" s="54" t="str"/>
      <x:c r="G15" s="54" t="str"/>
      <x:c r="H15" s="54" t="str"/>
      <x:c r="I15" s="54" t="str"/>
      <x:c r="J15" s="54" t="str"/>
      <x:c r="K15" s="54" t="str"/>
      <x:c r="L15" s="54" t="str"/>
    </x:row>
    <x:row r="16">
      <x:c r="A16" s="67" t="str"/>
      <x:c r="B16" s="54" t="str"/>
      <x:c r="C16" s="54" t="str"/>
      <x:c r="D16" s="54" t="str"/>
      <x:c r="E16" s="54" t="str"/>
      <x:c r="F16" s="54" t="str"/>
      <x:c r="G16" s="54" t="str"/>
      <x:c r="H16" s="54" t="str"/>
      <x:c r="I16" s="54" t="str"/>
      <x:c r="J16" s="54" t="str"/>
      <x:c r="K16" s="54" t="str"/>
      <x:c r="L16" s="54" t="str"/>
    </x:row>
    <x:row r="17">
      <x:c r="A17" s="67" t="str"/>
      <x:c r="B17" s="54" t="str"/>
      <x:c r="C17" s="54" t="str"/>
      <x:c r="D17" s="54" t="str"/>
      <x:c r="E17" s="54" t="str"/>
      <x:c r="F17" s="54" t="str"/>
      <x:c r="G17" s="54" t="str"/>
      <x:c r="H17" s="54" t="str"/>
      <x:c r="I17" s="54" t="str"/>
      <x:c r="J17" s="54" t="str"/>
      <x:c r="K17" s="54" t="str"/>
      <x:c r="L17" s="54" t="str"/>
    </x:row>
    <x:row r="18">
      <x:c r="A18" s="67" t="str"/>
      <x:c r="B18" s="54" t="str"/>
      <x:c r="C18" s="54" t="str"/>
      <x:c r="D18" s="54" t="str"/>
      <x:c r="E18" s="54" t="str"/>
      <x:c r="F18" s="54" t="str"/>
      <x:c r="G18" s="54" t="str"/>
      <x:c r="H18" s="54" t="str"/>
      <x:c r="I18" s="54" t="str"/>
      <x:c r="J18" s="54" t="str"/>
      <x:c r="K18" s="54" t="str"/>
      <x:c r="L18" s="54" t="str"/>
    </x:row>
    <x:row r="19">
      <x:c r="A19" s="67" t="str"/>
      <x:c r="B19" s="54" t="str"/>
      <x:c r="C19" s="54" t="str"/>
      <x:c r="D19" s="54" t="str"/>
      <x:c r="E19" s="54" t="str"/>
      <x:c r="F19" s="54" t="str"/>
      <x:c r="G19" s="54" t="str"/>
      <x:c r="H19" s="54" t="str"/>
      <x:c r="I19" s="54" t="str"/>
      <x:c r="J19" s="54" t="str"/>
      <x:c r="K19" s="54" t="str"/>
      <x:c r="L19" s="54" t="str"/>
    </x:row>
    <x:row r="20">
      <x:c r="A20" s="67" t="str"/>
      <x:c r="B20" s="54" t="str"/>
      <x:c r="C20" s="54" t="str"/>
      <x:c r="D20" s="54" t="str"/>
      <x:c r="E20" s="54" t="str"/>
      <x:c r="F20" s="54" t="str"/>
      <x:c r="G20" s="54" t="str"/>
      <x:c r="H20" s="54" t="str"/>
      <x:c r="I20" s="54" t="str"/>
      <x:c r="J20" s="54" t="str"/>
      <x:c r="K20" s="54" t="str"/>
      <x:c r="L20" s="54" t="str"/>
    </x:row>
    <x:row r="21">
      <x:c r="A21" s="67" t="str"/>
      <x:c r="B21" s="54" t="str"/>
      <x:c r="C21" s="54" t="str"/>
      <x:c r="D21" s="54" t="str"/>
      <x:c r="E21" s="54" t="str"/>
      <x:c r="F21" s="54" t="str"/>
      <x:c r="G21" s="54" t="str"/>
      <x:c r="H21" s="54" t="str"/>
      <x:c r="I21" s="54" t="str"/>
      <x:c r="J21" s="54" t="str"/>
      <x:c r="K21" s="54" t="str"/>
      <x:c r="L21" s="54" t="str"/>
    </x:row>
    <x:row r="22">
      <x:c r="A22" s="67" t="str"/>
      <x:c r="B22" s="54" t="str"/>
      <x:c r="C22" s="54" t="str"/>
      <x:c r="D22" s="54" t="str"/>
      <x:c r="E22" s="54" t="str"/>
      <x:c r="F22" s="54" t="str"/>
      <x:c r="G22" s="54" t="str"/>
      <x:c r="H22" s="54" t="str"/>
      <x:c r="I22" s="54" t="str"/>
      <x:c r="J22" s="54" t="str"/>
      <x:c r="K22" s="54" t="str"/>
      <x:c r="L22" s="54" t="str"/>
    </x:row>
    <x:row r="23">
      <x:c r="A23" s="67" t="str"/>
      <x:c r="B23" s="54" t="str"/>
      <x:c r="C23" s="54" t="str"/>
      <x:c r="D23" s="54" t="str"/>
      <x:c r="E23" s="54" t="str"/>
      <x:c r="F23" s="54" t="str"/>
      <x:c r="G23" s="54" t="str"/>
      <x:c r="H23" s="54" t="str"/>
      <x:c r="I23" s="54" t="str"/>
      <x:c r="J23" s="54" t="str"/>
      <x:c r="K23" s="54" t="str"/>
      <x:c r="L23" s="54" t="str"/>
    </x:row>
    <x:row r="24">
      <x:c r="A24" s="67" t="str"/>
      <x:c r="B24" s="54" t="str"/>
      <x:c r="C24" s="54" t="str"/>
      <x:c r="D24" s="54" t="str"/>
      <x:c r="E24" s="54" t="str"/>
      <x:c r="F24" s="54" t="str"/>
      <x:c r="G24" s="54" t="str"/>
      <x:c r="H24" s="54" t="str"/>
      <x:c r="I24" s="54" t="str"/>
      <x:c r="J24" s="54" t="str"/>
      <x:c r="K24" s="54" t="str"/>
      <x:c r="L24" s="54" t="str"/>
    </x:row>
  </x:sheetData>
  <x:mergeCells>
    <x:mergeCell ref="A1:L1"/>
    <x:mergeCell ref="A2:L2"/>
  </x:mergeCells>
  <x:dataValidations count="1">
    <x:dataValidation type="list" sqref="J5:J24">
      <x:formula1>"Submitted,Received,Normal,Monitor,Abnormal,Critical"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c387fd31af42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26" hidden="0" customWidth="1"/>
    <x:col min="3" max="3" width="33.880001068115234" hidden="0" customWidth="1"/>
    <x:col min="4" max="4" width="32.380001068115234" hidden="0" customWidth="1"/>
  </x:cols>
  <x:sheetData>
    <x:row r="1" ht="30" customHeight="1">
      <x:c r="A1" s="31" t="str">
        <x:v>GEAR DEFECT CLASSIFICATION GUIDE</x:v>
      </x:c>
      <x:c r="B1" s="31"/>
      <x:c r="C1" s="31"/>
      <x:c r="D1" s="31"/>
      <x:c r="E1" s="31"/>
      <x:c r="F1" s="31"/>
    </x:row>
    <x:row r="2" ht="32" customHeight="1">
      <x:c r="A2" s="38" t="str">
        <x:v>Use during inspection or teardown to classify visible gear damage.</x:v>
      </x:c>
      <x:c r="B2" s="38"/>
      <x:c r="C2" s="38"/>
      <x:c r="D2" s="38"/>
      <x:c r="E2" s="38"/>
      <x:c r="F2" s="38"/>
    </x:row>
    <x:row r="4" ht="26" customHeight="1">
      <x:c r="A4" s="46" t="str">
        <x:v>Defect</x:v>
      </x:c>
      <x:c r="B4" s="46" t="str">
        <x:v>Visual indication</x:v>
      </x:c>
      <x:c r="C4" s="46" t="str">
        <x:v>Likely cause</x:v>
      </x:c>
      <x:c r="D4" s="46" t="str">
        <x:v>Recommended check</x:v>
      </x:c>
    </x:row>
    <x:row r="5">
      <x:c r="A5" s="54" t="str">
        <x:v>Pitting</x:v>
      </x:c>
      <x:c r="B5" s="54" t="str">
        <x:v>Small fatigue pits on tooth flank</x:v>
      </x:c>
      <x:c r="C5" s="54" t="str">
        <x:v>Surface fatigue / overload / lubrication issue</x:v>
      </x:c>
      <x:c r="D5" s="54" t="str">
        <x:v>Check load, oil film and alignment</x:v>
      </x:c>
    </x:row>
    <x:row r="6">
      <x:c r="A6" s="54" t="str">
        <x:v>Scuffing</x:v>
      </x:c>
      <x:c r="B6" s="54" t="str">
        <x:v>Adhesive wear, rough torn surface</x:v>
      </x:c>
      <x:c r="C6" s="54" t="str">
        <x:v>Lubrication breakdown / high temperature</x:v>
      </x:c>
      <x:c r="D6" s="54" t="str">
        <x:v>Verify viscosity, temperature and oil supply</x:v>
      </x:c>
    </x:row>
    <x:row r="7">
      <x:c r="A7" s="54" t="str">
        <x:v>Scoring</x:v>
      </x:c>
      <x:c r="B7" s="54" t="str">
        <x:v>Lines in sliding direction</x:v>
      </x:c>
      <x:c r="C7" s="54" t="str">
        <x:v>Contamination or lubricant film failure</x:v>
      </x:c>
      <x:c r="D7" s="54" t="str">
        <x:v>Filter/flush oil and inspect contacts</x:v>
      </x:c>
    </x:row>
    <x:row r="8">
      <x:c r="A8" s="54" t="str">
        <x:v>Spalling</x:v>
      </x:c>
      <x:c r="B8" s="54" t="str">
        <x:v>Larger flakes or chunks of material</x:v>
      </x:c>
      <x:c r="C8" s="54" t="str">
        <x:v>Advanced fatigue damage</x:v>
      </x:c>
      <x:c r="D8" s="54" t="str">
        <x:v>Plan repair or replacement</x:v>
      </x:c>
    </x:row>
    <x:row r="9">
      <x:c r="A9" s="54" t="str">
        <x:v>Abnormal backlash</x:v>
      </x:c>
      <x:c r="B9" s="54" t="str">
        <x:v>Impact noise / loose mesh</x:v>
      </x:c>
      <x:c r="C9" s="54" t="str">
        <x:v>Wear, bearing movement or incorrect setting</x:v>
      </x:c>
      <x:c r="D9" s="54" t="str">
        <x:v>Measure backlash and bearing end float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ef56148e7bd4c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31" t="str">
        <x:v>GEARBOX CONDITION DASHBOARD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32" customHeight="1">
      <x:c r="A2" s="38" t="str">
        <x:v>Formula-driven summary from the inspection sheet and Action Tracker.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s="75" t="str">
        <x:v>Metric</x:v>
      </x:c>
      <x:c r="B4" s="75" t="str">
        <x:v>Value</x:v>
      </x:c>
      <x:c r="C4" s="75" t="str">
        <x:v>Interpretation</x:v>
      </x:c>
    </x:row>
    <x:row r="5">
      <x:c r="A5" s="76" t="str">
        <x:v>Total checklist items</x:v>
      </x:c>
      <x:c r="B5" s="53" t="n">
        <x:f>COUNT('🔧 Gearbox Inspection'!B:B)</x:f>
        <x:v>37</x:v>
      </x:c>
      <x:c r="C5" s="53" t="str">
        <x:v>Numbered inspection items</x:v>
      </x:c>
    </x:row>
    <x:row r="6">
      <x:c r="A6" s="76" t="str">
        <x:v>Pass / OK count</x:v>
      </x:c>
      <x:c r="B6" s="53" t="n">
        <x:f>COUNTIF('🔧 Gearbox Inspection'!E:E,"✓")+COUNTIF('🔧 Gearbox Inspection'!E:E,"Pass")</x:f>
        <x:v>0</x:v>
      </x:c>
      <x:c r="C6" s="53" t="str">
        <x:v>All items marked satisfactory</x:v>
      </x:c>
    </x:row>
    <x:row r="7">
      <x:c r="A7" s="76" t="str">
        <x:v>Fail / defect count</x:v>
      </x:c>
      <x:c r="B7" s="53" t="n">
        <x:f>COUNTIF('🔧 Gearbox Inspection'!E:E,"✗")+COUNTIF('🔧 Gearbox Inspection'!E:E,"Fail")</x:f>
        <x:v>0</x:v>
      </x:c>
      <x:c r="C7" s="53" t="str">
        <x:v>Items requiring action</x:v>
      </x:c>
    </x:row>
    <x:row r="8">
      <x:c r="A8" s="76" t="str">
        <x:v>N/A count</x:v>
      </x:c>
      <x:c r="B8" s="53" t="n">
        <x:f>COUNTIF('🔧 Gearbox Inspection'!E:E,"N/A")</x:f>
        <x:v>0</x:v>
      </x:c>
      <x:c r="C8" s="53" t="str">
        <x:v>Not applicable items</x:v>
      </x:c>
    </x:row>
    <x:row r="9">
      <x:c r="A9" s="76" t="str">
        <x:v>Compliance %</x:v>
      </x:c>
      <x:c r="B9" s="79" t="n">
        <x:f>IFERROR(B6/(B5-B8),0)</x:f>
        <x:v>0</x:v>
      </x:c>
      <x:c r="C9" s="53" t="str">
        <x:v>Passes ÷ applicable checks</x:v>
      </x:c>
    </x:row>
    <x:row r="10">
      <x:c r="A10" s="76" t="str">
        <x:v>Actions raised</x:v>
      </x:c>
      <x:c r="B10" s="53" t="n">
        <x:f>MAX(0,COUNTA('🔧 Gearbox Inspection'!H:H)-1)</x:f>
        <x:v>1</x:v>
      </x:c>
      <x:c r="C10" s="53" t="str">
        <x:v>Non-empty action fields</x:v>
      </x:c>
    </x:row>
    <x:row r="11">
      <x:c r="A11" s="76" t="str">
        <x:v>Open actions</x:v>
      </x:c>
      <x:c r="B11" s="53" t="n">
        <x:f>COUNTIFS('Action Tracker'!H:H,"&lt;&gt;Complete",'Action Tracker'!H:H,"&lt;&gt;Verified",'Action Tracker'!A:A,"&lt;&gt;")</x:f>
        <x:v>33</x:v>
      </x:c>
      <x:c r="C11" s="53" t="str">
        <x:v>Not complete or verified</x:v>
      </x:c>
    </x:row>
    <x:row r="12">
      <x:c r="A12" s="76" t="str">
        <x:v>Overdue actions</x:v>
      </x:c>
      <x:c r="B12" s="53" t="n">
        <x:f>COUNTIFS('Action Tracker'!G:G,"&lt;"&amp;TODAY(),'Action Tracker'!H:H,"&lt;&gt;Complete",'Action Tracker'!H:H,"&lt;&gt;Verified",'Action Tracker'!A:A,"&lt;&gt;")</x:f>
        <x:v>32</x:v>
      </x:c>
      <x:c r="C12" s="53" t="str">
        <x:v>Past due and not complete</x:v>
      </x:c>
    </x:row>
    <x:row r="13">
      <x:c r="A13" s="76" t="str">
        <x:v>Overall status</x:v>
      </x:c>
      <x:c r="B13" s="53" t="str">
        <x:f>IF(B11&gt;0,"OVERDUE ACTIONS",IF(B7&gt;0,"DEFECTS FOUND","ACCEPTABLE"))</x:f>
        <x:v>OVERDUE ACTIONS</x:v>
      </x:c>
      <x:c r="C13" s="53" t="str">
        <x:v>Management interpretation</x:v>
      </x:c>
    </x:row>
    <x:row r="15">
      <x:c r="A15" s="58" t="str">
        <x:v>Management Notes</x:v>
      </x:c>
      <x:c r="B15" s="58"/>
      <x:c r="C15" s="58"/>
      <x:c r="D15" s="58"/>
      <x:c r="E15" s="58"/>
      <x:c r="F15" s="58"/>
      <x:c r="G15" s="58"/>
      <x:c r="H15" s="58"/>
      <x:c r="I15" s="58"/>
      <x:c r="J15" s="58"/>
    </x:row>
    <x:row r="16">
      <x:c r="A16" s="62" t="str">
        <x:v>Use this page before maintenance meetings to identify overdue actions, repeated failed items and repair priority.</x:v>
      </x:c>
      <x:c r="B16" s="62"/>
      <x:c r="C16" s="62"/>
      <x:c r="D16" s="62"/>
      <x:c r="E16" s="62"/>
      <x:c r="F16" s="62"/>
      <x:c r="G16" s="62"/>
      <x:c r="H16" s="62"/>
      <x:c r="I16" s="62"/>
      <x:c r="J16" s="62"/>
    </x:row>
    <x:row r="17">
      <x:c r="A17" s="62" t="str">
        <x:v>Any defect without a responsible person and due date should be transferred to the Action Tracker.</x:v>
      </x:c>
      <x:c r="B17" s="62"/>
      <x:c r="C17" s="62"/>
      <x:c r="D17" s="62"/>
      <x:c r="E17" s="62"/>
      <x:c r="F17" s="62"/>
      <x:c r="G17" s="62"/>
      <x:c r="H17" s="62"/>
      <x:c r="I17" s="62"/>
      <x:c r="J17" s="62"/>
    </x:row>
    <x:row r="18">
      <x:c r="A18" s="62" t="str">
        <x:v>Safety-critical failed items should trigger supervisor review before the equipment is returned to service.</x:v>
      </x:c>
      <x:c r="B18" s="62"/>
      <x:c r="C18" s="62"/>
      <x:c r="D18" s="62"/>
      <x:c r="E18" s="62"/>
      <x:c r="F18" s="62"/>
      <x:c r="G18" s="62"/>
      <x:c r="H18" s="62"/>
      <x:c r="I18" s="62"/>
      <x:c r="J18" s="62"/>
    </x:row>
  </x:sheetData>
  <x:mergeCells>
    <x:mergeCell ref="A1:J1"/>
    <x:mergeCell ref="A2:J2"/>
    <x:mergeCell ref="A16:J16"/>
    <x:mergeCell ref="A17:J17"/>
    <x:mergeCell ref="A18:J18"/>
  </x:mergeCells>
  <x:conditionalFormatting sqref="B5:B1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{3A9C94E0-DF88-93AB-A54B-1C8F81E7365A}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A9C94E0-DF88-93AB-A54B-1C8F81E7365A}">
            <x14:dataBar gradient="1">
              <x14:cfvo type="min"/>
              <x14:cfvo type="max"/>
              <x14:fillColor rgb="FF0F766E"/>
            </x14:dataBar>
          </x14:cfRule>
          <xm:sqref>B5:B13</xm:sqref>
        </x14:conditionalFormatting>
      </x14:conditionalFormattings>
    </x:ext>
  </x:extLst>
</x:worksheet>
</file>