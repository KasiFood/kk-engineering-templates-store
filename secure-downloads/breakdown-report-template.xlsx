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b1b936d66c4309d/Desktop/LinkedIn Engineering Templates/"/>
    </mc:Choice>
  </mc:AlternateContent>
  <xr:revisionPtr revIDLastSave="0" documentId="8_{2686A397-D0DB-4998-81CD-B33A6214DDB0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📋 Breakdown Report" sheetId="1" r:id="rId1"/>
    <sheet name="Premium Guide" sheetId="2" r:id="rId2"/>
    <sheet name="Lists" sheetId="3" r:id="rId3"/>
    <sheet name="Action Tracker" sheetId="4" r:id="rId4"/>
    <sheet name="Downtime Cost Calculator" sheetId="5" r:id="rId5"/>
    <sheet name="RCA Trigger" sheetId="6" r:id="rId6"/>
    <sheet name="Evidence Log" sheetId="7" r:id="rId7"/>
    <sheet name="Premium Dashboard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11" i="8"/>
  <c r="B13" i="8" s="1"/>
  <c r="B10" i="8"/>
  <c r="B8" i="8"/>
  <c r="B7" i="8"/>
  <c r="B6" i="8"/>
  <c r="B9" i="8" s="1"/>
  <c r="B5" i="8"/>
  <c r="D9" i="6"/>
  <c r="D8" i="6"/>
  <c r="D10" i="6" s="1"/>
  <c r="D7" i="6"/>
  <c r="D6" i="6"/>
  <c r="D5" i="6"/>
  <c r="B9" i="5"/>
  <c r="B8" i="5"/>
  <c r="B11" i="5" s="1"/>
  <c r="B16" i="5" s="1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L12" i="1"/>
  <c r="L10" i="1"/>
  <c r="L9" i="1"/>
  <c r="L13" i="1" s="1"/>
  <c r="L14" i="1" s="1"/>
</calcChain>
</file>

<file path=xl/sharedStrings.xml><?xml version="1.0" encoding="utf-8"?>
<sst xmlns="http://schemas.openxmlformats.org/spreadsheetml/2006/main" count="272" uniqueCount="219">
  <si>
    <t>EQUIPMENT BREAKDOWN REPORT</t>
  </si>
  <si>
    <t>► Complete all yellow fields. This report must be submitted within 24 hours of the breakdown event.</t>
  </si>
  <si>
    <t>Report No.</t>
  </si>
  <si>
    <t>Date of Breakdown</t>
  </si>
  <si>
    <t>Time of Breakdown</t>
  </si>
  <si>
    <t>Shift</t>
  </si>
  <si>
    <t>Equipment Tag</t>
  </si>
  <si>
    <t>Equipment Name</t>
  </si>
  <si>
    <t>Plant / Area</t>
  </si>
  <si>
    <t>Production Line</t>
  </si>
  <si>
    <t>Work Order #</t>
  </si>
  <si>
    <t>Reported By</t>
  </si>
  <si>
    <t>Maintenance Supervisor</t>
  </si>
  <si>
    <t>Priority</t>
  </si>
  <si>
    <t xml:space="preserve">  1. DESCRIPTION OF BREAKDOWN — What happened?</t>
  </si>
  <si>
    <t xml:space="preserve">  2. SYMPTOMS OBSERVED (before / at time of failure)</t>
  </si>
  <si>
    <t xml:space="preserve">  3. IMMEDIATE CAUSE (visible physical cause)</t>
  </si>
  <si>
    <t xml:space="preserve">  4. ACTIONS TAKEN TO RESTORE EQUIPMENT</t>
  </si>
  <si>
    <t xml:space="preserve">  5. PARTS / MATERIALS USED</t>
  </si>
  <si>
    <t xml:space="preserve">  6. DOWNTIME SUMMARY</t>
  </si>
  <si>
    <t>Downtime Start</t>
  </si>
  <si>
    <t>Downtime End</t>
  </si>
  <si>
    <t>Total Hours</t>
  </si>
  <si>
    <t>Production Loss (units/R)</t>
  </si>
  <si>
    <t xml:space="preserve">  7. COST OF BREAKDOWN</t>
  </si>
  <si>
    <t>Cost Item</t>
  </si>
  <si>
    <t>Estimated Cost (R)</t>
  </si>
  <si>
    <t>Actual Cost (R)</t>
  </si>
  <si>
    <t>Notes</t>
  </si>
  <si>
    <t>Labour (hrs × rate)</t>
  </si>
  <si>
    <t>Spare parts</t>
  </si>
  <si>
    <t>Contractor fees</t>
  </si>
  <si>
    <t>Production loss</t>
  </si>
  <si>
    <t>Other</t>
  </si>
  <si>
    <t>TOTAL</t>
  </si>
  <si>
    <t xml:space="preserve">  8. ROOT CAUSE (initial assessment — full RCA if critical)</t>
  </si>
  <si>
    <t xml:space="preserve">  9. RECOMMENDED CORRECTIVE ACTIONS</t>
  </si>
  <si>
    <t>Technician</t>
  </si>
  <si>
    <t>Supervisor</t>
  </si>
  <si>
    <t>Manager</t>
  </si>
  <si>
    <t>Date Closed</t>
  </si>
  <si>
    <t>PREMIUM CALCULATIONS</t>
  </si>
  <si>
    <t>Breakdown Start</t>
  </si>
  <si>
    <t>Enter date/time</t>
  </si>
  <si>
    <t>Repair Start</t>
  </si>
  <si>
    <t>Repair Finish</t>
  </si>
  <si>
    <t>Return to Service</t>
  </si>
  <si>
    <t>Total Downtime (hrs)</t>
  </si>
  <si>
    <t>Auto</t>
  </si>
  <si>
    <t>Repair Time (hrs)</t>
  </si>
  <si>
    <t>Hourly Production Loss (R/hr)</t>
  </si>
  <si>
    <t>Input</t>
  </si>
  <si>
    <t>Production Loss (R)</t>
  </si>
  <si>
    <t>Full RCA Required?</t>
  </si>
  <si>
    <t>RCA Trigger Reason</t>
  </si>
  <si>
    <t>Breakdown Report Template — PREMIUM UPGRADE GUIDE</t>
  </si>
  <si>
    <t>Original template preserved. Added premium sheets turn the file into a semi-automated maintenance management tool.</t>
  </si>
  <si>
    <t>Step</t>
  </si>
  <si>
    <t>What to do</t>
  </si>
  <si>
    <t>Outcome</t>
  </si>
  <si>
    <t>1</t>
  </si>
  <si>
    <t>Enter field data</t>
  </si>
  <si>
    <t>Complete the original inspection/report sheet. Yellow cells and result columns are input fields.</t>
  </si>
  <si>
    <t>2</t>
  </si>
  <si>
    <t>Use dropdowns</t>
  </si>
  <si>
    <t>Use standardised results, priority, status, criticality and RCA decision fields to keep data clean.</t>
  </si>
  <si>
    <t>3</t>
  </si>
  <si>
    <t>Review dashboard</t>
  </si>
  <si>
    <t>Open the dashboard/summary sheet to view compliance, open actions, overdue actions and management risk indicators.</t>
  </si>
  <si>
    <t>4</t>
  </si>
  <si>
    <t>Close actions</t>
  </si>
  <si>
    <t>Transfer defects/recommendations to the Action Tracker with owner, due date, status and verification evidence.</t>
  </si>
  <si>
    <t>5</t>
  </si>
  <si>
    <t>Issue report</t>
  </si>
  <si>
    <t>Use the original form for site records and the added registers for meetings, audits and maintenance planning.</t>
  </si>
  <si>
    <t>Upgrades Implemented</t>
  </si>
  <si>
    <t>• Downtime auto-calculation and production loss calculator added.</t>
  </si>
  <si>
    <t>• Breakdown classification, priority and RCA trigger criteria added.</t>
  </si>
  <si>
    <t>• Parts/material cost calculator and shift handover log added.</t>
  </si>
  <si>
    <t>• Action tracker added with due dates, status, close-out verification and overdue calculation.</t>
  </si>
  <si>
    <t>• Dashboard added for downtime, cost, RCA trigger, open actions and management status.</t>
  </si>
  <si>
    <t>CONTROL LISTS / DROPDOWNS</t>
  </si>
  <si>
    <t>Edit these lists if your site uses different status, priority, failure mode or criticality labels.</t>
  </si>
  <si>
    <t>Status</t>
  </si>
  <si>
    <t>Result</t>
  </si>
  <si>
    <t>Severity</t>
  </si>
  <si>
    <t>Failure Mode</t>
  </si>
  <si>
    <t>Criticality</t>
  </si>
  <si>
    <t>RCA Required</t>
  </si>
  <si>
    <t>Open</t>
  </si>
  <si>
    <t>Critical</t>
  </si>
  <si>
    <t>✓</t>
  </si>
  <si>
    <t>Mechanical</t>
  </si>
  <si>
    <t>A - Critical</t>
  </si>
  <si>
    <t>Day</t>
  </si>
  <si>
    <t>Yes</t>
  </si>
  <si>
    <t>In Progress</t>
  </si>
  <si>
    <t>High</t>
  </si>
  <si>
    <t>✗</t>
  </si>
  <si>
    <t>Electrical</t>
  </si>
  <si>
    <t>B - Important</t>
  </si>
  <si>
    <t>Night</t>
  </si>
  <si>
    <t>No</t>
  </si>
  <si>
    <t>Complete</t>
  </si>
  <si>
    <t>Medium</t>
  </si>
  <si>
    <t>N/A</t>
  </si>
  <si>
    <t>Lubrication</t>
  </si>
  <si>
    <t>C - General</t>
  </si>
  <si>
    <t>A</t>
  </si>
  <si>
    <t>TBC</t>
  </si>
  <si>
    <t>Overdue</t>
  </si>
  <si>
    <t>Low</t>
  </si>
  <si>
    <t>Monitor</t>
  </si>
  <si>
    <t>Hydraulic</t>
  </si>
  <si>
    <t>B</t>
  </si>
  <si>
    <t>Deferred</t>
  </si>
  <si>
    <t>Pneumatic</t>
  </si>
  <si>
    <t>C</t>
  </si>
  <si>
    <t>Cancelled</t>
  </si>
  <si>
    <t>Instrumentation</t>
  </si>
  <si>
    <t>D</t>
  </si>
  <si>
    <t>Verified</t>
  </si>
  <si>
    <t>Process</t>
  </si>
  <si>
    <t>Operator</t>
  </si>
  <si>
    <t>Design</t>
  </si>
  <si>
    <t>Unknown</t>
  </si>
  <si>
    <t>ACTION TRACKER</t>
  </si>
  <si>
    <t>Central register for defects, recommendations, close-out dates, and verification.</t>
  </si>
  <si>
    <t>Source/Sheet</t>
  </si>
  <si>
    <t>Asset / Equipment</t>
  </si>
  <si>
    <t>Finding / Defect</t>
  </si>
  <si>
    <t>Risk / Impact</t>
  </si>
  <si>
    <t>Responsible Person</t>
  </si>
  <si>
    <t>Due Date</t>
  </si>
  <si>
    <t>Close-out Date</t>
  </si>
  <si>
    <t>Verification / Evidence</t>
  </si>
  <si>
    <t>Days Overdue</t>
  </si>
  <si>
    <t>DOWNTIME COST CALCULATOR</t>
  </si>
  <si>
    <t>Quantifies downtime, repair time, labour, spares and production loss.</t>
  </si>
  <si>
    <t>Returned to Service</t>
  </si>
  <si>
    <t>Total Downtime Hours</t>
  </si>
  <si>
    <t>Repair Time Hours</t>
  </si>
  <si>
    <t>Hourly Production Loss Rate</t>
  </si>
  <si>
    <t>R/hr</t>
  </si>
  <si>
    <t>Production Loss</t>
  </si>
  <si>
    <t>R</t>
  </si>
  <si>
    <t>Labour Cost</t>
  </si>
  <si>
    <t>Spares/Materials Cost</t>
  </si>
  <si>
    <t>Contractor/Specialist Cost</t>
  </si>
  <si>
    <t>Secondary Damage Cost</t>
  </si>
  <si>
    <t>Total Cost of Breakdown</t>
  </si>
  <si>
    <t>RCA TRIGGER MATRIX</t>
  </si>
  <si>
    <t>Use this to decide if the breakdown requires full root cause analysis.</t>
  </si>
  <si>
    <t>Trigger</t>
  </si>
  <si>
    <t>Threshold</t>
  </si>
  <si>
    <t>Actual</t>
  </si>
  <si>
    <t>Triggered?</t>
  </si>
  <si>
    <t>Downtime duration</t>
  </si>
  <si>
    <t>&gt;= 4 hours</t>
  </si>
  <si>
    <t>&gt;= R50,000</t>
  </si>
  <si>
    <t>Repeat failure</t>
  </si>
  <si>
    <t>&gt;= 2 events in 90 days</t>
  </si>
  <si>
    <t>Safety impact</t>
  </si>
  <si>
    <t>Any injury/high potential incident</t>
  </si>
  <si>
    <t>Environmental impact</t>
  </si>
  <si>
    <t>Any reportable spill/release</t>
  </si>
  <si>
    <t>RCA Decision</t>
  </si>
  <si>
    <t>EVIDENCE LOG</t>
  </si>
  <si>
    <t>Record photo evidence references; paste links to shared folders/CMMS records rather than inserting large images into the workbook.</t>
  </si>
  <si>
    <t>Photo Ref</t>
  </si>
  <si>
    <t>Equipment</t>
  </si>
  <si>
    <t>Component / Location</t>
  </si>
  <si>
    <t>Finding Shown</t>
  </si>
  <si>
    <t>File/Folder Link</t>
  </si>
  <si>
    <t>Taken By</t>
  </si>
  <si>
    <t>Date</t>
  </si>
  <si>
    <t>Action Ref</t>
  </si>
  <si>
    <t>PH-001</t>
  </si>
  <si>
    <t>PH-002</t>
  </si>
  <si>
    <t>PH-003</t>
  </si>
  <si>
    <t>PH-004</t>
  </si>
  <si>
    <t>PH-005</t>
  </si>
  <si>
    <t>PH-006</t>
  </si>
  <si>
    <t>PH-007</t>
  </si>
  <si>
    <t>PH-008</t>
  </si>
  <si>
    <t>PH-009</t>
  </si>
  <si>
    <t>PH-010</t>
  </si>
  <si>
    <t>PH-011</t>
  </si>
  <si>
    <t>PH-012</t>
  </si>
  <si>
    <t>PH-013</t>
  </si>
  <si>
    <t>PH-014</t>
  </si>
  <si>
    <t>PH-015</t>
  </si>
  <si>
    <t>BREAKDOWN PREMIUM DASHBOARD</t>
  </si>
  <si>
    <t>Formula-driven summary from the inspection sheet and Action Tracker.</t>
  </si>
  <si>
    <t>Metric</t>
  </si>
  <si>
    <t>Value</t>
  </si>
  <si>
    <t>Interpretation</t>
  </si>
  <si>
    <t>Total checklist items</t>
  </si>
  <si>
    <t>Numbered inspection items</t>
  </si>
  <si>
    <t>Pass / OK count</t>
  </si>
  <si>
    <t>All items marked satisfactory</t>
  </si>
  <si>
    <t>Fail / defect count</t>
  </si>
  <si>
    <t>Items requiring action</t>
  </si>
  <si>
    <t>N/A count</t>
  </si>
  <si>
    <t>Not applicable items</t>
  </si>
  <si>
    <t>Compliance %</t>
  </si>
  <si>
    <t>Passes ÷ applicable checks</t>
  </si>
  <si>
    <t>Actions raised</t>
  </si>
  <si>
    <t>Non-empty action fields</t>
  </si>
  <si>
    <t>Open actions</t>
  </si>
  <si>
    <t>Not complete or verified</t>
  </si>
  <si>
    <t>Overdue actions</t>
  </si>
  <si>
    <t>Past due and not complete</t>
  </si>
  <si>
    <t>Overall status</t>
  </si>
  <si>
    <t>Management interpretation</t>
  </si>
  <si>
    <t>Management Notes</t>
  </si>
  <si>
    <t>Use this page before maintenance meetings to identify overdue actions, repeated failed items and repair priority.</t>
  </si>
  <si>
    <t>Any defect without a responsible person and due date should be transferred to the Action Tracker.</t>
  </si>
  <si>
    <t>Safety-critical failed items should trigger supervisor review before the equipment is returned to service.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</si>
</sst>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yyyy\-mm\-dd"/>
    <numFmt numFmtId="165" formatCode="yyyy\-mm\-dd\ hh:mm"/>
    <numFmt numFmtId="166" formatCode="\R\ #,##0.00"/>
  </numFmts>
  <fonts count="13" x14ac:knownFonts="1">
    <font>
      <sz val="11"/>
      <color theme="1"/>
      <name val="Calibri"/>
    </font>
    <font>
      <sz val="10"/>
      <name val="Arial"/>
    </font>
    <font>
      <b/>
      <sz val="13"/>
      <color rgb="FFE8A020"/>
      <name val="Arial"/>
    </font>
    <font>
      <i/>
      <sz val="8"/>
      <color rgb="FF717D7E"/>
      <name val="Arial"/>
    </font>
    <font>
      <b/>
      <sz val="9"/>
      <color rgb="FFFFFFFF"/>
      <name val="Arial"/>
    </font>
    <font>
      <sz val="9"/>
      <color rgb="FF1A1A2E"/>
      <name val="Arial"/>
    </font>
    <font>
      <b/>
      <sz val="10"/>
      <color rgb="FFFFFFFF"/>
      <name val="Arial"/>
    </font>
    <font>
      <sz val="10"/>
      <color rgb="FF1A1A2E"/>
      <name val="Arial"/>
    </font>
    <font>
      <b/>
      <sz val="16"/>
      <color rgb="FFFFFFFF"/>
      <name val="Calibri"/>
    </font>
    <font>
      <i/>
      <sz val="10"/>
      <color rgb="FF1F2937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b/>
      <sz val="11"/>
      <color theme="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9E6"/>
      </patternFill>
    </fill>
    <fill>
      <patternFill patternType="solid">
        <fgColor rgb="FF16213E"/>
      </patternFill>
    </fill>
    <fill>
      <patternFill patternType="solid">
        <fgColor rgb="FFF2F3F4"/>
      </patternFill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6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</cellStyleXfs>
  <cellXfs count="34">
    <xf numFmtId="0" fontId="0" fillId="0" borderId="0" xfId="0"/>
    <xf numFmtId="0" fontId="0" fillId="10" borderId="0" xfId="0" applyFill="1" applyAlignment="1">
      <alignment wrapText="1"/>
    </xf>
    <xf numFmtId="0" fontId="9" fillId="7" borderId="0" xfId="0" applyFont="1" applyFill="1" applyAlignment="1">
      <alignment wrapText="1"/>
    </xf>
    <xf numFmtId="0" fontId="8" fillId="6" borderId="0" xfId="0" applyFont="1" applyFill="1" applyAlignment="1">
      <alignment horizontal="left" vertical="center"/>
    </xf>
    <xf numFmtId="0" fontId="6" fillId="4" borderId="2" xfId="0" applyFont="1" applyFill="1" applyBorder="1"/>
    <xf numFmtId="0" fontId="5" fillId="5" borderId="1" xfId="0" applyFont="1" applyFill="1" applyBorder="1"/>
    <xf numFmtId="0" fontId="7" fillId="3" borderId="2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0" fontId="4" fillId="4" borderId="1" xfId="0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6" fillId="4" borderId="1" xfId="0" applyFont="1" applyFill="1" applyBorder="1"/>
    <xf numFmtId="0" fontId="4" fillId="4" borderId="1" xfId="0" applyFont="1" applyFill="1" applyBorder="1" applyAlignment="1">
      <alignment horizontal="center" vertical="center" wrapText="1"/>
    </xf>
    <xf numFmtId="0" fontId="10" fillId="8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1" fillId="9" borderId="0" xfId="0" applyFont="1" applyFill="1"/>
    <xf numFmtId="0" fontId="11" fillId="8" borderId="0" xfId="0" applyFont="1" applyFill="1"/>
    <xf numFmtId="164" fontId="0" fillId="0" borderId="0" xfId="0" applyNumberFormat="1" applyAlignment="1">
      <alignment vertical="top" wrapText="1"/>
    </xf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11" fillId="7" borderId="0" xfId="0" applyFont="1" applyFill="1"/>
    <xf numFmtId="0" fontId="12" fillId="7" borderId="0" xfId="0" applyFont="1" applyFill="1"/>
    <xf numFmtId="165" fontId="11" fillId="8" borderId="0" xfId="0" applyNumberFormat="1" applyFont="1" applyFill="1"/>
    <xf numFmtId="0" fontId="11" fillId="8" borderId="0" xfId="0" applyFont="1" applyFill="1" applyAlignment="1">
      <alignment wrapText="1"/>
    </xf>
    <xf numFmtId="0" fontId="12" fillId="7" borderId="0" xfId="0" applyFont="1" applyFill="1" applyAlignment="1">
      <alignment wrapText="1"/>
    </xf>
    <xf numFmtId="9" fontId="0" fillId="0" borderId="0" xfId="0" applyNumberFormat="1" applyAlignment="1">
      <alignment wrapText="1"/>
    </xf>
  </cellXfs>
  <cellStyles count="6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Percent" xfId="5" xr:uid="{00000000-0005-0000-0000-000005000000}"/>
  </cellStyles>
  <dxfs count="1">
    <dxf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17D7E"/>
      <rgbColor rgb="FF9999FF"/>
      <rgbColor rgb="FF993366"/>
      <rgbColor rgb="FFFFF9E6"/>
      <rgbColor rgb="FFF2F3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A02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reakdownActionTracker" displayName="BreakdownActionTracker" ref="A4:K34">
  <tableColumns count="11">
    <tableColumn id="1" xr3:uid="{00000000-0010-0000-0000-000001000000}" name="Source/Sheet"/>
    <tableColumn id="2" xr3:uid="{00000000-0010-0000-0000-000002000000}" name="Asset / Equipment"/>
    <tableColumn id="3" xr3:uid="{00000000-0010-0000-0000-000003000000}" name="Finding / Defect"/>
    <tableColumn id="4" xr3:uid="{00000000-0010-0000-0000-000004000000}" name="Risk / Impact"/>
    <tableColumn id="5" xr3:uid="{00000000-0010-0000-0000-000005000000}" name="Priority"/>
    <tableColumn id="6" xr3:uid="{00000000-0010-0000-0000-000006000000}" name="Responsible Person"/>
    <tableColumn id="7" xr3:uid="{00000000-0010-0000-0000-000007000000}" name="Due Date"/>
    <tableColumn id="8" xr3:uid="{00000000-0010-0000-0000-000008000000}" name="Status"/>
    <tableColumn id="9" xr3:uid="{00000000-0010-0000-0000-000009000000}" name="Close-out Date"/>
    <tableColumn id="10" xr3:uid="{00000000-0010-0000-0000-00000A000000}" name="Verification / Evidence"/>
    <tableColumn id="11" xr3:uid="{00000000-0010-0000-0000-00000B000000}" name="Days Overd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reakdownPhotoLog" displayName="BreakdownPhotoLog" ref="A4:J19">
  <tableColumns count="10">
    <tableColumn id="1" xr3:uid="{00000000-0010-0000-0100-000001000000}" name="Photo Ref"/>
    <tableColumn id="2" xr3:uid="{00000000-0010-0000-0100-000002000000}" name="Equipment"/>
    <tableColumn id="3" xr3:uid="{00000000-0010-0000-0100-000003000000}" name="Component / Location"/>
    <tableColumn id="4" xr3:uid="{00000000-0010-0000-0100-000004000000}" name="Finding Shown"/>
    <tableColumn id="5" xr3:uid="{00000000-0010-0000-0100-000005000000}" name="File/Folder Link"/>
    <tableColumn id="6" xr3:uid="{00000000-0010-0000-0100-000006000000}" name="Taken By"/>
    <tableColumn id="7" xr3:uid="{00000000-0010-0000-0100-000007000000}" name="Date"/>
    <tableColumn id="8" xr3:uid="{00000000-0010-0000-0100-000008000000}" name="Severity"/>
    <tableColumn id="9" xr3:uid="{00000000-0010-0000-0100-000009000000}" name="Action Ref"/>
    <tableColumn id="10" xr3:uid="{00000000-0010-0000-01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A020"/>
  </sheetPr>
  <dimension ref="A1:M58"/>
  <sheetViews>
    <sheetView showGridLines="0" workbookViewId="0"/>
  </sheetViews>
  <sheetFormatPr defaultColWidth="8.6640625" defaultRowHeight="14.4" x14ac:dyDescent="0.3"/>
  <cols>
    <col min="2" max="2" width="2" customWidth="1"/>
    <col min="3" max="4" width="24" customWidth="1"/>
    <col min="5" max="5" width="16" customWidth="1"/>
    <col min="6" max="9" width="14" customWidth="1"/>
    <col min="10" max="10" width="20" customWidth="1"/>
    <col min="11" max="11" width="26" customWidth="1"/>
    <col min="12" max="12" width="22" customWidth="1"/>
    <col min="13" max="13" width="26" customWidth="1"/>
  </cols>
  <sheetData>
    <row r="1" spans="1:13" ht="7.5" customHeight="1" x14ac:dyDescent="0.3"/>
    <row r="2" spans="1:13" ht="37.5" customHeight="1" x14ac:dyDescent="0.3">
      <c r="A2" s="10"/>
      <c r="B2" s="9" t="s">
        <v>0</v>
      </c>
      <c r="C2" s="9"/>
      <c r="D2" s="9"/>
      <c r="E2" s="9"/>
      <c r="F2" s="9"/>
      <c r="G2" s="9"/>
      <c r="H2" s="9"/>
      <c r="I2" s="9"/>
      <c r="J2" s="9"/>
      <c r="K2" s="10"/>
    </row>
    <row r="3" spans="1:13" ht="18" customHeight="1" x14ac:dyDescent="0.3">
      <c r="B3" s="8" t="s">
        <v>1</v>
      </c>
      <c r="C3" s="8"/>
      <c r="D3" s="8"/>
      <c r="E3" s="8"/>
      <c r="F3" s="8"/>
      <c r="G3" s="8"/>
      <c r="H3" s="8"/>
      <c r="I3" s="8"/>
    </row>
    <row r="4" spans="1:13" ht="19.5" customHeight="1" x14ac:dyDescent="0.3">
      <c r="B4" s="11" t="s">
        <v>2</v>
      </c>
      <c r="C4" s="12"/>
      <c r="D4" s="11" t="s">
        <v>3</v>
      </c>
      <c r="E4" s="12"/>
      <c r="F4" s="11" t="s">
        <v>4</v>
      </c>
      <c r="G4" s="12"/>
      <c r="H4" s="11" t="s">
        <v>5</v>
      </c>
      <c r="I4" s="12"/>
      <c r="K4" s="22" t="s">
        <v>41</v>
      </c>
      <c r="L4" s="22"/>
      <c r="M4" s="22"/>
    </row>
    <row r="5" spans="1:13" ht="19.5" customHeight="1" x14ac:dyDescent="0.3">
      <c r="B5" s="11" t="s">
        <v>6</v>
      </c>
      <c r="C5" s="12"/>
      <c r="D5" s="11" t="s">
        <v>7</v>
      </c>
      <c r="E5" s="12"/>
      <c r="F5" s="11" t="s">
        <v>8</v>
      </c>
      <c r="G5" s="12"/>
      <c r="H5" s="11" t="s">
        <v>9</v>
      </c>
      <c r="I5" s="12"/>
      <c r="K5" t="s">
        <v>42</v>
      </c>
      <c r="L5" s="25"/>
      <c r="M5" t="s">
        <v>43</v>
      </c>
    </row>
    <row r="6" spans="1:13" ht="19.5" customHeight="1" x14ac:dyDescent="0.3">
      <c r="B6" s="11" t="s">
        <v>10</v>
      </c>
      <c r="C6" s="12"/>
      <c r="D6" s="11" t="s">
        <v>11</v>
      </c>
      <c r="E6" s="12"/>
      <c r="F6" s="11" t="s">
        <v>12</v>
      </c>
      <c r="G6" s="12"/>
      <c r="H6" s="11" t="s">
        <v>13</v>
      </c>
      <c r="I6" s="12"/>
      <c r="K6" t="s">
        <v>44</v>
      </c>
      <c r="L6" s="25"/>
      <c r="M6" t="s">
        <v>43</v>
      </c>
    </row>
    <row r="7" spans="1:13" ht="9.75" customHeight="1" x14ac:dyDescent="0.3">
      <c r="K7" t="s">
        <v>45</v>
      </c>
      <c r="L7" s="25"/>
      <c r="M7" t="s">
        <v>43</v>
      </c>
    </row>
    <row r="8" spans="1:13" ht="21.75" customHeight="1" x14ac:dyDescent="0.3">
      <c r="B8" s="7" t="s">
        <v>14</v>
      </c>
      <c r="C8" s="7"/>
      <c r="D8" s="7"/>
      <c r="E8" s="7"/>
      <c r="F8" s="7"/>
      <c r="G8" s="7"/>
      <c r="H8" s="7"/>
      <c r="I8" s="7"/>
      <c r="J8" s="7"/>
      <c r="K8" t="s">
        <v>46</v>
      </c>
      <c r="L8" s="25"/>
      <c r="M8" t="s">
        <v>43</v>
      </c>
    </row>
    <row r="9" spans="1:13" ht="21.75" customHeight="1" x14ac:dyDescent="0.3">
      <c r="B9" s="6"/>
      <c r="C9" s="6"/>
      <c r="D9" s="6"/>
      <c r="E9" s="6"/>
      <c r="F9" s="6"/>
      <c r="G9" s="6"/>
      <c r="H9" s="6"/>
      <c r="I9" s="6"/>
      <c r="J9" s="6"/>
      <c r="K9" t="s">
        <v>47</v>
      </c>
      <c r="L9" s="26" t="str">
        <f>IF(OR(L5="",L8=""),"",MAX(0,(L8-L5)*24))</f>
        <v/>
      </c>
      <c r="M9" t="s">
        <v>48</v>
      </c>
    </row>
    <row r="10" spans="1:13" ht="21.75" customHeight="1" x14ac:dyDescent="0.3">
      <c r="B10" s="6"/>
      <c r="C10" s="6"/>
      <c r="D10" s="6"/>
      <c r="E10" s="6"/>
      <c r="F10" s="6"/>
      <c r="G10" s="6"/>
      <c r="H10" s="6"/>
      <c r="I10" s="6"/>
      <c r="J10" s="6"/>
      <c r="K10" t="s">
        <v>49</v>
      </c>
      <c r="L10" s="26" t="str">
        <f>IF(OR(L6="",L7=""),"",MAX(0,(L7-L6)*24))</f>
        <v/>
      </c>
      <c r="M10" t="s">
        <v>48</v>
      </c>
    </row>
    <row r="11" spans="1:13" ht="21.75" customHeight="1" x14ac:dyDescent="0.3">
      <c r="B11" s="6"/>
      <c r="C11" s="6"/>
      <c r="D11" s="6"/>
      <c r="E11" s="6"/>
      <c r="F11" s="6"/>
      <c r="G11" s="6"/>
      <c r="H11" s="6"/>
      <c r="I11" s="6"/>
      <c r="J11" s="6"/>
      <c r="K11" t="s">
        <v>50</v>
      </c>
      <c r="L11" s="27"/>
      <c r="M11" t="s">
        <v>51</v>
      </c>
    </row>
    <row r="12" spans="1:13" ht="21.75" customHeight="1" x14ac:dyDescent="0.3">
      <c r="B12" s="6"/>
      <c r="C12" s="6"/>
      <c r="D12" s="6"/>
      <c r="E12" s="6"/>
      <c r="F12" s="6"/>
      <c r="G12" s="6"/>
      <c r="H12" s="6"/>
      <c r="I12" s="6"/>
      <c r="J12" s="6"/>
      <c r="K12" t="s">
        <v>52</v>
      </c>
      <c r="L12" s="27" t="str">
        <f>IF(OR(L9="",L11=""),"",L9*L11)</f>
        <v/>
      </c>
      <c r="M12" t="s">
        <v>48</v>
      </c>
    </row>
    <row r="13" spans="1:13" ht="9.75" customHeight="1" x14ac:dyDescent="0.3">
      <c r="K13" t="s">
        <v>53</v>
      </c>
      <c r="L13" t="str">
        <f>IF(OR(L9&gt;=4,L12&gt;=50000),"Yes","No")</f>
        <v>Yes</v>
      </c>
      <c r="M13" t="s">
        <v>48</v>
      </c>
    </row>
    <row r="14" spans="1:13" ht="21.75" customHeight="1" x14ac:dyDescent="0.3">
      <c r="B14" s="7" t="s">
        <v>15</v>
      </c>
      <c r="C14" s="7"/>
      <c r="D14" s="7"/>
      <c r="E14" s="7"/>
      <c r="F14" s="7"/>
      <c r="G14" s="7"/>
      <c r="H14" s="7"/>
      <c r="I14" s="7"/>
      <c r="J14" s="7"/>
      <c r="K14" t="s">
        <v>54</v>
      </c>
      <c r="L14" t="str">
        <f>IF(L13="Yes","Downtime &gt;= 4 hrs or production loss &gt;= R50k","Below RCA trigger threshold")</f>
        <v>Downtime &gt;= 4 hrs or production loss &gt;= R50k</v>
      </c>
      <c r="M14" t="s">
        <v>48</v>
      </c>
    </row>
    <row r="15" spans="1:13" ht="21.75" customHeight="1" x14ac:dyDescent="0.3">
      <c r="B15" s="6"/>
      <c r="C15" s="6"/>
      <c r="D15" s="6"/>
      <c r="E15" s="6"/>
      <c r="F15" s="6"/>
      <c r="G15" s="6"/>
      <c r="H15" s="6"/>
      <c r="I15" s="6"/>
      <c r="J15" s="6"/>
    </row>
    <row r="16" spans="1:13" ht="21.75" customHeight="1" x14ac:dyDescent="0.3">
      <c r="B16" s="6"/>
      <c r="C16" s="6"/>
      <c r="D16" s="6"/>
      <c r="E16" s="6"/>
      <c r="F16" s="6"/>
      <c r="G16" s="6"/>
      <c r="H16" s="6"/>
      <c r="I16" s="6"/>
      <c r="J16" s="6"/>
    </row>
    <row r="17" spans="2:10" ht="21.75" customHeight="1" x14ac:dyDescent="0.3">
      <c r="B17" s="6"/>
      <c r="C17" s="6"/>
      <c r="D17" s="6"/>
      <c r="E17" s="6"/>
      <c r="F17" s="6"/>
      <c r="G17" s="6"/>
      <c r="H17" s="6"/>
      <c r="I17" s="6"/>
      <c r="J17" s="6"/>
    </row>
    <row r="18" spans="2:10" ht="9.75" customHeight="1" x14ac:dyDescent="0.3"/>
    <row r="19" spans="2:10" ht="21.75" customHeight="1" x14ac:dyDescent="0.3">
      <c r="B19" s="7" t="s">
        <v>16</v>
      </c>
      <c r="C19" s="7"/>
      <c r="D19" s="7"/>
      <c r="E19" s="7"/>
      <c r="F19" s="7"/>
      <c r="G19" s="7"/>
      <c r="H19" s="7"/>
      <c r="I19" s="7"/>
      <c r="J19" s="7"/>
    </row>
    <row r="20" spans="2:10" ht="21.75" customHeight="1" x14ac:dyDescent="0.3">
      <c r="B20" s="6"/>
      <c r="C20" s="6"/>
      <c r="D20" s="6"/>
      <c r="E20" s="6"/>
      <c r="F20" s="6"/>
      <c r="G20" s="6"/>
      <c r="H20" s="6"/>
      <c r="I20" s="6"/>
      <c r="J20" s="6"/>
    </row>
    <row r="21" spans="2:10" ht="21.75" customHeight="1" x14ac:dyDescent="0.3">
      <c r="B21" s="6"/>
      <c r="C21" s="6"/>
      <c r="D21" s="6"/>
      <c r="E21" s="6"/>
      <c r="F21" s="6"/>
      <c r="G21" s="6"/>
      <c r="H21" s="6"/>
      <c r="I21" s="6"/>
      <c r="J21" s="6"/>
    </row>
    <row r="22" spans="2:10" ht="21.75" customHeight="1" x14ac:dyDescent="0.3">
      <c r="B22" s="6"/>
      <c r="C22" s="6"/>
      <c r="D22" s="6"/>
      <c r="E22" s="6"/>
      <c r="F22" s="6"/>
      <c r="G22" s="6"/>
      <c r="H22" s="6"/>
      <c r="I22" s="6"/>
      <c r="J22" s="6"/>
    </row>
    <row r="23" spans="2:10" ht="9.75" customHeight="1" x14ac:dyDescent="0.3"/>
    <row r="24" spans="2:10" ht="21.75" customHeight="1" x14ac:dyDescent="0.3">
      <c r="B24" s="7" t="s">
        <v>17</v>
      </c>
      <c r="C24" s="7"/>
      <c r="D24" s="7"/>
      <c r="E24" s="7"/>
      <c r="F24" s="7"/>
      <c r="G24" s="7"/>
      <c r="H24" s="7"/>
      <c r="I24" s="7"/>
      <c r="J24" s="7"/>
    </row>
    <row r="25" spans="2:10" ht="21.75" customHeight="1" x14ac:dyDescent="0.3">
      <c r="B25" s="6"/>
      <c r="C25" s="6"/>
      <c r="D25" s="6"/>
      <c r="E25" s="6"/>
      <c r="F25" s="6"/>
      <c r="G25" s="6"/>
      <c r="H25" s="6"/>
      <c r="I25" s="6"/>
      <c r="J25" s="6"/>
    </row>
    <row r="26" spans="2:10" ht="21.75" customHeight="1" x14ac:dyDescent="0.3">
      <c r="B26" s="6"/>
      <c r="C26" s="6"/>
      <c r="D26" s="6"/>
      <c r="E26" s="6"/>
      <c r="F26" s="6"/>
      <c r="G26" s="6"/>
      <c r="H26" s="6"/>
      <c r="I26" s="6"/>
      <c r="J26" s="6"/>
    </row>
    <row r="27" spans="2:10" ht="21.75" customHeight="1" x14ac:dyDescent="0.3">
      <c r="B27" s="6"/>
      <c r="C27" s="6"/>
      <c r="D27" s="6"/>
      <c r="E27" s="6"/>
      <c r="F27" s="6"/>
      <c r="G27" s="6"/>
      <c r="H27" s="6"/>
      <c r="I27" s="6"/>
      <c r="J27" s="6"/>
    </row>
    <row r="28" spans="2:10" ht="21.75" customHeight="1" x14ac:dyDescent="0.3">
      <c r="B28" s="6"/>
      <c r="C28" s="6"/>
      <c r="D28" s="6"/>
      <c r="E28" s="6"/>
      <c r="F28" s="6"/>
      <c r="G28" s="6"/>
      <c r="H28" s="6"/>
      <c r="I28" s="6"/>
      <c r="J28" s="6"/>
    </row>
    <row r="29" spans="2:10" ht="9.75" customHeight="1" x14ac:dyDescent="0.3"/>
    <row r="30" spans="2:10" ht="21.75" customHeight="1" x14ac:dyDescent="0.3">
      <c r="B30" s="7" t="s">
        <v>18</v>
      </c>
      <c r="C30" s="7"/>
      <c r="D30" s="7"/>
      <c r="E30" s="7"/>
      <c r="F30" s="7"/>
      <c r="G30" s="7"/>
      <c r="H30" s="7"/>
      <c r="I30" s="7"/>
      <c r="J30" s="7"/>
    </row>
    <row r="31" spans="2:10" ht="21.75" customHeight="1" x14ac:dyDescent="0.3">
      <c r="B31" s="6"/>
      <c r="C31" s="6"/>
      <c r="D31" s="6"/>
      <c r="E31" s="6"/>
      <c r="F31" s="6"/>
      <c r="G31" s="6"/>
      <c r="H31" s="6"/>
      <c r="I31" s="6"/>
      <c r="J31" s="6"/>
    </row>
    <row r="32" spans="2:10" ht="21.75" customHeight="1" x14ac:dyDescent="0.3">
      <c r="B32" s="6"/>
      <c r="C32" s="6"/>
      <c r="D32" s="6"/>
      <c r="E32" s="6"/>
      <c r="F32" s="6"/>
      <c r="G32" s="6"/>
      <c r="H32" s="6"/>
      <c r="I32" s="6"/>
      <c r="J32" s="6"/>
    </row>
    <row r="33" spans="2:10" ht="21.75" customHeight="1" x14ac:dyDescent="0.3">
      <c r="B33" s="6"/>
      <c r="C33" s="6"/>
      <c r="D33" s="6"/>
      <c r="E33" s="6"/>
      <c r="F33" s="6"/>
      <c r="G33" s="6"/>
      <c r="H33" s="6"/>
      <c r="I33" s="6"/>
      <c r="J33" s="6"/>
    </row>
    <row r="34" spans="2:10" ht="9.75" customHeight="1" x14ac:dyDescent="0.3"/>
    <row r="35" spans="2:10" ht="21.75" customHeight="1" x14ac:dyDescent="0.3">
      <c r="B35" s="7" t="s">
        <v>19</v>
      </c>
      <c r="C35" s="7"/>
      <c r="D35" s="7"/>
      <c r="E35" s="7"/>
      <c r="F35" s="7"/>
      <c r="G35" s="7"/>
      <c r="H35" s="7"/>
      <c r="I35" s="7"/>
      <c r="J35" s="7"/>
    </row>
    <row r="36" spans="2:10" ht="19.5" customHeight="1" x14ac:dyDescent="0.3">
      <c r="B36" s="13" t="s">
        <v>20</v>
      </c>
      <c r="C36" s="14"/>
      <c r="D36" s="13" t="s">
        <v>21</v>
      </c>
      <c r="E36" s="14"/>
      <c r="F36" s="13" t="s">
        <v>22</v>
      </c>
      <c r="G36" s="14"/>
      <c r="H36" s="13" t="s">
        <v>23</v>
      </c>
      <c r="I36" s="14"/>
    </row>
    <row r="37" spans="2:10" ht="9.75" customHeight="1" x14ac:dyDescent="0.3"/>
    <row r="38" spans="2:10" ht="21.75" customHeight="1" x14ac:dyDescent="0.3">
      <c r="B38" s="7" t="s">
        <v>24</v>
      </c>
      <c r="C38" s="7"/>
      <c r="D38" s="7"/>
      <c r="E38" s="7"/>
      <c r="F38" s="7"/>
      <c r="G38" s="7"/>
      <c r="H38" s="7"/>
      <c r="I38" s="7"/>
      <c r="J38" s="7"/>
    </row>
    <row r="39" spans="2:10" ht="19.5" customHeight="1" x14ac:dyDescent="0.3">
      <c r="B39" s="15" t="s">
        <v>25</v>
      </c>
      <c r="E39" s="15" t="s">
        <v>26</v>
      </c>
      <c r="G39" s="15" t="s">
        <v>27</v>
      </c>
      <c r="I39" s="15" t="s">
        <v>28</v>
      </c>
    </row>
    <row r="40" spans="2:10" ht="18" customHeight="1" x14ac:dyDescent="0.3">
      <c r="B40" s="5" t="s">
        <v>29</v>
      </c>
      <c r="C40" s="5"/>
      <c r="D40" s="5"/>
      <c r="E40" s="16"/>
      <c r="F40" s="16"/>
      <c r="G40" s="16"/>
      <c r="H40" s="16"/>
      <c r="I40" s="16"/>
      <c r="J40" s="16"/>
    </row>
    <row r="41" spans="2:10" ht="18" customHeight="1" x14ac:dyDescent="0.3">
      <c r="B41" s="5" t="s">
        <v>30</v>
      </c>
      <c r="C41" s="5"/>
      <c r="D41" s="5"/>
      <c r="E41" s="16"/>
      <c r="F41" s="16"/>
      <c r="G41" s="16"/>
      <c r="H41" s="16"/>
      <c r="I41" s="16"/>
      <c r="J41" s="16"/>
    </row>
    <row r="42" spans="2:10" ht="18" customHeight="1" x14ac:dyDescent="0.3">
      <c r="B42" s="5" t="s">
        <v>31</v>
      </c>
      <c r="C42" s="5"/>
      <c r="D42" s="5"/>
      <c r="E42" s="16"/>
      <c r="F42" s="16"/>
      <c r="G42" s="16"/>
      <c r="H42" s="16"/>
      <c r="I42" s="16"/>
      <c r="J42" s="16"/>
    </row>
    <row r="43" spans="2:10" ht="18" customHeight="1" x14ac:dyDescent="0.3">
      <c r="B43" s="5" t="s">
        <v>32</v>
      </c>
      <c r="C43" s="5"/>
      <c r="D43" s="5"/>
      <c r="E43" s="16"/>
      <c r="F43" s="16"/>
      <c r="G43" s="16"/>
      <c r="H43" s="16"/>
      <c r="I43" s="16"/>
      <c r="J43" s="16"/>
    </row>
    <row r="44" spans="2:10" ht="18" customHeight="1" x14ac:dyDescent="0.3">
      <c r="B44" s="5" t="s">
        <v>33</v>
      </c>
      <c r="C44" s="5"/>
      <c r="D44" s="5"/>
      <c r="E44" s="16"/>
      <c r="F44" s="16"/>
      <c r="G44" s="16"/>
      <c r="H44" s="16"/>
      <c r="I44" s="16"/>
      <c r="J44" s="16"/>
    </row>
    <row r="45" spans="2:10" ht="19.5" customHeight="1" x14ac:dyDescent="0.3">
      <c r="B45" s="4" t="s">
        <v>34</v>
      </c>
      <c r="C45" s="4"/>
      <c r="D45" s="4"/>
      <c r="E45" s="17"/>
      <c r="F45" s="17"/>
    </row>
    <row r="46" spans="2:10" ht="9.75" customHeight="1" x14ac:dyDescent="0.3"/>
    <row r="47" spans="2:10" ht="21.75" customHeight="1" x14ac:dyDescent="0.3">
      <c r="B47" s="7" t="s">
        <v>35</v>
      </c>
      <c r="C47" s="7"/>
      <c r="D47" s="7"/>
      <c r="E47" s="7"/>
      <c r="F47" s="7"/>
      <c r="G47" s="7"/>
      <c r="H47" s="7"/>
      <c r="I47" s="7"/>
      <c r="J47" s="7"/>
    </row>
    <row r="48" spans="2:10" ht="21.75" customHeight="1" x14ac:dyDescent="0.3">
      <c r="B48" s="6"/>
      <c r="C48" s="6"/>
      <c r="D48" s="6"/>
      <c r="E48" s="6"/>
      <c r="F48" s="6"/>
      <c r="G48" s="6"/>
      <c r="H48" s="6"/>
      <c r="I48" s="6"/>
      <c r="J48" s="6"/>
    </row>
    <row r="49" spans="2:10" ht="21.75" customHeight="1" x14ac:dyDescent="0.3">
      <c r="B49" s="6"/>
      <c r="C49" s="6"/>
      <c r="D49" s="6"/>
      <c r="E49" s="6"/>
      <c r="F49" s="6"/>
      <c r="G49" s="6"/>
      <c r="H49" s="6"/>
      <c r="I49" s="6"/>
      <c r="J49" s="6"/>
    </row>
    <row r="50" spans="2:10" ht="21.75" customHeight="1" x14ac:dyDescent="0.3">
      <c r="B50" s="6"/>
      <c r="C50" s="6"/>
      <c r="D50" s="6"/>
      <c r="E50" s="6"/>
      <c r="F50" s="6"/>
      <c r="G50" s="6"/>
      <c r="H50" s="6"/>
      <c r="I50" s="6"/>
      <c r="J50" s="6"/>
    </row>
    <row r="51" spans="2:10" ht="9.75" customHeight="1" x14ac:dyDescent="0.3"/>
    <row r="52" spans="2:10" ht="21.75" customHeight="1" x14ac:dyDescent="0.3">
      <c r="B52" s="7" t="s">
        <v>36</v>
      </c>
      <c r="C52" s="7"/>
      <c r="D52" s="7"/>
      <c r="E52" s="7"/>
      <c r="F52" s="7"/>
      <c r="G52" s="7"/>
      <c r="H52" s="7"/>
      <c r="I52" s="7"/>
      <c r="J52" s="7"/>
    </row>
    <row r="53" spans="2:10" ht="21.75" customHeight="1" x14ac:dyDescent="0.3">
      <c r="B53" s="6"/>
      <c r="C53" s="6"/>
      <c r="D53" s="6"/>
      <c r="E53" s="6"/>
      <c r="F53" s="6"/>
      <c r="G53" s="6"/>
      <c r="H53" s="6"/>
      <c r="I53" s="6"/>
      <c r="J53" s="6"/>
    </row>
    <row r="54" spans="2:10" ht="21.75" customHeight="1" x14ac:dyDescent="0.3">
      <c r="B54" s="6"/>
      <c r="C54" s="6"/>
      <c r="D54" s="6"/>
      <c r="E54" s="6"/>
      <c r="F54" s="6"/>
      <c r="G54" s="6"/>
      <c r="H54" s="6"/>
      <c r="I54" s="6"/>
      <c r="J54" s="6"/>
    </row>
    <row r="55" spans="2:10" ht="21.75" customHeight="1" x14ac:dyDescent="0.3">
      <c r="B55" s="6"/>
      <c r="C55" s="6"/>
      <c r="D55" s="6"/>
      <c r="E55" s="6"/>
      <c r="F55" s="6"/>
      <c r="G55" s="6"/>
      <c r="H55" s="6"/>
      <c r="I55" s="6"/>
      <c r="J55" s="6"/>
    </row>
    <row r="56" spans="2:10" ht="9.75" customHeight="1" x14ac:dyDescent="0.3"/>
    <row r="57" spans="2:10" ht="19.5" customHeight="1" x14ac:dyDescent="0.3">
      <c r="B57" s="18" t="s">
        <v>37</v>
      </c>
      <c r="D57" s="18" t="s">
        <v>38</v>
      </c>
      <c r="F57" s="18" t="s">
        <v>39</v>
      </c>
      <c r="H57" s="18" t="s">
        <v>40</v>
      </c>
    </row>
    <row r="58" spans="2:10" ht="30" customHeight="1" x14ac:dyDescent="0.3">
      <c r="B58" s="14"/>
      <c r="C58" s="14"/>
      <c r="D58" s="14"/>
      <c r="E58" s="14"/>
      <c r="F58" s="14"/>
      <c r="G58" s="14"/>
      <c r="H58" s="14"/>
      <c r="I58" s="14"/>
      <c r="J58" s="14"/>
    </row>
  </sheetData>
  <mergeCells count="40">
    <mergeCell ref="B50:J50"/>
    <mergeCell ref="B52:J52"/>
    <mergeCell ref="B53:J53"/>
    <mergeCell ref="B54:J54"/>
    <mergeCell ref="B55:J55"/>
    <mergeCell ref="B44:D44"/>
    <mergeCell ref="B45:D45"/>
    <mergeCell ref="B47:J47"/>
    <mergeCell ref="B48:J48"/>
    <mergeCell ref="B49:J49"/>
    <mergeCell ref="B38:J38"/>
    <mergeCell ref="B40:D40"/>
    <mergeCell ref="B41:D41"/>
    <mergeCell ref="B42:D42"/>
    <mergeCell ref="B43:D43"/>
    <mergeCell ref="B30:J30"/>
    <mergeCell ref="B31:J31"/>
    <mergeCell ref="B32:J32"/>
    <mergeCell ref="B33:J33"/>
    <mergeCell ref="B35:J35"/>
    <mergeCell ref="B24:J24"/>
    <mergeCell ref="B25:J25"/>
    <mergeCell ref="B26:J26"/>
    <mergeCell ref="B27:J27"/>
    <mergeCell ref="B28:J28"/>
    <mergeCell ref="B17:J17"/>
    <mergeCell ref="B19:J19"/>
    <mergeCell ref="B20:J20"/>
    <mergeCell ref="B21:J21"/>
    <mergeCell ref="B22:J22"/>
    <mergeCell ref="B11:J11"/>
    <mergeCell ref="B12:J12"/>
    <mergeCell ref="B14:J14"/>
    <mergeCell ref="B15:J15"/>
    <mergeCell ref="B16:J16"/>
    <mergeCell ref="B2:J2"/>
    <mergeCell ref="B3:I3"/>
    <mergeCell ref="B8:J8"/>
    <mergeCell ref="B9:J9"/>
    <mergeCell ref="B10:J10"/>
  </mergeCells>
  <dataValidations count="1">
    <dataValidation type="list" sqref="L13" xr:uid="{00000000-0002-0000-0000-000000000000}">
      <formula1>"Yes,No,TBC"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"/>
  <sheetViews>
    <sheetView workbookViewId="0"/>
  </sheetViews>
  <sheetFormatPr defaultRowHeight="14.4" x14ac:dyDescent="0.3"/>
  <cols>
    <col min="1" max="1" width="10" customWidth="1"/>
    <col min="2" max="2" width="26" customWidth="1"/>
    <col min="3" max="3" width="80" customWidth="1"/>
  </cols>
  <sheetData>
    <row r="1" spans="1:11" ht="24" customHeight="1" x14ac:dyDescent="0.3">
      <c r="A1" s="3" t="s">
        <v>55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5.65" customHeight="1" x14ac:dyDescent="0.3">
      <c r="A2" s="2" t="s">
        <v>56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0.85" customHeight="1" x14ac:dyDescent="0.3">
      <c r="A4" s="19" t="s">
        <v>57</v>
      </c>
      <c r="B4" s="19" t="s">
        <v>58</v>
      </c>
      <c r="C4" s="19" t="s">
        <v>59</v>
      </c>
    </row>
    <row r="5" spans="1:11" x14ac:dyDescent="0.3">
      <c r="A5" s="21" t="s">
        <v>60</v>
      </c>
      <c r="B5" s="21" t="s">
        <v>61</v>
      </c>
      <c r="C5" s="21" t="s">
        <v>62</v>
      </c>
    </row>
    <row r="6" spans="1:11" x14ac:dyDescent="0.3">
      <c r="A6" s="21" t="s">
        <v>63</v>
      </c>
      <c r="B6" s="21" t="s">
        <v>64</v>
      </c>
      <c r="C6" s="21" t="s">
        <v>65</v>
      </c>
    </row>
    <row r="7" spans="1:11" ht="28.8" x14ac:dyDescent="0.3">
      <c r="A7" s="21" t="s">
        <v>66</v>
      </c>
      <c r="B7" s="21" t="s">
        <v>67</v>
      </c>
      <c r="C7" s="21" t="s">
        <v>68</v>
      </c>
    </row>
    <row r="8" spans="1:11" ht="28.8" x14ac:dyDescent="0.3">
      <c r="A8" s="21" t="s">
        <v>69</v>
      </c>
      <c r="B8" s="21" t="s">
        <v>70</v>
      </c>
      <c r="C8" s="21" t="s">
        <v>71</v>
      </c>
    </row>
    <row r="9" spans="1:11" ht="28.8" x14ac:dyDescent="0.3">
      <c r="A9" s="21" t="s">
        <v>72</v>
      </c>
      <c r="B9" s="21" t="s">
        <v>73</v>
      </c>
      <c r="C9" s="21" t="s">
        <v>74</v>
      </c>
    </row>
    <row r="12" spans="1:11" x14ac:dyDescent="0.3">
      <c r="A12" s="22" t="s">
        <v>75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</row>
    <row r="13" spans="1:11" x14ac:dyDescent="0.3">
      <c r="A13" s="1" t="s">
        <v>76</v>
      </c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3">
      <c r="A14" s="1" t="s">
        <v>77</v>
      </c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3">
      <c r="A15" s="1" t="s">
        <v>78</v>
      </c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3">
      <c r="A16" s="1" t="s">
        <v>79</v>
      </c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1" t="s">
        <v>80</v>
      </c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mergeCells count="7">
    <mergeCell ref="A16:K16"/>
    <mergeCell ref="A17:K17"/>
    <mergeCell ref="A1:K1"/>
    <mergeCell ref="A2:K2"/>
    <mergeCell ref="A13:K13"/>
    <mergeCell ref="A14:K14"/>
    <mergeCell ref="A15:K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/>
  </sheetViews>
  <sheetFormatPr defaultRowHeight="14.4" x14ac:dyDescent="0.3"/>
  <cols>
    <col min="1" max="1" width="59.44140625" customWidth="1"/>
    <col min="2" max="2" width="6.88671875" customWidth="1"/>
    <col min="3" max="3" width="6.6640625" customWidth="1"/>
    <col min="4" max="4" width="6.77734375" customWidth="1"/>
    <col min="5" max="5" width="12.6640625" customWidth="1"/>
    <col min="6" max="6" width="10.44140625" customWidth="1"/>
    <col min="7" max="7" width="4.6640625" customWidth="1"/>
    <col min="8" max="8" width="11" customWidth="1"/>
  </cols>
  <sheetData>
    <row r="1" spans="1:8" ht="24" customHeight="1" x14ac:dyDescent="0.3">
      <c r="A1" s="3" t="s">
        <v>81</v>
      </c>
      <c r="B1" s="3"/>
      <c r="C1" s="3"/>
      <c r="D1" s="3"/>
      <c r="E1" s="3"/>
      <c r="F1" s="3"/>
      <c r="G1" s="3"/>
      <c r="H1" s="3"/>
    </row>
    <row r="2" spans="1:8" ht="25.65" customHeight="1" x14ac:dyDescent="0.3">
      <c r="A2" s="2" t="s">
        <v>82</v>
      </c>
      <c r="B2" s="2"/>
      <c r="C2" s="2"/>
      <c r="D2" s="2"/>
      <c r="E2" s="2"/>
      <c r="F2" s="2"/>
      <c r="G2" s="2"/>
      <c r="H2" s="2"/>
    </row>
    <row r="4" spans="1:8" x14ac:dyDescent="0.3">
      <c r="A4" s="23" t="s">
        <v>83</v>
      </c>
      <c r="B4" s="23" t="s">
        <v>13</v>
      </c>
      <c r="C4" s="23" t="s">
        <v>84</v>
      </c>
      <c r="D4" s="23" t="s">
        <v>85</v>
      </c>
      <c r="E4" s="23" t="s">
        <v>86</v>
      </c>
      <c r="F4" s="23" t="s">
        <v>87</v>
      </c>
      <c r="G4" s="23" t="s">
        <v>5</v>
      </c>
      <c r="H4" s="23" t="s">
        <v>88</v>
      </c>
    </row>
    <row r="5" spans="1:8" x14ac:dyDescent="0.3">
      <c r="A5" t="s">
        <v>89</v>
      </c>
      <c r="B5" t="s">
        <v>90</v>
      </c>
      <c r="C5" t="s">
        <v>91</v>
      </c>
      <c r="D5">
        <v>1</v>
      </c>
      <c r="E5" t="s">
        <v>92</v>
      </c>
      <c r="F5" t="s">
        <v>93</v>
      </c>
      <c r="G5" t="s">
        <v>94</v>
      </c>
      <c r="H5" t="s">
        <v>95</v>
      </c>
    </row>
    <row r="6" spans="1:8" x14ac:dyDescent="0.3">
      <c r="A6" t="s">
        <v>96</v>
      </c>
      <c r="B6" t="s">
        <v>97</v>
      </c>
      <c r="C6" t="s">
        <v>98</v>
      </c>
      <c r="D6">
        <v>2</v>
      </c>
      <c r="E6" t="s">
        <v>99</v>
      </c>
      <c r="F6" t="s">
        <v>100</v>
      </c>
      <c r="G6" t="s">
        <v>101</v>
      </c>
      <c r="H6" t="s">
        <v>102</v>
      </c>
    </row>
    <row r="7" spans="1:8" x14ac:dyDescent="0.3">
      <c r="A7" t="s">
        <v>103</v>
      </c>
      <c r="B7" t="s">
        <v>104</v>
      </c>
      <c r="C7" t="s">
        <v>105</v>
      </c>
      <c r="D7">
        <v>3</v>
      </c>
      <c r="E7" t="s">
        <v>106</v>
      </c>
      <c r="F7" t="s">
        <v>107</v>
      </c>
      <c r="G7" t="s">
        <v>108</v>
      </c>
      <c r="H7" t="s">
        <v>109</v>
      </c>
    </row>
    <row r="8" spans="1:8" x14ac:dyDescent="0.3">
      <c r="A8" t="s">
        <v>110</v>
      </c>
      <c r="B8" t="s">
        <v>111</v>
      </c>
      <c r="C8" t="s">
        <v>112</v>
      </c>
      <c r="D8">
        <v>4</v>
      </c>
      <c r="E8" t="s">
        <v>113</v>
      </c>
      <c r="G8" t="s">
        <v>114</v>
      </c>
    </row>
    <row r="9" spans="1:8" x14ac:dyDescent="0.3">
      <c r="A9" t="s">
        <v>115</v>
      </c>
      <c r="B9" t="s">
        <v>112</v>
      </c>
      <c r="D9">
        <v>5</v>
      </c>
      <c r="E9" t="s">
        <v>116</v>
      </c>
      <c r="G9" t="s">
        <v>117</v>
      </c>
    </row>
    <row r="10" spans="1:8" x14ac:dyDescent="0.3">
      <c r="A10" t="s">
        <v>118</v>
      </c>
      <c r="E10" t="s">
        <v>119</v>
      </c>
      <c r="G10" t="s">
        <v>120</v>
      </c>
    </row>
    <row r="11" spans="1:8" x14ac:dyDescent="0.3">
      <c r="A11" t="s">
        <v>121</v>
      </c>
      <c r="E11" t="s">
        <v>122</v>
      </c>
    </row>
    <row r="12" spans="1:8" x14ac:dyDescent="0.3">
      <c r="E12" t="s">
        <v>123</v>
      </c>
    </row>
    <row r="13" spans="1:8" x14ac:dyDescent="0.3">
      <c r="E13" t="s">
        <v>124</v>
      </c>
    </row>
    <row r="14" spans="1:8" x14ac:dyDescent="0.3">
      <c r="E14" t="s">
        <v>125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4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34" customWidth="1"/>
    <col min="4" max="4" width="26" customWidth="1"/>
    <col min="5" max="5" width="13" customWidth="1"/>
    <col min="6" max="6" width="18" customWidth="1"/>
    <col min="7" max="7" width="13" customWidth="1"/>
    <col min="8" max="8" width="14" customWidth="1"/>
    <col min="9" max="9" width="13" customWidth="1"/>
    <col min="10" max="10" width="32" customWidth="1"/>
    <col min="11" max="11" width="12" customWidth="1"/>
  </cols>
  <sheetData>
    <row r="1" spans="1:11" ht="24" customHeight="1" x14ac:dyDescent="0.3">
      <c r="A1" s="3" t="s">
        <v>126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5.65" customHeight="1" x14ac:dyDescent="0.3">
      <c r="A2" s="2" t="s">
        <v>127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0.85" customHeight="1" x14ac:dyDescent="0.3">
      <c r="A4" s="19" t="s">
        <v>128</v>
      </c>
      <c r="B4" s="19" t="s">
        <v>129</v>
      </c>
      <c r="C4" s="19" t="s">
        <v>130</v>
      </c>
      <c r="D4" s="19" t="s">
        <v>131</v>
      </c>
      <c r="E4" s="19" t="s">
        <v>13</v>
      </c>
      <c r="F4" s="19" t="s">
        <v>132</v>
      </c>
      <c r="G4" s="19" t="s">
        <v>133</v>
      </c>
      <c r="H4" s="19" t="s">
        <v>83</v>
      </c>
      <c r="I4" s="19" t="s">
        <v>134</v>
      </c>
      <c r="J4" s="19" t="s">
        <v>135</v>
      </c>
      <c r="K4" s="19" t="s">
        <v>136</v>
      </c>
    </row>
    <row r="5" spans="1:11" x14ac:dyDescent="0.3">
      <c r="A5" s="21"/>
      <c r="B5" s="21"/>
      <c r="C5" s="21"/>
      <c r="D5" s="21"/>
      <c r="E5" s="21"/>
      <c r="F5" s="21"/>
      <c r="G5" s="24"/>
      <c r="H5" s="21" t="s">
        <v>89</v>
      </c>
      <c r="I5" s="24"/>
      <c r="J5" s="21"/>
      <c r="K5" s="21">
        <f t="shared" ref="K5:K34" ca="1" si="0">IF(AND(G5&lt;&gt;"",H5&lt;&gt;"Complete",H5&lt;&gt;"Verified"),MAX(0,TODAY()-G5),0)</f>
        <v>0</v>
      </c>
    </row>
    <row r="6" spans="1:11" x14ac:dyDescent="0.3">
      <c r="A6" s="21"/>
      <c r="B6" s="21"/>
      <c r="C6" s="21"/>
      <c r="D6" s="21"/>
      <c r="E6" s="21"/>
      <c r="F6" s="21"/>
      <c r="G6" s="24"/>
      <c r="H6" s="21" t="s">
        <v>89</v>
      </c>
      <c r="I6" s="24"/>
      <c r="J6" s="21"/>
      <c r="K6" s="21">
        <f t="shared" ca="1" si="0"/>
        <v>0</v>
      </c>
    </row>
    <row r="7" spans="1:11" x14ac:dyDescent="0.3">
      <c r="A7" s="21"/>
      <c r="B7" s="21"/>
      <c r="C7" s="21"/>
      <c r="D7" s="21"/>
      <c r="E7" s="21"/>
      <c r="F7" s="21"/>
      <c r="G7" s="24"/>
      <c r="H7" s="21" t="s">
        <v>89</v>
      </c>
      <c r="I7" s="24"/>
      <c r="J7" s="21"/>
      <c r="K7" s="21">
        <f t="shared" ca="1" si="0"/>
        <v>0</v>
      </c>
    </row>
    <row r="8" spans="1:11" x14ac:dyDescent="0.3">
      <c r="A8" s="21"/>
      <c r="B8" s="21"/>
      <c r="C8" s="21"/>
      <c r="D8" s="21"/>
      <c r="E8" s="21"/>
      <c r="F8" s="21"/>
      <c r="G8" s="24"/>
      <c r="H8" s="21" t="s">
        <v>89</v>
      </c>
      <c r="I8" s="24"/>
      <c r="J8" s="21"/>
      <c r="K8" s="21">
        <f t="shared" ca="1" si="0"/>
        <v>0</v>
      </c>
    </row>
    <row r="9" spans="1:11" x14ac:dyDescent="0.3">
      <c r="A9" s="21"/>
      <c r="B9" s="21"/>
      <c r="C9" s="21"/>
      <c r="D9" s="21"/>
      <c r="E9" s="21"/>
      <c r="F9" s="21"/>
      <c r="G9" s="24"/>
      <c r="H9" s="21" t="s">
        <v>89</v>
      </c>
      <c r="I9" s="24"/>
      <c r="J9" s="21"/>
      <c r="K9" s="21">
        <f t="shared" ca="1" si="0"/>
        <v>0</v>
      </c>
    </row>
    <row r="10" spans="1:11" x14ac:dyDescent="0.3">
      <c r="A10" s="21"/>
      <c r="B10" s="21"/>
      <c r="C10" s="21"/>
      <c r="D10" s="21"/>
      <c r="E10" s="21"/>
      <c r="F10" s="21"/>
      <c r="G10" s="24"/>
      <c r="H10" s="21" t="s">
        <v>89</v>
      </c>
      <c r="I10" s="24"/>
      <c r="J10" s="21"/>
      <c r="K10" s="21">
        <f t="shared" ca="1" si="0"/>
        <v>0</v>
      </c>
    </row>
    <row r="11" spans="1:11" x14ac:dyDescent="0.3">
      <c r="A11" s="21"/>
      <c r="B11" s="21"/>
      <c r="C11" s="21"/>
      <c r="D11" s="21"/>
      <c r="E11" s="21"/>
      <c r="F11" s="21"/>
      <c r="G11" s="24"/>
      <c r="H11" s="21" t="s">
        <v>89</v>
      </c>
      <c r="I11" s="24"/>
      <c r="J11" s="21"/>
      <c r="K11" s="21">
        <f t="shared" ca="1" si="0"/>
        <v>0</v>
      </c>
    </row>
    <row r="12" spans="1:11" x14ac:dyDescent="0.3">
      <c r="A12" s="21"/>
      <c r="B12" s="21"/>
      <c r="C12" s="21"/>
      <c r="D12" s="21"/>
      <c r="E12" s="21"/>
      <c r="F12" s="21"/>
      <c r="G12" s="24"/>
      <c r="H12" s="21" t="s">
        <v>89</v>
      </c>
      <c r="I12" s="24"/>
      <c r="J12" s="21"/>
      <c r="K12" s="21">
        <f t="shared" ca="1" si="0"/>
        <v>0</v>
      </c>
    </row>
    <row r="13" spans="1:11" x14ac:dyDescent="0.3">
      <c r="A13" s="21"/>
      <c r="B13" s="21"/>
      <c r="C13" s="21"/>
      <c r="D13" s="21"/>
      <c r="E13" s="21"/>
      <c r="F13" s="21"/>
      <c r="G13" s="24"/>
      <c r="H13" s="21" t="s">
        <v>89</v>
      </c>
      <c r="I13" s="24"/>
      <c r="J13" s="21"/>
      <c r="K13" s="21">
        <f t="shared" ca="1" si="0"/>
        <v>0</v>
      </c>
    </row>
    <row r="14" spans="1:11" x14ac:dyDescent="0.3">
      <c r="A14" s="21"/>
      <c r="B14" s="21"/>
      <c r="C14" s="21"/>
      <c r="D14" s="21"/>
      <c r="E14" s="21"/>
      <c r="F14" s="21"/>
      <c r="G14" s="24"/>
      <c r="H14" s="21" t="s">
        <v>89</v>
      </c>
      <c r="I14" s="24"/>
      <c r="J14" s="21"/>
      <c r="K14" s="21">
        <f t="shared" ca="1" si="0"/>
        <v>0</v>
      </c>
    </row>
    <row r="15" spans="1:11" x14ac:dyDescent="0.3">
      <c r="A15" s="21"/>
      <c r="B15" s="21"/>
      <c r="C15" s="21"/>
      <c r="D15" s="21"/>
      <c r="E15" s="21"/>
      <c r="F15" s="21"/>
      <c r="G15" s="24"/>
      <c r="H15" s="21" t="s">
        <v>89</v>
      </c>
      <c r="I15" s="24"/>
      <c r="J15" s="21"/>
      <c r="K15" s="21">
        <f t="shared" ca="1" si="0"/>
        <v>0</v>
      </c>
    </row>
    <row r="16" spans="1:11" x14ac:dyDescent="0.3">
      <c r="A16" s="21"/>
      <c r="B16" s="21"/>
      <c r="C16" s="21"/>
      <c r="D16" s="21"/>
      <c r="E16" s="21"/>
      <c r="F16" s="21"/>
      <c r="G16" s="24"/>
      <c r="H16" s="21" t="s">
        <v>89</v>
      </c>
      <c r="I16" s="24"/>
      <c r="J16" s="21"/>
      <c r="K16" s="21">
        <f t="shared" ca="1" si="0"/>
        <v>0</v>
      </c>
    </row>
    <row r="17" spans="1:11" x14ac:dyDescent="0.3">
      <c r="A17" s="21"/>
      <c r="B17" s="21"/>
      <c r="C17" s="21"/>
      <c r="D17" s="21"/>
      <c r="E17" s="21"/>
      <c r="F17" s="21"/>
      <c r="G17" s="24"/>
      <c r="H17" s="21" t="s">
        <v>89</v>
      </c>
      <c r="I17" s="24"/>
      <c r="J17" s="21"/>
      <c r="K17" s="21">
        <f t="shared" ca="1" si="0"/>
        <v>0</v>
      </c>
    </row>
    <row r="18" spans="1:11" x14ac:dyDescent="0.3">
      <c r="A18" s="21"/>
      <c r="B18" s="21"/>
      <c r="C18" s="21"/>
      <c r="D18" s="21"/>
      <c r="E18" s="21"/>
      <c r="F18" s="21"/>
      <c r="G18" s="24"/>
      <c r="H18" s="21" t="s">
        <v>89</v>
      </c>
      <c r="I18" s="24"/>
      <c r="J18" s="21"/>
      <c r="K18" s="21">
        <f t="shared" ca="1" si="0"/>
        <v>0</v>
      </c>
    </row>
    <row r="19" spans="1:11" x14ac:dyDescent="0.3">
      <c r="A19" s="21"/>
      <c r="B19" s="21"/>
      <c r="C19" s="21"/>
      <c r="D19" s="21"/>
      <c r="E19" s="21"/>
      <c r="F19" s="21"/>
      <c r="G19" s="24"/>
      <c r="H19" s="21" t="s">
        <v>89</v>
      </c>
      <c r="I19" s="24"/>
      <c r="J19" s="21"/>
      <c r="K19" s="21">
        <f t="shared" ca="1" si="0"/>
        <v>0</v>
      </c>
    </row>
    <row r="20" spans="1:11" x14ac:dyDescent="0.3">
      <c r="A20" s="21"/>
      <c r="B20" s="21"/>
      <c r="C20" s="21"/>
      <c r="D20" s="21"/>
      <c r="E20" s="21"/>
      <c r="F20" s="21"/>
      <c r="G20" s="24"/>
      <c r="H20" s="21" t="s">
        <v>89</v>
      </c>
      <c r="I20" s="24"/>
      <c r="J20" s="21"/>
      <c r="K20" s="21">
        <f t="shared" ca="1" si="0"/>
        <v>0</v>
      </c>
    </row>
    <row r="21" spans="1:11" x14ac:dyDescent="0.3">
      <c r="A21" s="21"/>
      <c r="B21" s="21"/>
      <c r="C21" s="21"/>
      <c r="D21" s="21"/>
      <c r="E21" s="21"/>
      <c r="F21" s="21"/>
      <c r="G21" s="24"/>
      <c r="H21" s="21" t="s">
        <v>89</v>
      </c>
      <c r="I21" s="24"/>
      <c r="J21" s="21"/>
      <c r="K21" s="21">
        <f t="shared" ca="1" si="0"/>
        <v>0</v>
      </c>
    </row>
    <row r="22" spans="1:11" x14ac:dyDescent="0.3">
      <c r="A22" s="21"/>
      <c r="B22" s="21"/>
      <c r="C22" s="21"/>
      <c r="D22" s="21"/>
      <c r="E22" s="21"/>
      <c r="F22" s="21"/>
      <c r="G22" s="24"/>
      <c r="H22" s="21" t="s">
        <v>89</v>
      </c>
      <c r="I22" s="24"/>
      <c r="J22" s="21"/>
      <c r="K22" s="21">
        <f t="shared" ca="1" si="0"/>
        <v>0</v>
      </c>
    </row>
    <row r="23" spans="1:11" x14ac:dyDescent="0.3">
      <c r="A23" s="21"/>
      <c r="B23" s="21"/>
      <c r="C23" s="21"/>
      <c r="D23" s="21"/>
      <c r="E23" s="21"/>
      <c r="F23" s="21"/>
      <c r="G23" s="24"/>
      <c r="H23" s="21" t="s">
        <v>89</v>
      </c>
      <c r="I23" s="24"/>
      <c r="J23" s="21"/>
      <c r="K23" s="21">
        <f t="shared" ca="1" si="0"/>
        <v>0</v>
      </c>
    </row>
    <row r="24" spans="1:11" x14ac:dyDescent="0.3">
      <c r="A24" s="21"/>
      <c r="B24" s="21"/>
      <c r="C24" s="21"/>
      <c r="D24" s="21"/>
      <c r="E24" s="21"/>
      <c r="F24" s="21"/>
      <c r="G24" s="24"/>
      <c r="H24" s="21" t="s">
        <v>89</v>
      </c>
      <c r="I24" s="24"/>
      <c r="J24" s="21"/>
      <c r="K24" s="21">
        <f t="shared" ca="1" si="0"/>
        <v>0</v>
      </c>
    </row>
    <row r="25" spans="1:11" x14ac:dyDescent="0.3">
      <c r="A25" s="21"/>
      <c r="B25" s="21"/>
      <c r="C25" s="21"/>
      <c r="D25" s="21"/>
      <c r="E25" s="21"/>
      <c r="F25" s="21"/>
      <c r="G25" s="24"/>
      <c r="H25" s="21" t="s">
        <v>89</v>
      </c>
      <c r="I25" s="24"/>
      <c r="J25" s="21"/>
      <c r="K25" s="21">
        <f t="shared" ca="1" si="0"/>
        <v>0</v>
      </c>
    </row>
    <row r="26" spans="1:11" x14ac:dyDescent="0.3">
      <c r="A26" s="21"/>
      <c r="B26" s="21"/>
      <c r="C26" s="21"/>
      <c r="D26" s="21"/>
      <c r="E26" s="21"/>
      <c r="F26" s="21"/>
      <c r="G26" s="24"/>
      <c r="H26" s="21" t="s">
        <v>89</v>
      </c>
      <c r="I26" s="24"/>
      <c r="J26" s="21"/>
      <c r="K26" s="21">
        <f t="shared" ca="1" si="0"/>
        <v>0</v>
      </c>
    </row>
    <row r="27" spans="1:11" x14ac:dyDescent="0.3">
      <c r="A27" s="21"/>
      <c r="B27" s="21"/>
      <c r="C27" s="21"/>
      <c r="D27" s="21"/>
      <c r="E27" s="21"/>
      <c r="F27" s="21"/>
      <c r="G27" s="24"/>
      <c r="H27" s="21" t="s">
        <v>89</v>
      </c>
      <c r="I27" s="24"/>
      <c r="J27" s="21"/>
      <c r="K27" s="21">
        <f t="shared" ca="1" si="0"/>
        <v>0</v>
      </c>
    </row>
    <row r="28" spans="1:11" x14ac:dyDescent="0.3">
      <c r="A28" s="21"/>
      <c r="B28" s="21"/>
      <c r="C28" s="21"/>
      <c r="D28" s="21"/>
      <c r="E28" s="21"/>
      <c r="F28" s="21"/>
      <c r="G28" s="24"/>
      <c r="H28" s="21" t="s">
        <v>89</v>
      </c>
      <c r="I28" s="24"/>
      <c r="J28" s="21"/>
      <c r="K28" s="21">
        <f t="shared" ca="1" si="0"/>
        <v>0</v>
      </c>
    </row>
    <row r="29" spans="1:11" x14ac:dyDescent="0.3">
      <c r="A29" s="21"/>
      <c r="B29" s="21"/>
      <c r="C29" s="21"/>
      <c r="D29" s="21"/>
      <c r="E29" s="21"/>
      <c r="F29" s="21"/>
      <c r="G29" s="24"/>
      <c r="H29" s="21" t="s">
        <v>89</v>
      </c>
      <c r="I29" s="24"/>
      <c r="J29" s="21"/>
      <c r="K29" s="21">
        <f t="shared" ca="1" si="0"/>
        <v>0</v>
      </c>
    </row>
    <row r="30" spans="1:11" x14ac:dyDescent="0.3">
      <c r="A30" s="21"/>
      <c r="B30" s="21"/>
      <c r="C30" s="21"/>
      <c r="D30" s="21"/>
      <c r="E30" s="21"/>
      <c r="F30" s="21"/>
      <c r="G30" s="24"/>
      <c r="H30" s="21" t="s">
        <v>89</v>
      </c>
      <c r="I30" s="24"/>
      <c r="J30" s="21"/>
      <c r="K30" s="21">
        <f t="shared" ca="1" si="0"/>
        <v>0</v>
      </c>
    </row>
    <row r="31" spans="1:11" x14ac:dyDescent="0.3">
      <c r="A31" s="21"/>
      <c r="B31" s="21"/>
      <c r="C31" s="21"/>
      <c r="D31" s="21"/>
      <c r="E31" s="21"/>
      <c r="F31" s="21"/>
      <c r="G31" s="24"/>
      <c r="H31" s="21" t="s">
        <v>89</v>
      </c>
      <c r="I31" s="24"/>
      <c r="J31" s="21"/>
      <c r="K31" s="21">
        <f t="shared" ca="1" si="0"/>
        <v>0</v>
      </c>
    </row>
    <row r="32" spans="1:11" x14ac:dyDescent="0.3">
      <c r="A32" s="21"/>
      <c r="B32" s="21"/>
      <c r="C32" s="21"/>
      <c r="D32" s="21"/>
      <c r="E32" s="21"/>
      <c r="F32" s="21"/>
      <c r="G32" s="24"/>
      <c r="H32" s="21" t="s">
        <v>89</v>
      </c>
      <c r="I32" s="24"/>
      <c r="J32" s="21"/>
      <c r="K32" s="21">
        <f t="shared" ca="1" si="0"/>
        <v>0</v>
      </c>
    </row>
    <row r="33" spans="1:11" x14ac:dyDescent="0.3">
      <c r="A33" s="21"/>
      <c r="B33" s="21"/>
      <c r="C33" s="21"/>
      <c r="D33" s="21"/>
      <c r="E33" s="21"/>
      <c r="F33" s="21"/>
      <c r="G33" s="24"/>
      <c r="H33" s="21" t="s">
        <v>89</v>
      </c>
      <c r="I33" s="24"/>
      <c r="J33" s="21"/>
      <c r="K33" s="21">
        <f t="shared" ca="1" si="0"/>
        <v>0</v>
      </c>
    </row>
    <row r="34" spans="1:11" x14ac:dyDescent="0.3">
      <c r="A34" s="21"/>
      <c r="B34" s="21"/>
      <c r="C34" s="21"/>
      <c r="D34" s="21"/>
      <c r="E34" s="21"/>
      <c r="F34" s="21"/>
      <c r="G34" s="24"/>
      <c r="H34" s="21" t="s">
        <v>89</v>
      </c>
      <c r="I34" s="24"/>
      <c r="J34" s="21"/>
      <c r="K34" s="21">
        <f t="shared" ca="1" si="0"/>
        <v>0</v>
      </c>
    </row>
  </sheetData>
  <mergeCells count="2">
    <mergeCell ref="A1:K1"/>
    <mergeCell ref="A2:K2"/>
  </mergeCells>
  <conditionalFormatting sqref="K5:K34">
    <cfRule type="cellIs" dxfId="0" priority="5" operator="greaterThan">
      <formula>0</formula>
    </cfRule>
  </conditionalFormatting>
  <dataValidations count="2">
    <dataValidation type="list" sqref="E5:E34" xr:uid="{00000000-0002-0000-0300-000000000000}">
      <formula1>"Critical,High,Medium,Low,Monitor"</formula1>
    </dataValidation>
    <dataValidation type="list" sqref="H5:H34" xr:uid="{00000000-0002-0000-0300-000001000000}">
      <formula1>"Open,In Progress,Complete,Overdue,Deferred,Cancelled,Verified"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"/>
  <sheetViews>
    <sheetView workbookViewId="0"/>
  </sheetViews>
  <sheetFormatPr defaultRowHeight="14.4" x14ac:dyDescent="0.3"/>
  <cols>
    <col min="1" max="1" width="32" customWidth="1"/>
    <col min="2" max="2" width="22" customWidth="1"/>
    <col min="3" max="3" width="14" customWidth="1"/>
  </cols>
  <sheetData>
    <row r="1" spans="1:9" ht="24" customHeight="1" x14ac:dyDescent="0.3">
      <c r="A1" s="3" t="s">
        <v>137</v>
      </c>
      <c r="B1" s="3"/>
      <c r="C1" s="3"/>
      <c r="D1" s="3"/>
      <c r="E1" s="3"/>
      <c r="F1" s="3"/>
      <c r="G1" s="3"/>
      <c r="H1" s="3"/>
      <c r="I1" s="3"/>
    </row>
    <row r="2" spans="1:9" ht="25.65" customHeight="1" x14ac:dyDescent="0.3">
      <c r="A2" s="2" t="s">
        <v>138</v>
      </c>
      <c r="B2" s="2"/>
      <c r="C2" s="2"/>
      <c r="D2" s="2"/>
      <c r="E2" s="2"/>
      <c r="F2" s="2"/>
      <c r="G2" s="2"/>
      <c r="H2" s="2"/>
      <c r="I2" s="2"/>
    </row>
    <row r="4" spans="1:9" x14ac:dyDescent="0.3">
      <c r="A4" s="28" t="s">
        <v>42</v>
      </c>
      <c r="B4" s="30"/>
      <c r="C4" s="23"/>
    </row>
    <row r="5" spans="1:9" x14ac:dyDescent="0.3">
      <c r="A5" s="29" t="s">
        <v>44</v>
      </c>
      <c r="B5" s="25"/>
    </row>
    <row r="6" spans="1:9" x14ac:dyDescent="0.3">
      <c r="A6" s="29" t="s">
        <v>45</v>
      </c>
      <c r="B6" s="25"/>
    </row>
    <row r="7" spans="1:9" x14ac:dyDescent="0.3">
      <c r="A7" s="29" t="s">
        <v>139</v>
      </c>
      <c r="B7" s="25"/>
    </row>
    <row r="8" spans="1:9" x14ac:dyDescent="0.3">
      <c r="A8" s="29" t="s">
        <v>140</v>
      </c>
      <c r="B8" t="str">
        <f>IF(OR(B4="",B7=""),"",MAX(0,(B7-B4)*24))</f>
        <v/>
      </c>
    </row>
    <row r="9" spans="1:9" x14ac:dyDescent="0.3">
      <c r="A9" s="29" t="s">
        <v>141</v>
      </c>
      <c r="B9" t="str">
        <f>IF(OR(B5="",B6=""),"",MAX(0,(B6-B5)*24))</f>
        <v/>
      </c>
    </row>
    <row r="10" spans="1:9" x14ac:dyDescent="0.3">
      <c r="A10" s="29" t="s">
        <v>142</v>
      </c>
      <c r="B10" s="27"/>
      <c r="C10" t="s">
        <v>143</v>
      </c>
    </row>
    <row r="11" spans="1:9" x14ac:dyDescent="0.3">
      <c r="A11" s="29" t="s">
        <v>144</v>
      </c>
      <c r="B11" s="27" t="str">
        <f>IF(OR(B8="",B10=""),"",B8*B10)</f>
        <v/>
      </c>
      <c r="C11" t="s">
        <v>145</v>
      </c>
    </row>
    <row r="12" spans="1:9" x14ac:dyDescent="0.3">
      <c r="A12" s="29" t="s">
        <v>146</v>
      </c>
      <c r="B12" s="27"/>
      <c r="C12" t="s">
        <v>145</v>
      </c>
    </row>
    <row r="13" spans="1:9" x14ac:dyDescent="0.3">
      <c r="A13" s="29" t="s">
        <v>147</v>
      </c>
      <c r="B13" s="27"/>
      <c r="C13" t="s">
        <v>145</v>
      </c>
    </row>
    <row r="14" spans="1:9" x14ac:dyDescent="0.3">
      <c r="A14" s="29" t="s">
        <v>148</v>
      </c>
      <c r="B14" s="27"/>
      <c r="C14" t="s">
        <v>145</v>
      </c>
    </row>
    <row r="15" spans="1:9" x14ac:dyDescent="0.3">
      <c r="A15" s="29" t="s">
        <v>149</v>
      </c>
      <c r="B15" s="27"/>
      <c r="C15" t="s">
        <v>145</v>
      </c>
    </row>
    <row r="16" spans="1:9" x14ac:dyDescent="0.3">
      <c r="A16" s="29" t="s">
        <v>150</v>
      </c>
      <c r="B16" s="27">
        <f>SUM(B11:B15)</f>
        <v>0</v>
      </c>
      <c r="C16" t="s">
        <v>145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"/>
  <sheetViews>
    <sheetView workbookViewId="0"/>
  </sheetViews>
  <sheetFormatPr defaultRowHeight="14.4" x14ac:dyDescent="0.3"/>
  <cols>
    <col min="1" max="1" width="28" customWidth="1"/>
    <col min="2" max="2" width="34" customWidth="1"/>
    <col min="3" max="3" width="18" customWidth="1"/>
    <col min="4" max="4" width="28" customWidth="1"/>
  </cols>
  <sheetData>
    <row r="1" spans="1:7" ht="24" customHeight="1" x14ac:dyDescent="0.3">
      <c r="A1" s="3" t="s">
        <v>151</v>
      </c>
      <c r="B1" s="3"/>
      <c r="C1" s="3"/>
      <c r="D1" s="3"/>
      <c r="E1" s="3"/>
      <c r="F1" s="3"/>
      <c r="G1" s="3"/>
    </row>
    <row r="2" spans="1:7" ht="25.65" customHeight="1" x14ac:dyDescent="0.3">
      <c r="A2" s="2" t="s">
        <v>152</v>
      </c>
      <c r="B2" s="2"/>
      <c r="C2" s="2"/>
      <c r="D2" s="2"/>
      <c r="E2" s="2"/>
      <c r="F2" s="2"/>
      <c r="G2" s="2"/>
    </row>
    <row r="4" spans="1:7" x14ac:dyDescent="0.3">
      <c r="A4" s="23" t="s">
        <v>153</v>
      </c>
      <c r="B4" s="23" t="s">
        <v>154</v>
      </c>
      <c r="C4" s="23" t="s">
        <v>155</v>
      </c>
      <c r="D4" s="23" t="s">
        <v>156</v>
      </c>
    </row>
    <row r="5" spans="1:7" x14ac:dyDescent="0.3">
      <c r="A5" s="29" t="s">
        <v>157</v>
      </c>
      <c r="B5" t="s">
        <v>158</v>
      </c>
      <c r="D5" t="str">
        <f>IF(C5&gt;=4,"Yes","No")</f>
        <v>No</v>
      </c>
    </row>
    <row r="6" spans="1:7" x14ac:dyDescent="0.3">
      <c r="A6" s="29" t="s">
        <v>32</v>
      </c>
      <c r="B6" t="s">
        <v>159</v>
      </c>
      <c r="D6" t="str">
        <f>IF(C6&gt;=50000,"Yes","No")</f>
        <v>No</v>
      </c>
    </row>
    <row r="7" spans="1:7" x14ac:dyDescent="0.3">
      <c r="A7" s="29" t="s">
        <v>160</v>
      </c>
      <c r="B7" t="s">
        <v>161</v>
      </c>
      <c r="D7" t="str">
        <f>IF(C7&gt;=2,"Yes","No")</f>
        <v>No</v>
      </c>
    </row>
    <row r="8" spans="1:7" x14ac:dyDescent="0.3">
      <c r="A8" s="29" t="s">
        <v>162</v>
      </c>
      <c r="B8" t="s">
        <v>163</v>
      </c>
      <c r="D8" t="str">
        <f>IF(C8="Yes","Yes","No")</f>
        <v>No</v>
      </c>
    </row>
    <row r="9" spans="1:7" x14ac:dyDescent="0.3">
      <c r="A9" s="29" t="s">
        <v>164</v>
      </c>
      <c r="B9" t="s">
        <v>165</v>
      </c>
      <c r="D9" t="str">
        <f>IF(C9="Yes","Yes","No")</f>
        <v>No</v>
      </c>
    </row>
    <row r="10" spans="1:7" x14ac:dyDescent="0.3">
      <c r="A10" s="29" t="s">
        <v>166</v>
      </c>
      <c r="D10" t="str">
        <f>IF(COUNTIF(D5:D9,"Yes")&gt;0,"FULL RCA REQUIRED","Standard breakdown report sufficient")</f>
        <v>Standard breakdown report sufficient</v>
      </c>
    </row>
  </sheetData>
  <mergeCells count="2">
    <mergeCell ref="A1:G1"/>
    <mergeCell ref="A2:G2"/>
  </mergeCells>
  <dataValidations count="1">
    <dataValidation type="list" sqref="C8:C9" xr:uid="{00000000-0002-0000-0500-000000000000}">
      <formula1>"Yes,No,TBC"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9"/>
  <sheetViews>
    <sheetView tabSelected="1" workbookViewId="0">
      <selection sqref="A1:J1"/>
    </sheetView>
  </sheetViews>
  <sheetFormatPr defaultRowHeight="14.4" x14ac:dyDescent="0.3"/>
  <cols>
    <col min="1" max="1" width="12" customWidth="1"/>
    <col min="2" max="2" width="18" customWidth="1"/>
    <col min="3" max="3" width="24" customWidth="1"/>
    <col min="4" max="5" width="36" customWidth="1"/>
    <col min="6" max="6" width="16" customWidth="1"/>
    <col min="7" max="9" width="12" customWidth="1"/>
    <col min="10" max="10" width="30" customWidth="1"/>
  </cols>
  <sheetData>
    <row r="1" spans="1:10" ht="24" customHeight="1" x14ac:dyDescent="0.3">
      <c r="A1" s="3" t="s">
        <v>167</v>
      </c>
      <c r="B1" s="3"/>
      <c r="C1" s="3"/>
      <c r="D1" s="3"/>
      <c r="E1" s="3"/>
      <c r="F1" s="3"/>
      <c r="G1" s="3"/>
      <c r="H1" s="3"/>
      <c r="I1" s="3"/>
      <c r="J1" s="3"/>
    </row>
    <row r="2" spans="1:10" ht="25.65" customHeight="1" x14ac:dyDescent="0.3">
      <c r="A2" s="2" t="s">
        <v>168</v>
      </c>
      <c r="B2" s="2"/>
      <c r="C2" s="2"/>
      <c r="D2" s="2"/>
      <c r="E2" s="2"/>
      <c r="F2" s="2"/>
      <c r="G2" s="2"/>
      <c r="H2" s="2"/>
      <c r="I2" s="2"/>
      <c r="J2" s="2"/>
    </row>
    <row r="4" spans="1:10" ht="20.85" customHeight="1" x14ac:dyDescent="0.3">
      <c r="A4" s="19" t="s">
        <v>169</v>
      </c>
      <c r="B4" s="19" t="s">
        <v>170</v>
      </c>
      <c r="C4" s="19" t="s">
        <v>171</v>
      </c>
      <c r="D4" s="19" t="s">
        <v>172</v>
      </c>
      <c r="E4" s="19" t="s">
        <v>173</v>
      </c>
      <c r="F4" s="19" t="s">
        <v>174</v>
      </c>
      <c r="G4" s="19" t="s">
        <v>175</v>
      </c>
      <c r="H4" s="19" t="s">
        <v>85</v>
      </c>
      <c r="I4" s="19" t="s">
        <v>176</v>
      </c>
      <c r="J4" s="19" t="s">
        <v>28</v>
      </c>
    </row>
    <row r="5" spans="1:10" x14ac:dyDescent="0.3">
      <c r="A5" s="21" t="s">
        <v>177</v>
      </c>
      <c r="B5" s="21"/>
      <c r="C5" s="21"/>
      <c r="D5" s="21"/>
      <c r="E5" s="21"/>
      <c r="F5" s="21"/>
      <c r="G5" s="24"/>
      <c r="H5" s="21"/>
      <c r="I5" s="21"/>
      <c r="J5" s="21"/>
    </row>
    <row r="6" spans="1:10" x14ac:dyDescent="0.3">
      <c r="A6" s="21" t="s">
        <v>178</v>
      </c>
      <c r="B6" s="21"/>
      <c r="C6" s="21"/>
      <c r="D6" s="21"/>
      <c r="E6" s="21"/>
      <c r="F6" s="21"/>
      <c r="G6" s="24"/>
      <c r="H6" s="21"/>
      <c r="I6" s="21"/>
      <c r="J6" s="21"/>
    </row>
    <row r="7" spans="1:10" x14ac:dyDescent="0.3">
      <c r="A7" s="21" t="s">
        <v>179</v>
      </c>
      <c r="B7" s="21"/>
      <c r="C7" s="21"/>
      <c r="D7" s="21"/>
      <c r="E7" s="21"/>
      <c r="F7" s="21"/>
      <c r="G7" s="24"/>
      <c r="H7" s="21"/>
      <c r="I7" s="21"/>
      <c r="J7" s="21"/>
    </row>
    <row r="8" spans="1:10" x14ac:dyDescent="0.3">
      <c r="A8" s="21" t="s">
        <v>180</v>
      </c>
      <c r="B8" s="21"/>
      <c r="C8" s="21"/>
      <c r="D8" s="21"/>
      <c r="E8" s="21"/>
      <c r="F8" s="21"/>
      <c r="G8" s="24"/>
      <c r="H8" s="21"/>
      <c r="I8" s="21"/>
      <c r="J8" s="21"/>
    </row>
    <row r="9" spans="1:10" x14ac:dyDescent="0.3">
      <c r="A9" s="21" t="s">
        <v>181</v>
      </c>
      <c r="B9" s="21"/>
      <c r="C9" s="21"/>
      <c r="D9" s="21"/>
      <c r="E9" s="21"/>
      <c r="F9" s="21"/>
      <c r="G9" s="24"/>
      <c r="H9" s="21"/>
      <c r="I9" s="21"/>
      <c r="J9" s="21"/>
    </row>
    <row r="10" spans="1:10" x14ac:dyDescent="0.3">
      <c r="A10" s="21" t="s">
        <v>182</v>
      </c>
      <c r="B10" s="21"/>
      <c r="C10" s="21"/>
      <c r="D10" s="21"/>
      <c r="E10" s="21"/>
      <c r="F10" s="21"/>
      <c r="G10" s="24"/>
      <c r="H10" s="21"/>
      <c r="I10" s="21"/>
      <c r="J10" s="21"/>
    </row>
    <row r="11" spans="1:10" x14ac:dyDescent="0.3">
      <c r="A11" s="21" t="s">
        <v>183</v>
      </c>
      <c r="B11" s="21"/>
      <c r="C11" s="21"/>
      <c r="D11" s="21"/>
      <c r="E11" s="21"/>
      <c r="F11" s="21"/>
      <c r="G11" s="24"/>
      <c r="H11" s="21"/>
      <c r="I11" s="21"/>
      <c r="J11" s="21"/>
    </row>
    <row r="12" spans="1:10" x14ac:dyDescent="0.3">
      <c r="A12" s="21" t="s">
        <v>184</v>
      </c>
      <c r="B12" s="21"/>
      <c r="C12" s="21"/>
      <c r="D12" s="21"/>
      <c r="E12" s="21"/>
      <c r="F12" s="21"/>
      <c r="G12" s="24"/>
      <c r="H12" s="21"/>
      <c r="I12" s="21"/>
      <c r="J12" s="21"/>
    </row>
    <row r="13" spans="1:10" x14ac:dyDescent="0.3">
      <c r="A13" s="21" t="s">
        <v>185</v>
      </c>
      <c r="B13" s="21"/>
      <c r="C13" s="21"/>
      <c r="D13" s="21"/>
      <c r="E13" s="21"/>
      <c r="F13" s="21"/>
      <c r="G13" s="24"/>
      <c r="H13" s="21"/>
      <c r="I13" s="21"/>
      <c r="J13" s="21"/>
    </row>
    <row r="14" spans="1:10" x14ac:dyDescent="0.3">
      <c r="A14" s="21" t="s">
        <v>186</v>
      </c>
      <c r="B14" s="21"/>
      <c r="C14" s="21"/>
      <c r="D14" s="21"/>
      <c r="E14" s="21"/>
      <c r="F14" s="21"/>
      <c r="G14" s="24"/>
      <c r="H14" s="21"/>
      <c r="I14" s="21"/>
      <c r="J14" s="21"/>
    </row>
    <row r="15" spans="1:10" x14ac:dyDescent="0.3">
      <c r="A15" s="21" t="s">
        <v>187</v>
      </c>
      <c r="B15" s="21"/>
      <c r="C15" s="21"/>
      <c r="D15" s="21"/>
      <c r="E15" s="21"/>
      <c r="F15" s="21"/>
      <c r="G15" s="24"/>
      <c r="H15" s="21"/>
      <c r="I15" s="21"/>
      <c r="J15" s="21"/>
    </row>
    <row r="16" spans="1:10" x14ac:dyDescent="0.3">
      <c r="A16" s="21" t="s">
        <v>188</v>
      </c>
      <c r="B16" s="21"/>
      <c r="C16" s="21"/>
      <c r="D16" s="21"/>
      <c r="E16" s="21"/>
      <c r="F16" s="21"/>
      <c r="G16" s="24"/>
      <c r="H16" s="21"/>
      <c r="I16" s="21"/>
      <c r="J16" s="21"/>
    </row>
    <row r="17" spans="1:10" x14ac:dyDescent="0.3">
      <c r="A17" s="21" t="s">
        <v>189</v>
      </c>
      <c r="B17" s="21"/>
      <c r="C17" s="21"/>
      <c r="D17" s="21"/>
      <c r="E17" s="21"/>
      <c r="F17" s="21"/>
      <c r="G17" s="24"/>
      <c r="H17" s="21"/>
      <c r="I17" s="21"/>
      <c r="J17" s="21"/>
    </row>
    <row r="18" spans="1:10" x14ac:dyDescent="0.3">
      <c r="A18" s="21" t="s">
        <v>190</v>
      </c>
      <c r="B18" s="21"/>
      <c r="C18" s="21"/>
      <c r="D18" s="21"/>
      <c r="E18" s="21"/>
      <c r="F18" s="21"/>
      <c r="G18" s="24"/>
      <c r="H18" s="21"/>
      <c r="I18" s="21"/>
      <c r="J18" s="21"/>
    </row>
    <row r="19" spans="1:10" x14ac:dyDescent="0.3">
      <c r="A19" s="21" t="s">
        <v>191</v>
      </c>
      <c r="B19" s="21"/>
      <c r="C19" s="21"/>
      <c r="D19" s="21"/>
      <c r="E19" s="21"/>
      <c r="F19" s="21"/>
      <c r="G19" s="24"/>
      <c r="H19" s="21"/>
      <c r="I19" s="21"/>
      <c r="J19" s="21"/>
    </row>
  </sheetData>
  <mergeCells count="2">
    <mergeCell ref="A1:J1"/>
    <mergeCell ref="A2:J2"/>
  </mergeCells>
  <dataValidations count="1">
    <dataValidation type="list" sqref="H5:H19" xr:uid="{00000000-0002-0000-0600-000000000000}">
      <formula1>"Critical,High,Medium,Low,1,2,3,4,5"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8"/>
  <sheetViews>
    <sheetView workbookViewId="0"/>
  </sheetViews>
  <sheetFormatPr defaultRowHeight="14.4" x14ac:dyDescent="0.3"/>
  <cols>
    <col min="1" max="1" width="28" customWidth="1"/>
    <col min="2" max="2" width="18" customWidth="1"/>
    <col min="3" max="3" width="60" customWidth="1"/>
    <col min="4" max="10" width="12" customWidth="1"/>
  </cols>
  <sheetData>
    <row r="1" spans="1:10" ht="24" customHeight="1" x14ac:dyDescent="0.3">
      <c r="A1" s="3" t="s">
        <v>192</v>
      </c>
      <c r="B1" s="3"/>
      <c r="C1" s="3"/>
      <c r="D1" s="3"/>
      <c r="E1" s="3"/>
      <c r="F1" s="3"/>
      <c r="G1" s="3"/>
      <c r="H1" s="3"/>
      <c r="I1" s="3"/>
      <c r="J1" s="3"/>
    </row>
    <row r="2" spans="1:10" ht="25.65" customHeight="1" x14ac:dyDescent="0.3">
      <c r="A2" s="2" t="s">
        <v>193</v>
      </c>
      <c r="B2" s="2"/>
      <c r="C2" s="2"/>
      <c r="D2" s="2"/>
      <c r="E2" s="2"/>
      <c r="F2" s="2"/>
      <c r="G2" s="2"/>
      <c r="H2" s="2"/>
      <c r="I2" s="2"/>
      <c r="J2" s="2"/>
    </row>
    <row r="4" spans="1:10" x14ac:dyDescent="0.3">
      <c r="A4" s="31" t="s">
        <v>194</v>
      </c>
      <c r="B4" s="31" t="s">
        <v>195</v>
      </c>
      <c r="C4" s="31" t="s">
        <v>196</v>
      </c>
    </row>
    <row r="5" spans="1:10" x14ac:dyDescent="0.3">
      <c r="A5" s="32" t="s">
        <v>197</v>
      </c>
      <c r="B5" s="20">
        <f>COUNT('📋 Breakdown Report'!B:B)</f>
        <v>0</v>
      </c>
      <c r="C5" s="20" t="s">
        <v>198</v>
      </c>
    </row>
    <row r="6" spans="1:10" x14ac:dyDescent="0.3">
      <c r="A6" s="32" t="s">
        <v>199</v>
      </c>
      <c r="B6" s="20">
        <f>COUNTIF('📋 Breakdown Report'!H:H,"✓")+COUNTIF('📋 Breakdown Report'!H:H,"Pass")</f>
        <v>0</v>
      </c>
      <c r="C6" s="20" t="s">
        <v>200</v>
      </c>
    </row>
    <row r="7" spans="1:10" x14ac:dyDescent="0.3">
      <c r="A7" s="32" t="s">
        <v>201</v>
      </c>
      <c r="B7" s="20">
        <f>COUNTIF('📋 Breakdown Report'!H:H,"✗")+COUNTIF('📋 Breakdown Report'!H:H,"Fail")</f>
        <v>0</v>
      </c>
      <c r="C7" s="20" t="s">
        <v>202</v>
      </c>
    </row>
    <row r="8" spans="1:10" x14ac:dyDescent="0.3">
      <c r="A8" s="32" t="s">
        <v>203</v>
      </c>
      <c r="B8" s="20">
        <f>COUNTIF('📋 Breakdown Report'!H:H,"N/A")</f>
        <v>0</v>
      </c>
      <c r="C8" s="20" t="s">
        <v>204</v>
      </c>
    </row>
    <row r="9" spans="1:10" x14ac:dyDescent="0.3">
      <c r="A9" s="32" t="s">
        <v>205</v>
      </c>
      <c r="B9" s="33">
        <f>IFERROR(B6/(B5-B8),0)</f>
        <v>0</v>
      </c>
      <c r="C9" s="20" t="s">
        <v>206</v>
      </c>
    </row>
    <row r="10" spans="1:10" x14ac:dyDescent="0.3">
      <c r="A10" s="32" t="s">
        <v>207</v>
      </c>
      <c r="B10" s="20">
        <f>MAX(0,COUNTA('📋 Breakdown Report'!H:H)-1)</f>
        <v>4</v>
      </c>
      <c r="C10" s="20" t="s">
        <v>208</v>
      </c>
    </row>
    <row r="11" spans="1:10" x14ac:dyDescent="0.3">
      <c r="A11" s="32" t="s">
        <v>209</v>
      </c>
      <c r="B11" s="20">
        <f>COUNTIFS('Action Tracker'!H:H,"&lt;&gt;Complete",'Action Tracker'!H:H,"&lt;&gt;Verified",'Action Tracker'!A:A,"&lt;&gt;")</f>
        <v>3</v>
      </c>
      <c r="C11" s="20" t="s">
        <v>210</v>
      </c>
    </row>
    <row r="12" spans="1:10" x14ac:dyDescent="0.3">
      <c r="A12" s="32" t="s">
        <v>211</v>
      </c>
      <c r="B12" s="20">
        <f ca="1">COUNTIFS('Action Tracker'!G:G,"&lt;"&amp;TODAY(),'Action Tracker'!H:H,"&lt;&gt;Complete",'Action Tracker'!H:H,"&lt;&gt;Verified",'Action Tracker'!A:A,"&lt;&gt;")</f>
        <v>0</v>
      </c>
      <c r="C12" s="20" t="s">
        <v>212</v>
      </c>
    </row>
    <row r="13" spans="1:10" x14ac:dyDescent="0.3">
      <c r="A13" s="32" t="s">
        <v>213</v>
      </c>
      <c r="B13" s="20" t="str">
        <f>IF(B11&gt;0,"OVERDUE ACTIONS",IF(B7&gt;0,"DEFECTS FOUND","ACCEPTABLE"))</f>
        <v>OVERDUE ACTIONS</v>
      </c>
      <c r="C13" s="20" t="s">
        <v>214</v>
      </c>
    </row>
    <row r="15" spans="1:10" x14ac:dyDescent="0.3">
      <c r="A15" s="22" t="s">
        <v>215</v>
      </c>
      <c r="B15" s="22"/>
      <c r="C15" s="22"/>
      <c r="D15" s="22"/>
      <c r="E15" s="22"/>
      <c r="F15" s="22"/>
      <c r="G15" s="22"/>
      <c r="H15" s="22"/>
      <c r="I15" s="22"/>
      <c r="J15" s="22"/>
    </row>
    <row r="16" spans="1:10" x14ac:dyDescent="0.3">
      <c r="A16" s="1" t="s">
        <v>216</v>
      </c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1" t="s">
        <v>217</v>
      </c>
      <c r="B17" s="1"/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1" t="s">
        <v>218</v>
      </c>
      <c r="B18" s="1"/>
      <c r="C18" s="1"/>
      <c r="D18" s="1"/>
      <c r="E18" s="1"/>
      <c r="F18" s="1"/>
      <c r="G18" s="1"/>
      <c r="H18" s="1"/>
      <c r="I18" s="1"/>
      <c r="J18" s="1"/>
    </row>
  </sheetData>
  <mergeCells count="5">
    <mergeCell ref="A1:J1"/>
    <mergeCell ref="A2:J2"/>
    <mergeCell ref="A16:J16"/>
    <mergeCell ref="A17:J17"/>
    <mergeCell ref="A18:J18"/>
  </mergeCells>
  <conditionalFormatting sqref="B5:B13">
    <cfRule type="dataBar" priority="1">
      <dataBar>
        <cfvo type="min"/>
        <cfvo type="max"/>
        <color rgb="FF0F766E"/>
      </dataBar>
    </cfRule>
    <cfRule type="dataBar" priority="2">
      <dataBar>
        <cfvo type="min"/>
        <cfvo type="max"/>
        <color rgb="FF0F766E"/>
      </dataBar>
      <extLst>
        <ext xmlns:x14="http://schemas.microsoft.com/office/spreadsheetml/2009/9/main" uri="{B025F937-C7B1-47D3-B67F-A62EFF666E3E}">
          <x14:id>{3A9C94E0-DF88-93AB-A54B-1C8F81E7365A}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9C94E0-DF88-93AB-A54B-1C8F81E7365A}">
            <x14:dataBar>
              <x14:cfvo type="min"/>
              <x14:cfvo type="max"/>
              <x14:negativeFillColor auto="1"/>
              <x14:axisColor auto="1"/>
            </x14:dataBar>
          </x14:cfRule>
          <xm:sqref>B5:B13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📋 Breakdown Report</vt:lpstr>
      <vt:lpstr>Premium Guide</vt:lpstr>
      <vt:lpstr>Lists</vt:lpstr>
      <vt:lpstr>Action Tracker</vt:lpstr>
      <vt:lpstr>Downtime Cost Calculator</vt:lpstr>
      <vt:lpstr>RCA Trigger</vt:lpstr>
      <vt:lpstr>Evidence Log</vt:lpstr>
      <vt:lpstr>Premium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2 11</dc:creator>
  <cp:lastModifiedBy>2 11</cp:lastModifiedBy>
  <dcterms:created xsi:type="dcterms:W3CDTF">2026-06-26T00:47:07Z</dcterms:created>
  <dcterms:modified xsi:type="dcterms:W3CDTF">2026-06-26T00:58:01Z</dcterms:modified>
</cp:coreProperties>
</file>