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163f65648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📋 Breakdown Report" sheetId="1" r:id="Ra2e235ed176d4673"/>
    <x:sheet xmlns:r="http://schemas.openxmlformats.org/officeDocument/2006/relationships" name="Premium Guide" sheetId="2" r:id="Rb3b8b1b7c1eb4ec4"/>
    <x:sheet xmlns:r="http://schemas.openxmlformats.org/officeDocument/2006/relationships" name="Lists" sheetId="3" r:id="R382b8151272b4ce8"/>
    <x:sheet xmlns:r="http://schemas.openxmlformats.org/officeDocument/2006/relationships" name="Action Tracker" sheetId="4" r:id="R33e02481c13a4c5f"/>
    <x:sheet xmlns:r="http://schemas.openxmlformats.org/officeDocument/2006/relationships" name="Downtime Cost Calculator" sheetId="5" r:id="R3f71ea3747e149da"/>
    <x:sheet xmlns:r="http://schemas.openxmlformats.org/officeDocument/2006/relationships" name="RCA Trigger" sheetId="6" r:id="R40e83e9eb55b4229"/>
    <x:sheet xmlns:r="http://schemas.openxmlformats.org/officeDocument/2006/relationships" name="Evidence Log" sheetId="7" r:id="Rb4fb67c7e3244549"/>
    <x:sheet xmlns:r="http://schemas.openxmlformats.org/officeDocument/2006/relationships" name="Premium Dashboard" sheetId="8" r:id="R79adf14d42b44284"/>
  </x:sheets>
</x:workbook>
</file>

<file path=xl/sharedStrings.xml><?xml version="1.0" encoding="utf-8"?>
<x:sst xmlns:x="http://schemas.openxmlformats.org/spreadsheetml/2006/main">
  <x:si>
    <x:t xml:space="preserve">EQUIPMENT BREAKDOWN REPORT</x:t>
  </x:si>
  <x:si>
    <x:t xml:space="preserve">► Complete all yellow fields. This report must be submitted within 24 hours of the breakdown event.</x:t>
  </x:si>
  <x:si>
    <x:t xml:space="preserve">Report No.</x:t>
  </x:si>
  <x:si>
    <x:t xml:space="preserve">Date of Breakdown</x:t>
  </x:si>
  <x:si>
    <x:t xml:space="preserve">Time of Breakdown</x:t>
  </x:si>
  <x:si>
    <x:t xml:space="preserve">Shift</x:t>
  </x:si>
  <x:si>
    <x:t xml:space="preserve">Equipment Tag</x:t>
  </x:si>
  <x:si>
    <x:t xml:space="preserve">Equipment Name</x:t>
  </x:si>
  <x:si>
    <x:t xml:space="preserve">Plant / Area</x:t>
  </x:si>
  <x:si>
    <x:t xml:space="preserve">Production Line</x:t>
  </x:si>
  <x:si>
    <x:t xml:space="preserve">Work Order #</x:t>
  </x:si>
  <x:si>
    <x:t xml:space="preserve">Reported By</x:t>
  </x:si>
  <x:si>
    <x:t xml:space="preserve">Maintenance Supervisor</x:t>
  </x:si>
  <x:si>
    <x:t xml:space="preserve">Priority</x:t>
  </x:si>
  <x:si>
    <x:t xml:space="preserve">  1. DESCRIPTION OF BREAKDOWN — What happened?</x:t>
  </x:si>
  <x:si>
    <x:t xml:space="preserve">  2. SYMPTOMS OBSERVED (before / at time of failure)</x:t>
  </x:si>
  <x:si>
    <x:t xml:space="preserve">  3. IMMEDIATE CAUSE (visible physical cause)</x:t>
  </x:si>
  <x:si>
    <x:t xml:space="preserve">  4. ACTIONS TAKEN TO RESTORE EQUIPMENT</x:t>
  </x:si>
  <x:si>
    <x:t xml:space="preserve">  5. PARTS / MATERIALS USED</x:t>
  </x:si>
  <x:si>
    <x:t xml:space="preserve">  6. DOWNTIME SUMMARY</x:t>
  </x:si>
  <x:si>
    <x:t xml:space="preserve">Downtime Start</x:t>
  </x:si>
  <x:si>
    <x:t xml:space="preserve">Downtime End</x:t>
  </x:si>
  <x:si>
    <x:t xml:space="preserve">Total Hours</x:t>
  </x:si>
  <x:si>
    <x:t xml:space="preserve">Production Loss (units/R)</x:t>
  </x:si>
  <x:si>
    <x:t xml:space="preserve">  7. COST OF BREAKDOWN</x:t>
  </x:si>
  <x:si>
    <x:t xml:space="preserve">Cost Item</x:t>
  </x:si>
  <x:si>
    <x:t xml:space="preserve">Estimated Cost (R)</x:t>
  </x:si>
  <x:si>
    <x:t xml:space="preserve">Actual Cost (R)</x:t>
  </x:si>
  <x:si>
    <x:t xml:space="preserve">Notes</x:t>
  </x:si>
  <x:si>
    <x:t xml:space="preserve">Labour (hrs × rate)</x:t>
  </x:si>
  <x:si>
    <x:t xml:space="preserve">Spare parts</x:t>
  </x:si>
  <x:si>
    <x:t xml:space="preserve">Contractor fees</x:t>
  </x:si>
  <x:si>
    <x:t xml:space="preserve">Production loss</x:t>
  </x:si>
  <x:si>
    <x:t xml:space="preserve">Other</x:t>
  </x:si>
  <x:si>
    <x:t xml:space="preserve">TOTAL</x:t>
  </x:si>
  <x:si>
    <x:t xml:space="preserve">  8. ROOT CAUSE (initial assessment — full RCA if critical)</x:t>
  </x:si>
  <x:si>
    <x:t xml:space="preserve">  9. RECOMMENDED CORRECTIVE ACTIONS</x:t>
  </x:si>
  <x:si>
    <x:t xml:space="preserve">Technician</x:t>
  </x:si>
  <x:si>
    <x:t xml:space="preserve">Supervisor</x:t>
  </x:si>
  <x:si>
    <x:t xml:space="preserve">Manager</x:t>
  </x:si>
  <x:si>
    <x:t xml:space="preserve">Date Closed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</x:si>
</x:sst>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200" formatCode="yyyy-mm-dd"/>
    <x:numFmt numFmtId="201" formatCode="yyyy-mm-dd hh:mm"/>
    <x:numFmt numFmtId="202" formatCode="0.00"/>
    <x:numFmt numFmtId="203" formatCode="R #,##0.00"/>
    <x:numFmt numFmtId="204" formatCode="0%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E8A020"/>
      <x:name val="Arial"/>
    </x:font>
    <x:font>
      <x:i/>
      <x:sz val="8"/>
      <x:color rgb="FF717D7E"/>
      <x:name val="Arial"/>
    </x:font>
    <x:font>
      <x:b/>
      <x:sz val="9"/>
      <x:color rgb="FFFFFFFF"/>
      <x:name val="Arial"/>
    </x:font>
    <x:font>
      <x:sz val="9"/>
      <x:color rgb="FF1A1A2E"/>
      <x:name val="Arial"/>
    </x:font>
    <x:font>
      <x:b/>
      <x:sz val="10"/>
      <x:color rgb="FFFFFFFF"/>
      <x:name val="Arial"/>
    </x:font>
    <x:font>
      <x:sz val="10"/>
      <x:color rgb="FF1A1A2E"/>
      <x:name val="Arial"/>
    </x:font>
    <x:font>
      <x:b/>
      <x:sz val="16"/>
      <x:color rgb="FFFFFFFF"/>
      <x:name val="Calibri"/>
    </x:font>
    <x:font>
      <x:i/>
      <x:sz val="10"/>
      <x:color rgb="FF1F2937"/>
      <x:name val="Calibri"/>
    </x:font>
    <x:font>
      <x:b/>
      <x:sz val="10"/>
      <x:color rgb="FFFFFFFF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FFF9E6"/>
      </x:patternFill>
    </x:fill>
    <x:fill>
      <x:patternFill patternType="solid">
        <x:fgColor rgb="FF16213E"/>
      </x:patternFill>
    </x:fill>
    <x:fill>
      <x:patternFill patternType="solid">
        <x:fgColor rgb="FFF2F3F4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</x:fills>
  <x:borders count="6"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  <x:border diagonalUp="0" diagonalDown="0"/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 diagonalUp="0" diagonalDown="0">
      <x:left style="thin">
        <x:color rgb="FFCCCCCC"/>
      </x:left>
      <x:top style="thin">
        <x:color rgb="FFCCCCCC"/>
      </x:top>
      <x:bottom style="thin">
        <x:color rgb="FFCCCCCC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1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center" vertical="center" wrapText="0"/>
    </x:xf>
    <x:xf numFmtId="164" fontId="5" fillId="3" borderId="0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right" vertical="center" wrapText="0"/>
    </x:xf>
    <x:xf numFmtId="164" fontId="7" fillId="3" borderId="1" xfId="0" applyFont="1" applyBorder="1" applyAlignment="1">
      <x:alignment horizontal="left" vertical="center" wrapText="0"/>
    </x:xf>
    <x:xf numFmtId="164" fontId="8" fillId="2" borderId="2" xfId="0" applyFont="1" applyBorder="1" applyAlignment="1">
      <x:alignment horizontal="left" vertical="center" wrapText="0"/>
    </x:xf>
    <x:xf numFmtId="164" fontId="9" fillId="3" borderId="2" xfId="0" applyFont="1" applyBorder="1" applyAlignment="1">
      <x:alignment horizontal="left" vertical="center" wrapText="0"/>
    </x:xf>
    <x:xf numFmtId="164" fontId="6" fillId="4" borderId="1" xfId="0" applyFont="1" applyBorder="1" applyAlignment="1">
      <x:alignment horizontal="center" vertical="center" wrapText="0"/>
    </x:xf>
    <x:xf numFmtId="164" fontId="0" fillId="3" borderId="1" xfId="0" applyFont="0" applyBorder="1" applyAlignment="0">
      <x:alignment horizontal="general" vertical="bottom" wrapText="0"/>
    </x:xf>
    <x:xf numFmtId="164" fontId="6" fillId="2" borderId="1" xfId="0" applyFont="1" applyBorder="1" applyAlignment="1">
      <x:alignment horizontal="center" vertical="center" wrapText="1"/>
    </x:xf>
    <x:xf numFmtId="164" fontId="7" fillId="5" borderId="1" xfId="0" applyFont="1" applyBorder="1" applyAlignment="0">
      <x:alignment horizontal="general" vertical="bottom" wrapText="0"/>
    </x:xf>
    <x:xf numFmtId="164" fontId="7" fillId="3" borderId="1" xfId="0" applyFont="1" applyBorder="1" applyAlignment="1">
      <x:alignment horizontal="center" vertical="center" wrapText="0"/>
    </x:xf>
    <x:xf numFmtId="164" fontId="8" fillId="4" borderId="2" xfId="0" applyFont="1" applyBorder="1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6" fillId="4" borderId="1" xfId="0" applyFont="1" applyBorder="1" applyAlignment="1">
      <x:alignment horizontal="center" vertical="center" wrapText="1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0" fillId="2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center" vertical="center" wrapText="0"/>
    </x:xf>
    <x:xf numFmtId="164" fontId="5" fillId="3" borderId="3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right" vertical="center" wrapText="0"/>
    </x:xf>
    <x:xf numFmtId="164" fontId="7" fillId="3" borderId="4" xfId="0" applyNumberFormat="1" applyFont="1" applyFill="1" applyBorder="1" applyAlignment="1">
      <x:alignment horizontal="left" vertical="center" wrapText="0"/>
    </x:xf>
    <x:xf numFmtId="164" fontId="8" fillId="2" borderId="5" xfId="0" applyNumberFormat="1" applyFont="1" applyFill="1" applyBorder="1" applyAlignment="1">
      <x:alignment horizontal="left" vertical="center" wrapText="0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4" borderId="4" xfId="0" applyNumberFormat="1" applyFont="1" applyFill="1" applyBorder="1" applyAlignment="1">
      <x:alignment horizontal="center" vertical="center" wrapText="0"/>
    </x:xf>
    <x:xf numFmtId="164" fontId="0" fillId="3" borderId="4" xfId="0" applyNumberFormat="1" applyFont="1" applyFill="1" applyBorder="1" applyAlignment="1">
      <x:alignment horizontal="general" vertical="bottom" wrapText="0"/>
    </x:xf>
    <x:xf numFmtId="164" fontId="6" fillId="2" borderId="4" xfId="0" applyNumberFormat="1" applyFont="1" applyFill="1" applyBorder="1" applyAlignment="1">
      <x:alignment horizontal="center" vertical="center" wrapText="1"/>
    </x:xf>
    <x:xf numFmtId="164" fontId="7" fillId="5" borderId="4" xfId="0" applyNumberFormat="1" applyFont="1" applyFill="1" applyBorder="1" applyAlignment="1">
      <x:alignment horizontal="general" vertical="bottom" wrapText="0"/>
    </x:xf>
    <x:xf numFmtId="164" fontId="7" fillId="3" borderId="4" xfId="0" applyNumberFormat="1" applyFont="1" applyFill="1" applyBorder="1" applyAlignment="1">
      <x:alignment horizontal="center" vertical="center" wrapText="0"/>
    </x:xf>
    <x:xf numFmtId="164" fontId="8" fillId="4" borderId="5" xfId="0" applyNumberFormat="1" applyFont="1" applyFill="1" applyBorder="1" applyAlignment="1">
      <x:alignment horizontal="general" vertical="bottom" wrapText="0"/>
    </x:xf>
    <x:xf numFmtId="164" fontId="8" fillId="4" borderId="4" xfId="0" applyNumberFormat="1" applyFont="1" applyFill="1" applyBorder="1" applyAlignment="1">
      <x:alignment horizontal="general" vertical="bottom" wrapText="0"/>
    </x:xf>
    <x:xf numFmtId="164" fontId="6" fillId="4" borderId="4" xfId="0" applyNumberFormat="1" applyFont="1" applyFill="1" applyBorder="1" applyAlignment="1">
      <x:alignment horizontal="center" vertical="center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0" fillId="6" borderId="0" xfId="0" applyNumberFormat="1" applyFont="1" applyFill="1" applyBorder="1" applyAlignment="1">
      <x:alignment horizontal="general" vertical="bottom" wrapText="0"/>
    </x:xf>
    <x:xf numFmtId="164" fontId="10" fillId="6" borderId="0" xfId="0" applyNumberFormat="1" applyFont="1" applyFill="1" applyBorder="1" applyAlignment="1">
      <x:alignment horizontal="left" vertical="bottom" wrapText="0"/>
    </x:xf>
    <x:xf numFmtId="164" fontId="10" fillId="6" borderId="0" xfId="0" applyNumberFormat="1" applyFont="1" applyFill="1" applyBorder="1" applyAlignment="1">
      <x:alignment horizontal="left" vertical="center" wrapText="0"/>
    </x:xf>
    <x:xf numFmtId="164" fontId="0" fillId="6" borderId="3" xfId="0" applyNumberFormat="1" applyFont="1" applyFill="1" applyBorder="1" applyAlignment="1">
      <x:alignment horizontal="general" vertical="bottom" wrapText="0"/>
    </x:xf>
    <x:xf numFmtId="164" fontId="10" fillId="6" borderId="3" xfId="0" applyNumberFormat="1" applyFont="1" applyFill="1" applyBorder="1" applyAlignment="1">
      <x:alignment horizontal="general" vertical="bottom" wrapText="0"/>
    </x:xf>
    <x:xf numFmtId="164" fontId="10" fillId="6" borderId="3" xfId="0" applyNumberFormat="1" applyFont="1" applyFill="1" applyBorder="1" applyAlignment="1">
      <x:alignment horizontal="left" vertical="bottom" wrapText="0"/>
    </x:xf>
    <x:xf numFmtId="164" fontId="10" fillId="6" borderId="3" xfId="0" applyNumberFormat="1" applyFont="1" applyFill="1" applyBorder="1" applyAlignment="1">
      <x:alignment horizontal="left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bottom" wrapText="0"/>
    </x:xf>
    <x:xf numFmtId="164" fontId="11" fillId="7" borderId="0" xfId="0" applyNumberFormat="1" applyFont="1" applyFill="1" applyBorder="1" applyAlignment="1">
      <x:alignment horizontal="general" vertical="bottom" wrapText="1"/>
    </x:xf>
    <x:xf numFmtId="164" fontId="0" fillId="7" borderId="3" xfId="0" applyNumberFormat="1" applyFont="1" applyFill="1" applyBorder="1" applyAlignment="1">
      <x:alignment horizontal="general" vertical="bottom" wrapText="0"/>
    </x:xf>
    <x:xf numFmtId="164" fontId="11" fillId="7" borderId="3" xfId="0" applyNumberFormat="1" applyFont="1" applyFill="1" applyBorder="1" applyAlignment="1">
      <x:alignment horizontal="general" vertical="bottom" wrapText="0"/>
    </x:xf>
    <x:xf numFmtId="164" fontId="11" fillId="7" borderId="3" xfId="0" applyNumberFormat="1" applyFont="1" applyFill="1" applyBorder="1" applyAlignment="1">
      <x:alignment horizontal="general" vertical="bottom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2" fillId="8" borderId="0" xfId="0" applyNumberFormat="1" applyFont="1" applyFill="1" applyBorder="1" applyAlignment="1">
      <x:alignment horizontal="general" vertical="bottom" wrapText="0"/>
    </x:xf>
    <x:xf numFmtId="164" fontId="12" fillId="8" borderId="0" xfId="0" applyNumberFormat="1" applyFont="1" applyFill="1" applyBorder="1" applyAlignment="1">
      <x:alignment horizontal="general" vertical="bottom" wrapText="1"/>
    </x:xf>
    <x:xf numFmtId="164" fontId="12" fillId="8" borderId="0" xfId="0" applyNumberFormat="1" applyFont="1" applyFill="1" applyBorder="1" applyAlignment="1">
      <x:alignment horizontal="center" vertical="bottom" wrapText="1"/>
    </x:xf>
    <x:xf numFmtId="164" fontId="12" fillId="8" borderId="0" xfId="0" applyNumberFormat="1" applyFont="1" applyFill="1" applyBorder="1" applyAlignment="1">
      <x:alignment horizontal="center" vertical="center" wrapText="1"/>
    </x:xf>
    <x:xf numFmtId="164" fontId="0" fillId="8" borderId="3" xfId="0" applyNumberFormat="1" applyFont="1" applyFill="1" applyBorder="1" applyAlignment="1">
      <x:alignment horizontal="general" vertical="bottom" wrapText="0"/>
    </x:xf>
    <x:xf numFmtId="164" fontId="12" fillId="8" borderId="3" xfId="0" applyNumberFormat="1" applyFont="1" applyFill="1" applyBorder="1" applyAlignment="1">
      <x:alignment horizontal="general" vertical="bottom" wrapText="0"/>
    </x:xf>
    <x:xf numFmtId="164" fontId="12" fillId="8" borderId="3" xfId="0" applyNumberFormat="1" applyFont="1" applyFill="1" applyBorder="1" applyAlignment="1">
      <x:alignment horizontal="general" vertical="bottom" wrapText="1"/>
    </x:xf>
    <x:xf numFmtId="164" fontId="12" fillId="8" borderId="3" xfId="0" applyNumberFormat="1" applyFont="1" applyFill="1" applyBorder="1" applyAlignment="1">
      <x:alignment horizontal="center" vertical="bottom" wrapText="1"/>
    </x:xf>
    <x:xf numFmtId="164" fontId="12" fillId="8" borderId="3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3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3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1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0" fillId="10" borderId="3" xfId="0" applyNumberFormat="1" applyFont="1" applyFill="1" applyBorder="1" applyAlignment="1">
      <x:alignment horizontal="general" vertical="bottom" wrapText="1"/>
    </x:xf>
    <x:xf numFmtId="164" fontId="13" fillId="8" borderId="0" xfId="0" applyNumberFormat="1" applyFont="1" applyFill="1" applyBorder="1" applyAlignment="1">
      <x:alignment horizontal="general" vertical="bottom" wrapText="0"/>
    </x:xf>
    <x:xf numFmtId="164" fontId="13" fillId="8" borderId="3" xfId="0" applyNumberFormat="1" applyFont="1" applyFill="1" applyBorder="1" applyAlignment="1">
      <x:alignment horizontal="general" vertical="bottom" wrapText="0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0" fillId="0" borderId="3" xfId="0" applyNumberFormat="1" applyFont="1" applyFill="1" applyBorder="1" applyAlignment="1">
      <x:alignment horizontal="general" vertical="top" wrapText="1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3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0" fillId="0" borderId="3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3" fontId="0" fillId="0" borderId="3" xfId="0" applyNumberFormat="1" applyFont="1" applyFill="1" applyBorder="1" applyAlignment="1">
      <x:alignment horizontal="general" vertical="bottom" wrapText="0"/>
    </x:xf>
    <x:xf numFmtId="164" fontId="13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3" fillId="7" borderId="3" xfId="0" applyNumberFormat="1" applyFont="1" applyFill="1" applyBorder="1" applyAlignment="1">
      <x:alignment horizontal="general" vertical="bottom" wrapText="0"/>
    </x:xf>
    <x:xf numFmtId="164" fontId="14" fillId="7" borderId="3" xfId="0" applyNumberFormat="1" applyFont="1" applyFill="1" applyBorder="1" applyAlignment="1">
      <x:alignment horizontal="general" vertical="bottom" wrapText="0"/>
    </x:xf>
    <x:xf numFmtId="201" fontId="13" fillId="8" borderId="0" xfId="0" applyNumberFormat="1" applyFont="1" applyFill="1" applyBorder="1" applyAlignment="1">
      <x:alignment horizontal="general" vertical="bottom" wrapText="0"/>
    </x:xf>
    <x:xf numFmtId="201" fontId="13" fillId="8" borderId="3" xfId="0" applyNumberFormat="1" applyFont="1" applyFill="1" applyBorder="1" applyAlignment="1">
      <x:alignment horizontal="general" vertical="bottom" wrapText="0"/>
    </x:xf>
    <x:xf numFmtId="164" fontId="13" fillId="8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3" fillId="8" borderId="3" xfId="0" applyNumberFormat="1" applyFont="1" applyFill="1" applyBorder="1" applyAlignment="1">
      <x:alignment horizontal="general" vertical="bottom" wrapText="1"/>
    </x:xf>
    <x:xf numFmtId="164" fontId="14" fillId="7" borderId="3" xfId="0" applyNumberFormat="1" applyFont="1" applyFill="1" applyBorder="1" applyAlignment="1">
      <x:alignment horizontal="general" vertical="bottom" wrapText="1"/>
    </x:xf>
    <x:xf numFmtId="204" fontId="0" fillId="0" borderId="0" xfId="0" applyNumberFormat="1" applyFont="1" applyFill="1" applyBorder="1" applyAlignment="1">
      <x:alignment horizontal="general" vertical="bottom" wrapText="1"/>
    </x:xf>
    <x:xf numFmtId="204" fontId="0" fillId="0" borderId="3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5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CCCCC"/>
      <x:rgbColor rgb="FF717D7E"/>
      <x:rgbColor rgb="FF9999FF"/>
      <x:rgbColor rgb="FF993366"/>
      <x:rgbColor rgb="FFFFF9E6"/>
      <x:rgbColor rgb="FFF2F3F4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E8A020"/>
      <x:rgbColor rgb="FFFF6600"/>
      <x:rgbColor rgb="FF666699"/>
      <x:rgbColor rgb="FF969696"/>
      <x:rgbColor rgb="FF003366"/>
      <x:rgbColor rgb="FF339966"/>
      <x:rgbColor rgb="FF003300"/>
      <x:rgbColor rgb="FF1A1A2E"/>
      <x:rgbColor rgb="FF993300"/>
      <x:rgbColor rgb="FF993366"/>
      <x:rgbColor rgb="FF333399"/>
      <x:rgbColor rgb="FF16213E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5fb9f9ac44e2e" /><Relationship Type="http://schemas.openxmlformats.org/officeDocument/2006/relationships/theme" Target="/xl/theme/theme1.xml" Id="R58a791e45bbc4c31" /><Relationship Type="http://schemas.openxmlformats.org/officeDocument/2006/relationships/sharedStrings" Target="/xl/sharedStrings.xml" Id="R8a360663700f40d6" /><Relationship Type="http://schemas.openxmlformats.org/officeDocument/2006/relationships/worksheet" Target="/xl/worksheets/sheet1.xml" Id="Ra2e235ed176d4673" /><Relationship Type="http://schemas.openxmlformats.org/officeDocument/2006/relationships/worksheet" Target="/xl/worksheets/sheet2.xml" Id="Rb3b8b1b7c1eb4ec4" /><Relationship Type="http://schemas.openxmlformats.org/officeDocument/2006/relationships/worksheet" Target="/xl/worksheets/sheet3.xml" Id="R382b8151272b4ce8" /><Relationship Type="http://schemas.openxmlformats.org/officeDocument/2006/relationships/worksheet" Target="/xl/worksheets/sheet4.xml" Id="R33e02481c13a4c5f" /><Relationship Type="http://schemas.openxmlformats.org/officeDocument/2006/relationships/worksheet" Target="/xl/worksheets/sheet5.xml" Id="R3f71ea3747e149da" /><Relationship Type="http://schemas.openxmlformats.org/officeDocument/2006/relationships/worksheet" Target="/xl/worksheets/sheet6.xml" Id="R40e83e9eb55b4229" /><Relationship Type="http://schemas.openxmlformats.org/officeDocument/2006/relationships/worksheet" Target="/xl/worksheets/sheet7.xml" Id="Rb4fb67c7e3244549" /><Relationship Type="http://schemas.openxmlformats.org/officeDocument/2006/relationships/worksheet" Target="/xl/worksheets/sheet8.xml" Id="R79adf14d42b44284" /></Relationships>
</file>

<file path=xl/tables/table1.xml><?xml version="1.0" encoding="utf-8"?>
<x:table xmlns:x="http://schemas.openxmlformats.org/spreadsheetml/2006/main" id="1" name="BreakdownActionTracker" displayName="BreakdownActionTracker" ref="A4:K34" headerRowCount="1">
  <x:tableColumns count="11">
    <x:tableColumn id="1" name="Source/Sheet"/>
    <x:tableColumn id="2" name="Asset / Equipment"/>
    <x:tableColumn id="3" name="Finding / Defect"/>
    <x:tableColumn id="4" name="Risk / Impact"/>
    <x:tableColumn id="5" name="Priority"/>
    <x:tableColumn id="6" name="Responsible Person"/>
    <x:tableColumn id="7" name="Due Date"/>
    <x:tableColumn id="8" name="Status"/>
    <x:tableColumn id="9" name="Close-out Date"/>
    <x:tableColumn id="10" name="Verification / Evidence"/>
    <x:tableColumn id="11" name="Days Overdue"/>
  </x:tableColumns>
  <x:tableStyleInfo name="TableStyleMedium2" showRowStripes="1"/>
</x:table>
</file>

<file path=xl/tables/table2.xml><?xml version="1.0" encoding="utf-8"?>
<x:table xmlns:x="http://schemas.openxmlformats.org/spreadsheetml/2006/main" id="2" name="BreakdownPhotoLog" displayName="BreakdownPhotoLog" ref="A4:J19" headerRowCount="1">
  <x:tableColumns count="10">
    <x:tableColumn id="1" name="Photo Ref"/>
    <x:tableColumn id="2" name="Equipment"/>
    <x:tableColumn id="3" name="Component / Location"/>
    <x:tableColumn id="4" name="Finding Shown"/>
    <x:tableColumn id="5" name="File/Folder Link"/>
    <x:tableColumn id="6" name="Taken By"/>
    <x:tableColumn id="7" name="Date"/>
    <x:tableColumn id="8" name="Severity"/>
    <x:tableColumn id="9" name="Action Ref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eb584f4bea34a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1211ca0f0af1456f" /></Relationships>
</file>

<file path=xl/worksheets/sheet1.xml><?xml version="1.0" encoding="utf-8"?>
<x:worksheet xmlns:x="http://schemas.openxmlformats.org/spreadsheetml/2006/main">
  <x:sheetPr>
    <x:tabColor rgb="FFE8A020"/>
  </x:sheetPr>
  <x:sheetViews>
    <x:sheetView showGridLines="0" workbookViewId="0"/>
  </x:sheetViews>
  <x:sheetFormatPr defaultColWidth="8.6796875" defaultRowHeight="15"/>
  <x:cols>
    <x:col min="2" max="2" width="2" hidden="0" customWidth="1"/>
    <x:col min="3" max="4" width="24" hidden="0" customWidth="1"/>
    <x:col min="5" max="5" width="16" hidden="0" customWidth="1"/>
    <x:col min="6" max="9" width="14" hidden="0" customWidth="1"/>
    <x:col min="10" max="10" width="20" hidden="0" customWidth="1"/>
    <x:col min="11" max="11" width="26" hidden="0" customWidth="1"/>
    <x:col min="12" max="12" width="22" hidden="0" customWidth="1"/>
    <x:col min="13" max="13" width="26" hidden="0" customWidth="1"/>
  </x:cols>
  <x:sheetData>
    <x:row r="1" ht="7.5" hidden="0" customHeight="1"/>
    <x:row r="2" ht="37.5" hidden="0" customHeight="1">
      <x:c r="A2" s="1"/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1"/>
    </x:row>
    <x:row r="3" ht="18" hidden="0" customHeight="1">
      <x:c r="B3" s="3" t="s">
        <x:v>1</x:v>
      </x:c>
      <x:c r="C3" s="3"/>
      <x:c r="D3" s="3"/>
      <x:c r="E3" s="3"/>
      <x:c r="F3" s="3"/>
      <x:c r="G3" s="3"/>
      <x:c r="H3" s="3"/>
      <x:c r="I3" s="3"/>
    </x:row>
    <x:row r="4" ht="19.5" hidden="0" customHeight="1">
      <x:c r="B4" s="4" t="s">
        <x:v>2</x:v>
      </x:c>
      <x:c r="C4" s="5"/>
      <x:c r="D4" s="4" t="s">
        <x:v>3</x:v>
      </x:c>
      <x:c r="E4" s="5"/>
      <x:c r="F4" s="4" t="s">
        <x:v>4</x:v>
      </x:c>
      <x:c r="G4" s="5"/>
      <x:c r="H4" s="4" t="s">
        <x:v>5</x:v>
      </x:c>
      <x:c r="I4" s="5"/>
      <x:c r="K4" s="62" t="str">
        <x:v>PREMIUM CALCULATIONS</x:v>
      </x:c>
      <x:c r="L4" s="62" t="str"/>
      <x:c r="M4" s="62" t="str"/>
    </x:row>
    <x:row r="5" ht="19.5" hidden="0" customHeight="1">
      <x:c r="B5" s="4" t="s">
        <x:v>6</x:v>
      </x:c>
      <x:c r="C5" s="5"/>
      <x:c r="D5" s="4" t="s">
        <x:v>7</x:v>
      </x:c>
      <x:c r="E5" s="5"/>
      <x:c r="F5" s="4" t="s">
        <x:v>8</x:v>
      </x:c>
      <x:c r="G5" s="5"/>
      <x:c r="H5" s="4" t="s">
        <x:v>9</x:v>
      </x:c>
      <x:c r="I5" s="5"/>
      <x:c r="K5" t="str">
        <x:v>Breakdown Start</x:v>
      </x:c>
      <x:c r="L5" s="73" t="str"/>
      <x:c r="M5" t="str">
        <x:v>Enter date/time</x:v>
      </x:c>
    </x:row>
    <x:row r="6" ht="19.5" hidden="0" customHeight="1">
      <x:c r="B6" s="4" t="s">
        <x:v>10</x:v>
      </x:c>
      <x:c r="C6" s="5"/>
      <x:c r="D6" s="4" t="s">
        <x:v>11</x:v>
      </x:c>
      <x:c r="E6" s="5"/>
      <x:c r="F6" s="4" t="s">
        <x:v>12</x:v>
      </x:c>
      <x:c r="G6" s="5"/>
      <x:c r="H6" s="4" t="s">
        <x:v>13</x:v>
      </x:c>
      <x:c r="I6" s="5"/>
      <x:c r="K6" t="str">
        <x:v>Repair Start</x:v>
      </x:c>
      <x:c r="L6" s="73" t="str"/>
      <x:c r="M6" t="str">
        <x:v>Enter date/time</x:v>
      </x:c>
    </x:row>
    <x:row r="7" ht="9.75" hidden="0" customHeight="1">
      <x:c r="K7" t="str">
        <x:v>Repair Finish</x:v>
      </x:c>
      <x:c r="L7" s="73" t="str"/>
      <x:c r="M7" t="str">
        <x:v>Enter date/time</x:v>
      </x:c>
    </x:row>
    <x:row r="8" ht="21.75" hidden="0" customHeight="1">
      <x:c r="B8" s="6" t="s">
        <x:v>14</x:v>
      </x:c>
      <x:c r="C8" s="6"/>
      <x:c r="D8" s="6"/>
      <x:c r="E8" s="6"/>
      <x:c r="F8" s="6"/>
      <x:c r="G8" s="6"/>
      <x:c r="H8" s="6"/>
      <x:c r="I8" s="6"/>
      <x:c r="J8" s="6"/>
      <x:c r="K8" t="str">
        <x:v>Return to Service</x:v>
      </x:c>
      <x:c r="L8" s="73" t="str"/>
      <x:c r="M8" t="str">
        <x:v>Enter date/time</x:v>
      </x:c>
    </x:row>
    <x:row r="9" ht="21.75" hidden="0" customHeight="1">
      <x:c r="B9" s="7"/>
      <x:c r="C9" s="7"/>
      <x:c r="D9" s="7"/>
      <x:c r="E9" s="7"/>
      <x:c r="F9" s="7"/>
      <x:c r="G9" s="7"/>
      <x:c r="H9" s="7"/>
      <x:c r="I9" s="7"/>
      <x:c r="J9" s="7"/>
      <x:c r="K9" t="str">
        <x:v>Total Downtime (hrs)</x:v>
      </x:c>
      <x:c r="L9" s="75" t="str">
        <x:f>IF(OR(L5="",L8=""),"",MAX(0,(L8-L5)*24))</x:f>
      </x:c>
      <x:c r="M9" t="str">
        <x:v>Auto</x:v>
      </x:c>
    </x:row>
    <x:row r="10" ht="21.75" hidden="0" customHeight="1">
      <x:c r="B10" s="7"/>
      <x:c r="C10" s="7"/>
      <x:c r="D10" s="7"/>
      <x:c r="E10" s="7"/>
      <x:c r="F10" s="7"/>
      <x:c r="G10" s="7"/>
      <x:c r="H10" s="7"/>
      <x:c r="I10" s="7"/>
      <x:c r="J10" s="7"/>
      <x:c r="K10" t="str">
        <x:v>Repair Time (hrs)</x:v>
      </x:c>
      <x:c r="L10" s="75" t="str">
        <x:f>IF(OR(L6="",L7=""),"",MAX(0,(L7-L6)*24))</x:f>
      </x:c>
      <x:c r="M10" t="str">
        <x:v>Auto</x:v>
      </x:c>
    </x:row>
    <x:row r="11" ht="21.75" hidden="0" customHeight="1">
      <x:c r="B11" s="7"/>
      <x:c r="C11" s="7"/>
      <x:c r="D11" s="7"/>
      <x:c r="E11" s="7"/>
      <x:c r="F11" s="7"/>
      <x:c r="G11" s="7"/>
      <x:c r="H11" s="7"/>
      <x:c r="I11" s="7"/>
      <x:c r="J11" s="7"/>
      <x:c r="K11" t="str">
        <x:v>Hourly Production Loss (R/hr)</x:v>
      </x:c>
      <x:c r="L11" s="77" t="str"/>
      <x:c r="M11" t="str">
        <x:v>Input</x:v>
      </x:c>
    </x:row>
    <x:row r="12" ht="21.75" hidden="0" customHeight="1">
      <x:c r="B12" s="7"/>
      <x:c r="C12" s="7"/>
      <x:c r="D12" s="7"/>
      <x:c r="E12" s="7"/>
      <x:c r="F12" s="7"/>
      <x:c r="G12" s="7"/>
      <x:c r="H12" s="7"/>
      <x:c r="I12" s="7"/>
      <x:c r="J12" s="7"/>
      <x:c r="K12" t="str">
        <x:v>Production Loss (R)</x:v>
      </x:c>
      <x:c r="L12" s="77" t="str">
        <x:f>IF(OR(L9="",L11=""),"",L9*L11)</x:f>
      </x:c>
      <x:c r="M12" t="str">
        <x:v>Auto</x:v>
      </x:c>
    </x:row>
    <x:row r="13" ht="9.75" hidden="0" customHeight="1">
      <x:c r="K13" t="str">
        <x:v>Full RCA Required?</x:v>
      </x:c>
      <x:c r="L13" t="str">
        <x:f>IF(OR(L9&gt;=4,L12&gt;=50000),"Yes","No")</x:f>
        <x:v>No</x:v>
      </x:c>
      <x:c r="M13" t="str">
        <x:v>Auto</x:v>
      </x:c>
    </x:row>
    <x:row r="14" ht="21.75" hidden="0" customHeight="1">
      <x:c r="B14" s="6" t="s">
        <x:v>15</x:v>
      </x:c>
      <x:c r="C14" s="6"/>
      <x:c r="D14" s="6"/>
      <x:c r="E14" s="6"/>
      <x:c r="F14" s="6"/>
      <x:c r="G14" s="6"/>
      <x:c r="H14" s="6"/>
      <x:c r="I14" s="6"/>
      <x:c r="J14" s="6"/>
      <x:c r="K14" t="str">
        <x:v>RCA Trigger Reason</x:v>
      </x:c>
      <x:c r="L14" t="str">
        <x:f>IF(L13="Yes","Downtime &gt;= 4 hrs or production loss &gt;= R50k","Below RCA trigger threshold")</x:f>
        <x:v>Below RCA trigger threshold</x:v>
      </x:c>
      <x:c r="M14" t="str">
        <x:v>Auto</x:v>
      </x:c>
    </x:row>
    <x:row r="15" ht="21.75" hidden="0" customHeight="1">
      <x:c r="B15" s="7"/>
      <x:c r="C15" s="7"/>
      <x:c r="D15" s="7"/>
      <x:c r="E15" s="7"/>
      <x:c r="F15" s="7"/>
      <x:c r="G15" s="7"/>
      <x:c r="H15" s="7"/>
      <x:c r="I15" s="7"/>
      <x:c r="J15" s="7"/>
    </x:row>
    <x:row r="16" ht="21.75" hidden="0" customHeight="1">
      <x:c r="B16" s="7"/>
      <x:c r="C16" s="7"/>
      <x:c r="D16" s="7"/>
      <x:c r="E16" s="7"/>
      <x:c r="F16" s="7"/>
      <x:c r="G16" s="7"/>
      <x:c r="H16" s="7"/>
      <x:c r="I16" s="7"/>
      <x:c r="J16" s="7"/>
    </x:row>
    <x:row r="17" ht="21.75" hidden="0" customHeight="1">
      <x:c r="B17" s="7"/>
      <x:c r="C17" s="7"/>
      <x:c r="D17" s="7"/>
      <x:c r="E17" s="7"/>
      <x:c r="F17" s="7"/>
      <x:c r="G17" s="7"/>
      <x:c r="H17" s="7"/>
      <x:c r="I17" s="7"/>
      <x:c r="J17" s="7"/>
    </x:row>
    <x:row r="18" ht="9.75" hidden="0" customHeight="1"/>
    <x:row r="19" ht="21.75" hidden="0" customHeight="1">
      <x:c r="B19" s="6" t="s">
        <x:v>16</x:v>
      </x:c>
      <x:c r="C19" s="6"/>
      <x:c r="D19" s="6"/>
      <x:c r="E19" s="6"/>
      <x:c r="F19" s="6"/>
      <x:c r="G19" s="6"/>
      <x:c r="H19" s="6"/>
      <x:c r="I19" s="6"/>
      <x:c r="J19" s="6"/>
    </x:row>
    <x:row r="20" ht="21.75" hidden="0" customHeight="1">
      <x:c r="B20" s="7"/>
      <x:c r="C20" s="7"/>
      <x:c r="D20" s="7"/>
      <x:c r="E20" s="7"/>
      <x:c r="F20" s="7"/>
      <x:c r="G20" s="7"/>
      <x:c r="H20" s="7"/>
      <x:c r="I20" s="7"/>
      <x:c r="J20" s="7"/>
    </x:row>
    <x:row r="21" ht="21.75" hidden="0" customHeight="1">
      <x:c r="B21" s="7"/>
      <x:c r="C21" s="7"/>
      <x:c r="D21" s="7"/>
      <x:c r="E21" s="7"/>
      <x:c r="F21" s="7"/>
      <x:c r="G21" s="7"/>
      <x:c r="H21" s="7"/>
      <x:c r="I21" s="7"/>
      <x:c r="J21" s="7"/>
    </x:row>
    <x:row r="22" ht="21.75" hidden="0" customHeight="1">
      <x:c r="B22" s="7"/>
      <x:c r="C22" s="7"/>
      <x:c r="D22" s="7"/>
      <x:c r="E22" s="7"/>
      <x:c r="F22" s="7"/>
      <x:c r="G22" s="7"/>
      <x:c r="H22" s="7"/>
      <x:c r="I22" s="7"/>
      <x:c r="J22" s="7"/>
    </x:row>
    <x:row r="23" ht="9.75" hidden="0" customHeight="1"/>
    <x:row r="24" ht="21.75" hidden="0" customHeight="1">
      <x:c r="B24" s="6" t="s">
        <x:v>17</x:v>
      </x:c>
      <x:c r="C24" s="6"/>
      <x:c r="D24" s="6"/>
      <x:c r="E24" s="6"/>
      <x:c r="F24" s="6"/>
      <x:c r="G24" s="6"/>
      <x:c r="H24" s="6"/>
      <x:c r="I24" s="6"/>
      <x:c r="J24" s="6"/>
    </x:row>
    <x:row r="25" ht="21.75" hidden="0" customHeight="1">
      <x:c r="B25" s="7"/>
      <x:c r="C25" s="7"/>
      <x:c r="D25" s="7"/>
      <x:c r="E25" s="7"/>
      <x:c r="F25" s="7"/>
      <x:c r="G25" s="7"/>
      <x:c r="H25" s="7"/>
      <x:c r="I25" s="7"/>
      <x:c r="J25" s="7"/>
    </x:row>
    <x:row r="26" ht="21.75" hidden="0" customHeight="1">
      <x:c r="B26" s="7"/>
      <x:c r="C26" s="7"/>
      <x:c r="D26" s="7"/>
      <x:c r="E26" s="7"/>
      <x:c r="F26" s="7"/>
      <x:c r="G26" s="7"/>
      <x:c r="H26" s="7"/>
      <x:c r="I26" s="7"/>
      <x:c r="J26" s="7"/>
    </x:row>
    <x:row r="27" ht="21.75" hidden="0" customHeight="1">
      <x:c r="B27" s="7"/>
      <x:c r="C27" s="7"/>
      <x:c r="D27" s="7"/>
      <x:c r="E27" s="7"/>
      <x:c r="F27" s="7"/>
      <x:c r="G27" s="7"/>
      <x:c r="H27" s="7"/>
      <x:c r="I27" s="7"/>
      <x:c r="J27" s="7"/>
    </x:row>
    <x:row r="28" ht="21.75" hidden="0" customHeight="1">
      <x:c r="B28" s="7"/>
      <x:c r="C28" s="7"/>
      <x:c r="D28" s="7"/>
      <x:c r="E28" s="7"/>
      <x:c r="F28" s="7"/>
      <x:c r="G28" s="7"/>
      <x:c r="H28" s="7"/>
      <x:c r="I28" s="7"/>
      <x:c r="J28" s="7"/>
    </x:row>
    <x:row r="29" ht="9.75" hidden="0" customHeight="1"/>
    <x:row r="30" ht="21.75" hidden="0" customHeight="1">
      <x:c r="B30" s="6" t="s">
        <x:v>18</x:v>
      </x:c>
      <x:c r="C30" s="6"/>
      <x:c r="D30" s="6"/>
      <x:c r="E30" s="6"/>
      <x:c r="F30" s="6"/>
      <x:c r="G30" s="6"/>
      <x:c r="H30" s="6"/>
      <x:c r="I30" s="6"/>
      <x:c r="J30" s="6"/>
    </x:row>
    <x:row r="31" ht="21.75" hidden="0" customHeight="1">
      <x:c r="B31" s="7"/>
      <x:c r="C31" s="7"/>
      <x:c r="D31" s="7"/>
      <x:c r="E31" s="7"/>
      <x:c r="F31" s="7"/>
      <x:c r="G31" s="7"/>
      <x:c r="H31" s="7"/>
      <x:c r="I31" s="7"/>
      <x:c r="J31" s="7"/>
    </x:row>
    <x:row r="32" ht="21.75" hidden="0" customHeight="1">
      <x:c r="B32" s="7"/>
      <x:c r="C32" s="7"/>
      <x:c r="D32" s="7"/>
      <x:c r="E32" s="7"/>
      <x:c r="F32" s="7"/>
      <x:c r="G32" s="7"/>
      <x:c r="H32" s="7"/>
      <x:c r="I32" s="7"/>
      <x:c r="J32" s="7"/>
    </x:row>
    <x:row r="33" ht="21.75" hidden="0" customHeight="1">
      <x:c r="B33" s="7"/>
      <x:c r="C33" s="7"/>
      <x:c r="D33" s="7"/>
      <x:c r="E33" s="7"/>
      <x:c r="F33" s="7"/>
      <x:c r="G33" s="7"/>
      <x:c r="H33" s="7"/>
      <x:c r="I33" s="7"/>
      <x:c r="J33" s="7"/>
    </x:row>
    <x:row r="34" ht="9.75" hidden="0" customHeight="1"/>
    <x:row r="35" ht="21.75" hidden="0" customHeight="1">
      <x:c r="B35" s="6" t="s">
        <x:v>19</x:v>
      </x:c>
      <x:c r="C35" s="6"/>
      <x:c r="D35" s="6"/>
      <x:c r="E35" s="6"/>
      <x:c r="F35" s="6"/>
      <x:c r="G35" s="6"/>
      <x:c r="H35" s="6"/>
      <x:c r="I35" s="6"/>
      <x:c r="J35" s="6"/>
    </x:row>
    <x:row r="36" ht="19.5" hidden="0" customHeight="1">
      <x:c r="B36" s="8" t="s">
        <x:v>20</x:v>
      </x:c>
      <x:c r="C36" s="9"/>
      <x:c r="D36" s="8" t="s">
        <x:v>21</x:v>
      </x:c>
      <x:c r="E36" s="9"/>
      <x:c r="F36" s="8" t="s">
        <x:v>22</x:v>
      </x:c>
      <x:c r="G36" s="9"/>
      <x:c r="H36" s="8" t="s">
        <x:v>23</x:v>
      </x:c>
      <x:c r="I36" s="9"/>
    </x:row>
    <x:row r="37" ht="9.75" hidden="0" customHeight="1"/>
    <x:row r="38" ht="21.75" hidden="0" customHeight="1">
      <x:c r="B38" s="6" t="s">
        <x:v>24</x:v>
      </x:c>
      <x:c r="C38" s="6"/>
      <x:c r="D38" s="6"/>
      <x:c r="E38" s="6"/>
      <x:c r="F38" s="6"/>
      <x:c r="G38" s="6"/>
      <x:c r="H38" s="6"/>
      <x:c r="I38" s="6"/>
      <x:c r="J38" s="6"/>
    </x:row>
    <x:row r="39" ht="19.5" hidden="0" customHeight="1">
      <x:c r="B39" s="10" t="s">
        <x:v>25</x:v>
      </x:c>
      <x:c r="E39" s="10" t="s">
        <x:v>26</x:v>
      </x:c>
      <x:c r="G39" s="10" t="s">
        <x:v>27</x:v>
      </x:c>
      <x:c r="I39" s="10" t="s">
        <x:v>28</x:v>
      </x:c>
    </x:row>
    <x:row r="40" ht="18" hidden="0" customHeight="1">
      <x:c r="B40" s="11" t="s">
        <x:v>29</x:v>
      </x:c>
      <x:c r="C40" s="11"/>
      <x:c r="D40" s="11"/>
      <x:c r="E40" s="12"/>
      <x:c r="F40" s="12"/>
      <x:c r="G40" s="12"/>
      <x:c r="H40" s="12"/>
      <x:c r="I40" s="12"/>
      <x:c r="J40" s="12"/>
    </x:row>
    <x:row r="41" ht="18" hidden="0" customHeight="1">
      <x:c r="B41" s="11" t="s">
        <x:v>30</x:v>
      </x:c>
      <x:c r="C41" s="11"/>
      <x:c r="D41" s="11"/>
      <x:c r="E41" s="12"/>
      <x:c r="F41" s="12"/>
      <x:c r="G41" s="12"/>
      <x:c r="H41" s="12"/>
      <x:c r="I41" s="12"/>
      <x:c r="J41" s="12"/>
    </x:row>
    <x:row r="42" ht="18" hidden="0" customHeight="1">
      <x:c r="B42" s="11" t="s">
        <x:v>31</x:v>
      </x:c>
      <x:c r="C42" s="11"/>
      <x:c r="D42" s="11"/>
      <x:c r="E42" s="12"/>
      <x:c r="F42" s="12"/>
      <x:c r="G42" s="12"/>
      <x:c r="H42" s="12"/>
      <x:c r="I42" s="12"/>
      <x:c r="J42" s="12"/>
    </x:row>
    <x:row r="43" ht="18" hidden="0" customHeight="1">
      <x:c r="B43" s="11" t="s">
        <x:v>32</x:v>
      </x:c>
      <x:c r="C43" s="11"/>
      <x:c r="D43" s="11"/>
      <x:c r="E43" s="12"/>
      <x:c r="F43" s="12"/>
      <x:c r="G43" s="12"/>
      <x:c r="H43" s="12"/>
      <x:c r="I43" s="12"/>
      <x:c r="J43" s="12"/>
    </x:row>
    <x:row r="44" ht="18" hidden="0" customHeight="1">
      <x:c r="B44" s="11" t="s">
        <x:v>33</x:v>
      </x:c>
      <x:c r="C44" s="11"/>
      <x:c r="D44" s="11"/>
      <x:c r="E44" s="12"/>
      <x:c r="F44" s="12"/>
      <x:c r="G44" s="12"/>
      <x:c r="H44" s="12"/>
      <x:c r="I44" s="12"/>
      <x:c r="J44" s="12"/>
    </x:row>
    <x:row r="45" ht="19.5" hidden="0" customHeight="1">
      <x:c r="B45" s="13" t="s">
        <x:v>34</x:v>
      </x:c>
      <x:c r="C45" s="13"/>
      <x:c r="D45" s="13"/>
      <x:c r="E45" s="14"/>
      <x:c r="F45" s="14"/>
    </x:row>
    <x:row r="46" ht="9.75" hidden="0" customHeight="1"/>
    <x:row r="47" ht="21.75" hidden="0" customHeight="1">
      <x:c r="B47" s="6" t="s">
        <x:v>35</x:v>
      </x:c>
      <x:c r="C47" s="6"/>
      <x:c r="D47" s="6"/>
      <x:c r="E47" s="6"/>
      <x:c r="F47" s="6"/>
      <x:c r="G47" s="6"/>
      <x:c r="H47" s="6"/>
      <x:c r="I47" s="6"/>
      <x:c r="J47" s="6"/>
    </x:row>
    <x:row r="48" ht="21.75" hidden="0" customHeight="1">
      <x:c r="B48" s="7"/>
      <x:c r="C48" s="7"/>
      <x:c r="D48" s="7"/>
      <x:c r="E48" s="7"/>
      <x:c r="F48" s="7"/>
      <x:c r="G48" s="7"/>
      <x:c r="H48" s="7"/>
      <x:c r="I48" s="7"/>
      <x:c r="J48" s="7"/>
    </x:row>
    <x:row r="49" ht="21.75" hidden="0" customHeight="1">
      <x:c r="B49" s="7"/>
      <x:c r="C49" s="7"/>
      <x:c r="D49" s="7"/>
      <x:c r="E49" s="7"/>
      <x:c r="F49" s="7"/>
      <x:c r="G49" s="7"/>
      <x:c r="H49" s="7"/>
      <x:c r="I49" s="7"/>
      <x:c r="J49" s="7"/>
    </x:row>
    <x:row r="50" ht="21.75" hidden="0" customHeight="1">
      <x:c r="B50" s="7"/>
      <x:c r="C50" s="7"/>
      <x:c r="D50" s="7"/>
      <x:c r="E50" s="7"/>
      <x:c r="F50" s="7"/>
      <x:c r="G50" s="7"/>
      <x:c r="H50" s="7"/>
      <x:c r="I50" s="7"/>
      <x:c r="J50" s="7"/>
    </x:row>
    <x:row r="51" ht="9.75" hidden="0" customHeight="1"/>
    <x:row r="52" ht="21.75" hidden="0" customHeight="1">
      <x:c r="B52" s="6" t="s">
        <x:v>36</x:v>
      </x:c>
      <x:c r="C52" s="6"/>
      <x:c r="D52" s="6"/>
      <x:c r="E52" s="6"/>
      <x:c r="F52" s="6"/>
      <x:c r="G52" s="6"/>
      <x:c r="H52" s="6"/>
      <x:c r="I52" s="6"/>
      <x:c r="J52" s="6"/>
    </x:row>
    <x:row r="53" ht="21.75" hidden="0" customHeight="1">
      <x:c r="B53" s="7"/>
      <x:c r="C53" s="7"/>
      <x:c r="D53" s="7"/>
      <x:c r="E53" s="7"/>
      <x:c r="F53" s="7"/>
      <x:c r="G53" s="7"/>
      <x:c r="H53" s="7"/>
      <x:c r="I53" s="7"/>
      <x:c r="J53" s="7"/>
    </x:row>
    <x:row r="54" ht="21.75" hidden="0" customHeight="1">
      <x:c r="B54" s="7"/>
      <x:c r="C54" s="7"/>
      <x:c r="D54" s="7"/>
      <x:c r="E54" s="7"/>
      <x:c r="F54" s="7"/>
      <x:c r="G54" s="7"/>
      <x:c r="H54" s="7"/>
      <x:c r="I54" s="7"/>
      <x:c r="J54" s="7"/>
    </x:row>
    <x:row r="55" ht="21.75" hidden="0" customHeight="1">
      <x:c r="B55" s="7"/>
      <x:c r="C55" s="7"/>
      <x:c r="D55" s="7"/>
      <x:c r="E55" s="7"/>
      <x:c r="F55" s="7"/>
      <x:c r="G55" s="7"/>
      <x:c r="H55" s="7"/>
      <x:c r="I55" s="7"/>
      <x:c r="J55" s="7"/>
    </x:row>
    <x:row r="56" ht="9.75" hidden="0" customHeight="1"/>
    <x:row r="57" ht="19.5" hidden="0" customHeight="1">
      <x:c r="B57" s="15" t="s">
        <x:v>37</x:v>
      </x:c>
      <x:c r="D57" s="15" t="s">
        <x:v>38</x:v>
      </x:c>
      <x:c r="F57" s="15" t="s">
        <x:v>39</x:v>
      </x:c>
      <x:c r="H57" s="15" t="s">
        <x:v>40</x:v>
      </x:c>
    </x:row>
    <x:row r="58" ht="30" hidden="0" customHeight="1">
      <x:c r="B58" s="9"/>
      <x:c r="C58" s="9"/>
      <x:c r="D58" s="9"/>
      <x:c r="E58" s="9"/>
      <x:c r="F58" s="9"/>
      <x:c r="G58" s="9"/>
      <x:c r="H58" s="9"/>
      <x:c r="I58" s="9"/>
      <x:c r="J58" s="9"/>
    </x:row>
  </x:sheetData>
  <x:mergeCells>
    <x:mergeCell ref="B2:J2"/>
    <x:mergeCell ref="B3:I3"/>
    <x:mergeCell ref="B8:J8"/>
    <x:mergeCell ref="B9:J9"/>
    <x:mergeCell ref="B10:J10"/>
    <x:mergeCell ref="B11:J11"/>
    <x:mergeCell ref="B12:J12"/>
    <x:mergeCell ref="B14:J14"/>
    <x:mergeCell ref="B15:J15"/>
    <x:mergeCell ref="B16:J16"/>
    <x:mergeCell ref="B17:J17"/>
    <x:mergeCell ref="B19:J19"/>
    <x:mergeCell ref="B20:J20"/>
    <x:mergeCell ref="B21:J21"/>
    <x:mergeCell ref="B22:J22"/>
    <x:mergeCell ref="B24:J24"/>
    <x:mergeCell ref="B25:J25"/>
    <x:mergeCell ref="B26:J26"/>
    <x:mergeCell ref="B27:J27"/>
    <x:mergeCell ref="B28:J28"/>
    <x:mergeCell ref="B30:J30"/>
    <x:mergeCell ref="B31:J31"/>
    <x:mergeCell ref="B32:J32"/>
    <x:mergeCell ref="B33:J33"/>
    <x:mergeCell ref="B35:J35"/>
    <x:mergeCell ref="B38:J38"/>
    <x:mergeCell ref="B40:D40"/>
    <x:mergeCell ref="B41:D41"/>
    <x:mergeCell ref="B42:D42"/>
    <x:mergeCell ref="B43:D43"/>
    <x:mergeCell ref="B44:D44"/>
    <x:mergeCell ref="B45:D45"/>
    <x:mergeCell ref="B47:J47"/>
    <x:mergeCell ref="B48:J48"/>
    <x:mergeCell ref="B49:J49"/>
    <x:mergeCell ref="B50:J50"/>
    <x:mergeCell ref="B52:J52"/>
    <x:mergeCell ref="B53:J53"/>
    <x:mergeCell ref="B54:J54"/>
    <x:mergeCell ref="B55:J55"/>
  </x:mergeCells>
  <x:dataValidations count="1">
    <x:dataValidation type="list" sqref="L13">
      <x:formula1>"Yes,No,TBC"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 ht="30" customHeight="1">
      <x:c r="A1" s="35" t="str">
        <x:v>Breakdown Report Template — PREMIUM UPGRADE GUIDE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42" t="str">
        <x:v>Original template preserved. Added premium sheets turn the file into a semi-automated maintenance management tool.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50" t="str">
        <x:v>Step</x:v>
      </x:c>
      <x:c r="B4" s="50" t="str">
        <x:v>What to do</x:v>
      </x:c>
      <x:c r="C4" s="50" t="str">
        <x:v>Outcome</x:v>
      </x:c>
    </x:row>
    <x:row r="5">
      <x:c r="A5" s="58" t="str">
        <x:v>1</x:v>
      </x:c>
      <x:c r="B5" s="58" t="str">
        <x:v>Enter field data</x:v>
      </x:c>
      <x:c r="C5" s="58" t="str">
        <x:v>Complete the original inspection/report sheet. Yellow cells and result columns are input fields.</x:v>
      </x:c>
    </x:row>
    <x:row r="6">
      <x:c r="A6" s="58" t="str">
        <x:v>2</x:v>
      </x:c>
      <x:c r="B6" s="58" t="str">
        <x:v>Use dropdowns</x:v>
      </x:c>
      <x:c r="C6" s="58" t="str">
        <x:v>Use standardised results, priority, status, criticality and RCA decision fields to keep data clean.</x:v>
      </x:c>
    </x:row>
    <x:row r="7">
      <x:c r="A7" s="58" t="str">
        <x:v>3</x:v>
      </x:c>
      <x:c r="B7" s="58" t="str">
        <x:v>Review dashboard</x:v>
      </x:c>
      <x:c r="C7" s="58" t="str">
        <x:v>Open the dashboard/summary sheet to view compliance, open actions, overdue actions and management risk indicators.</x:v>
      </x:c>
    </x:row>
    <x:row r="8">
      <x:c r="A8" s="58" t="str">
        <x:v>4</x:v>
      </x:c>
      <x:c r="B8" s="58" t="str">
        <x:v>Close actions</x:v>
      </x:c>
      <x:c r="C8" s="58" t="str">
        <x:v>Transfer defects/recommendations to the Action Tracker with owner, due date, status and verification evidence.</x:v>
      </x:c>
    </x:row>
    <x:row r="9">
      <x:c r="A9" s="58" t="str">
        <x:v>5</x:v>
      </x:c>
      <x:c r="B9" s="58" t="str">
        <x:v>Issue report</x:v>
      </x:c>
      <x:c r="C9" s="58" t="str">
        <x:v>Use the original form for site records and the added registers for meetings, audits and maintenance planning.</x:v>
      </x:c>
    </x:row>
    <x:row r="12">
      <x:c r="A12" s="62" t="str">
        <x:v>Upgrades Implemented</x:v>
      </x:c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</x:row>
    <x:row r="13">
      <x:c r="A13" s="66" t="str">
        <x:v>• Downtime auto-calculation and production loss calculator added.</x:v>
      </x:c>
      <x:c r="B13" s="66" t="str"/>
      <x:c r="C13" s="66" t="str"/>
      <x:c r="D13" s="66" t="str"/>
      <x:c r="E13" s="66" t="str"/>
      <x:c r="F13" s="66" t="str"/>
      <x:c r="G13" s="66" t="str"/>
      <x:c r="H13" s="66" t="str"/>
      <x:c r="I13" s="66" t="str"/>
      <x:c r="J13" s="66" t="str"/>
      <x:c r="K13" s="66" t="str"/>
    </x:row>
    <x:row r="14">
      <x:c r="A14" s="66" t="str">
        <x:v>• Breakdown classification, priority and RCA trigger criteria added.</x:v>
      </x:c>
      <x:c r="B14" s="66" t="str"/>
      <x:c r="C14" s="66" t="str"/>
      <x:c r="D14" s="66" t="str"/>
      <x:c r="E14" s="66" t="str"/>
      <x:c r="F14" s="66" t="str"/>
      <x:c r="G14" s="66" t="str"/>
      <x:c r="H14" s="66" t="str"/>
      <x:c r="I14" s="66" t="str"/>
      <x:c r="J14" s="66" t="str"/>
      <x:c r="K14" s="66" t="str"/>
    </x:row>
    <x:row r="15">
      <x:c r="A15" s="66" t="str">
        <x:v>• Parts/material cost calculator and shift handover log added.</x:v>
      </x:c>
      <x:c r="B15" s="66" t="str"/>
      <x:c r="C15" s="66" t="str"/>
      <x:c r="D15" s="66" t="str"/>
      <x:c r="E15" s="66" t="str"/>
      <x:c r="F15" s="66" t="str"/>
      <x:c r="G15" s="66" t="str"/>
      <x:c r="H15" s="66" t="str"/>
      <x:c r="I15" s="66" t="str"/>
      <x:c r="J15" s="66" t="str"/>
      <x:c r="K15" s="66" t="str"/>
    </x:row>
    <x:row r="16">
      <x:c r="A16" s="66" t="str">
        <x:v>• Action tracker added with due dates, status, close-out verification and overdue calculation.</x:v>
      </x:c>
      <x:c r="B16" s="66" t="str"/>
      <x:c r="C16" s="66" t="str"/>
      <x:c r="D16" s="66" t="str"/>
      <x:c r="E16" s="66" t="str"/>
      <x:c r="F16" s="66" t="str"/>
      <x:c r="G16" s="66" t="str"/>
      <x:c r="H16" s="66" t="str"/>
      <x:c r="I16" s="66" t="str"/>
      <x:c r="J16" s="66" t="str"/>
      <x:c r="K16" s="66" t="str"/>
    </x:row>
    <x:row r="17">
      <x:c r="A17" s="66" t="str">
        <x:v>• Dashboard added for downtime, cost, RCA trigger, open actions and management status.</x:v>
      </x:c>
      <x:c r="B17" s="66" t="str"/>
      <x:c r="C17" s="66" t="str"/>
      <x:c r="D17" s="66" t="str"/>
      <x:c r="E17" s="66" t="str"/>
      <x:c r="F17" s="66" t="str"/>
      <x:c r="G17" s="66" t="str"/>
      <x:c r="H17" s="66" t="str"/>
      <x:c r="I17" s="66" t="str"/>
      <x:c r="J17" s="66" t="str"/>
      <x:c r="K17" s="66" t="str"/>
    </x:row>
  </x:sheetData>
  <x:mergeCells>
    <x:mergeCell ref="A1:K1"/>
    <x:mergeCell ref="A2:K2"/>
    <x:mergeCell ref="A13:K13"/>
    <x:mergeCell ref="A14:K14"/>
    <x:mergeCell ref="A15:K15"/>
    <x:mergeCell ref="A16:K16"/>
    <x:mergeCell ref="A17:K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9.5" hidden="0" customWidth="1"/>
    <x:col min="2" max="2" width="6.880000114440918" hidden="0" customWidth="1"/>
    <x:col min="3" max="3" width="6.630000114440918" hidden="0" customWidth="1"/>
    <x:col min="4" max="4" width="6.75" hidden="0" customWidth="1"/>
    <x:col min="5" max="5" width="12.630000114440918" hidden="0" customWidth="1"/>
    <x:col min="6" max="6" width="10.5" hidden="0" customWidth="1"/>
    <x:col min="7" max="7" width="4.630000114440918" hidden="0" customWidth="1"/>
    <x:col min="8" max="8" width="11" hidden="0" customWidth="1"/>
  </x:cols>
  <x:sheetData>
    <x:row r="1" ht="30" customHeight="1">
      <x:c r="A1" s="35" t="str">
        <x:v>CONTROL LISTS / DROPDOWNS</x:v>
      </x:c>
      <x:c r="B1" s="35"/>
      <x:c r="C1" s="35"/>
      <x:c r="D1" s="35"/>
      <x:c r="E1" s="35"/>
      <x:c r="F1" s="35"/>
      <x:c r="G1" s="35"/>
      <x:c r="H1" s="35"/>
    </x:row>
    <x:row r="2" ht="32" customHeight="1">
      <x:c r="A2" s="42" t="str">
        <x:v>Edit these lists if your site uses different status, priority, failure mode or criticality labels.</x:v>
      </x:c>
      <x:c r="B2" s="42"/>
      <x:c r="C2" s="42"/>
      <x:c r="D2" s="42"/>
      <x:c r="E2" s="42"/>
      <x:c r="F2" s="42"/>
      <x:c r="G2" s="42"/>
      <x:c r="H2" s="42"/>
    </x:row>
    <x:row r="4">
      <x:c r="A4" s="69" t="str">
        <x:v>Status</x:v>
      </x:c>
      <x:c r="B4" s="69" t="str">
        <x:v>Priority</x:v>
      </x:c>
      <x:c r="C4" s="69" t="str">
        <x:v>Result</x:v>
      </x:c>
      <x:c r="D4" s="69" t="str">
        <x:v>Severity</x:v>
      </x:c>
      <x:c r="E4" s="69" t="str">
        <x:v>Failure Mode</x:v>
      </x:c>
      <x:c r="F4" s="69" t="str">
        <x:v>Criticality</x:v>
      </x:c>
      <x:c r="G4" s="69" t="str">
        <x:v>Shift</x:v>
      </x:c>
      <x:c r="H4" s="69" t="str">
        <x:v>RCA Required</x:v>
      </x:c>
    </x:row>
    <x:row r="5">
      <x:c r="A5" t="str">
        <x:v>Open</x:v>
      </x:c>
      <x:c r="B5" t="str">
        <x:v>Critical</x:v>
      </x:c>
      <x:c r="C5" t="str">
        <x:v>✓</x:v>
      </x:c>
      <x:c r="D5" t="n">
        <x:v>1</x:v>
      </x:c>
      <x:c r="E5" t="str">
        <x:v>Mechanical</x:v>
      </x:c>
      <x:c r="F5" t="str">
        <x:v>A - Critical</x:v>
      </x:c>
      <x:c r="G5" t="str">
        <x:v>Day</x:v>
      </x:c>
      <x:c r="H5" t="str">
        <x:v>Yes</x:v>
      </x:c>
    </x:row>
    <x:row r="6">
      <x:c r="A6" t="str">
        <x:v>In Progress</x:v>
      </x:c>
      <x:c r="B6" t="str">
        <x:v>High</x:v>
      </x:c>
      <x:c r="C6" t="str">
        <x:v>✗</x:v>
      </x:c>
      <x:c r="D6" t="n">
        <x:v>2</x:v>
      </x:c>
      <x:c r="E6" t="str">
        <x:v>Electrical</x:v>
      </x:c>
      <x:c r="F6" t="str">
        <x:v>B - Important</x:v>
      </x:c>
      <x:c r="G6" t="str">
        <x:v>Night</x:v>
      </x:c>
      <x:c r="H6" t="str">
        <x:v>No</x:v>
      </x:c>
    </x:row>
    <x:row r="7">
      <x:c r="A7" t="str">
        <x:v>Complete</x:v>
      </x:c>
      <x:c r="B7" t="str">
        <x:v>Medium</x:v>
      </x:c>
      <x:c r="C7" t="str">
        <x:v>N/A</x:v>
      </x:c>
      <x:c r="D7" t="n">
        <x:v>3</x:v>
      </x:c>
      <x:c r="E7" t="str">
        <x:v>Lubrication</x:v>
      </x:c>
      <x:c r="F7" t="str">
        <x:v>C - General</x:v>
      </x:c>
      <x:c r="G7" t="str">
        <x:v>A</x:v>
      </x:c>
      <x:c r="H7" t="str">
        <x:v>TBC</x:v>
      </x:c>
    </x:row>
    <x:row r="8">
      <x:c r="A8" t="str">
        <x:v>Overdue</x:v>
      </x:c>
      <x:c r="B8" t="str">
        <x:v>Low</x:v>
      </x:c>
      <x:c r="C8" t="str">
        <x:v>Monitor</x:v>
      </x:c>
      <x:c r="D8" t="n">
        <x:v>4</x:v>
      </x:c>
      <x:c r="E8" t="str">
        <x:v>Hydraulic</x:v>
      </x:c>
      <x:c r="G8" t="str">
        <x:v>B</x:v>
      </x:c>
    </x:row>
    <x:row r="9">
      <x:c r="A9" t="str">
        <x:v>Deferred</x:v>
      </x:c>
      <x:c r="B9" t="str">
        <x:v>Monitor</x:v>
      </x:c>
      <x:c r="D9" t="n">
        <x:v>5</x:v>
      </x:c>
      <x:c r="E9" t="str">
        <x:v>Pneumatic</x:v>
      </x:c>
      <x:c r="G9" t="str">
        <x:v>C</x:v>
      </x:c>
    </x:row>
    <x:row r="10">
      <x:c r="A10" t="str">
        <x:v>Cancelled</x:v>
      </x:c>
      <x:c r="E10" t="str">
        <x:v>Instrumentation</x:v>
      </x:c>
      <x:c r="G10" t="str">
        <x:v>D</x:v>
      </x:c>
    </x:row>
    <x:row r="11">
      <x:c r="A11" t="str">
        <x:v>Verified</x:v>
      </x:c>
      <x:c r="E11" t="str">
        <x:v>Process</x:v>
      </x:c>
    </x:row>
    <x:row r="12">
      <x:c r="E12" t="str">
        <x:v>Operator</x:v>
      </x:c>
    </x:row>
    <x:row r="13">
      <x:c r="E13" t="str">
        <x:v>Design</x:v>
      </x:c>
    </x:row>
    <x:row r="14">
      <x:c r="E14" t="str">
        <x:v>Unknown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6" hidden="0" customWidth="1"/>
    <x:col min="5" max="5" width="13" hidden="0" customWidth="1"/>
    <x:col min="6" max="6" width="18" hidden="0" customWidth="1"/>
    <x:col min="7" max="7" width="13" hidden="0" customWidth="1"/>
    <x:col min="8" max="8" width="14" hidden="0" customWidth="1"/>
    <x:col min="9" max="9" width="13" hidden="0" customWidth="1"/>
    <x:col min="10" max="10" width="32" hidden="0" customWidth="1"/>
    <x:col min="11" max="11" width="12" hidden="0" customWidth="1"/>
  </x:cols>
  <x:sheetData>
    <x:row r="1" ht="30" customHeight="1">
      <x:c r="A1" s="35" t="str">
        <x:v>ACTION TRACKER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2" customHeight="1">
      <x:c r="A2" s="42" t="str">
        <x:v>Central register for defects, recommendations, close-out dates, and verification.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50" t="str">
        <x:v>Source/Sheet</x:v>
      </x:c>
      <x:c r="B4" s="50" t="str">
        <x:v>Asset / Equipment</x:v>
      </x:c>
      <x:c r="C4" s="50" t="str">
        <x:v>Finding / Defect</x:v>
      </x:c>
      <x:c r="D4" s="50" t="str">
        <x:v>Risk / Impact</x:v>
      </x:c>
      <x:c r="E4" s="50" t="str">
        <x:v>Priority</x:v>
      </x:c>
      <x:c r="F4" s="50" t="str">
        <x:v>Responsible Person</x:v>
      </x:c>
      <x:c r="G4" s="50" t="str">
        <x:v>Due Date</x:v>
      </x:c>
      <x:c r="H4" s="50" t="str">
        <x:v>Status</x:v>
      </x:c>
      <x:c r="I4" s="50" t="str">
        <x:v>Close-out Date</x:v>
      </x:c>
      <x:c r="J4" s="50" t="str">
        <x:v>Verification / Evidence</x:v>
      </x:c>
      <x:c r="K4" s="50" t="str">
        <x:v>Days Overdue</x:v>
      </x:c>
    </x:row>
    <x:row r="5">
      <x:c r="A5" s="58" t="str"/>
      <x:c r="B5" s="58" t="str"/>
      <x:c r="C5" s="58" t="str"/>
      <x:c r="D5" s="58" t="str"/>
      <x:c r="E5" s="58" t="str"/>
      <x:c r="F5" s="58" t="str"/>
      <x:c r="G5" s="71" t="str"/>
      <x:c r="H5" s="58" t="str">
        <x:v>Open</x:v>
      </x:c>
      <x:c r="I5" s="71" t="str"/>
      <x:c r="J5" s="58" t="str"/>
      <x:c r="K5" s="58" t="n">
        <x:f>IF(AND(G5&lt;&gt;"",H5&lt;&gt;"Complete",H5&lt;&gt;"Verified"),MAX(0,TODAY()-G5),0)</x:f>
        <x:v>0</x:v>
      </x:c>
    </x:row>
    <x:row r="6">
      <x:c r="A6" s="58" t="str"/>
      <x:c r="B6" s="58" t="str"/>
      <x:c r="C6" s="58" t="str"/>
      <x:c r="D6" s="58" t="str"/>
      <x:c r="E6" s="58" t="str"/>
      <x:c r="F6" s="58" t="str"/>
      <x:c r="G6" s="71" t="str"/>
      <x:c r="H6" s="58" t="str">
        <x:v>Open</x:v>
      </x:c>
      <x:c r="I6" s="71" t="str"/>
      <x:c r="J6" s="58" t="str"/>
      <x:c r="K6" s="58" t="n">
        <x:f>IF(AND(G6&lt;&gt;"",H6&lt;&gt;"Complete",H6&lt;&gt;"Verified"),MAX(0,TODAY()-G6),0)</x:f>
        <x:v>0</x:v>
      </x:c>
    </x:row>
    <x:row r="7">
      <x:c r="A7" s="58" t="str"/>
      <x:c r="B7" s="58" t="str"/>
      <x:c r="C7" s="58" t="str"/>
      <x:c r="D7" s="58" t="str"/>
      <x:c r="E7" s="58" t="str"/>
      <x:c r="F7" s="58" t="str"/>
      <x:c r="G7" s="71" t="str"/>
      <x:c r="H7" s="58" t="str">
        <x:v>Open</x:v>
      </x:c>
      <x:c r="I7" s="71" t="str"/>
      <x:c r="J7" s="58" t="str"/>
      <x:c r="K7" s="58" t="n">
        <x:f>IF(AND(G7&lt;&gt;"",H7&lt;&gt;"Complete",H7&lt;&gt;"Verified"),MAX(0,TODAY()-G7),0)</x:f>
        <x:v>0</x:v>
      </x:c>
    </x:row>
    <x:row r="8">
      <x:c r="A8" s="58" t="str"/>
      <x:c r="B8" s="58" t="str"/>
      <x:c r="C8" s="58" t="str"/>
      <x:c r="D8" s="58" t="str"/>
      <x:c r="E8" s="58" t="str"/>
      <x:c r="F8" s="58" t="str"/>
      <x:c r="G8" s="71" t="str"/>
      <x:c r="H8" s="58" t="str">
        <x:v>Open</x:v>
      </x:c>
      <x:c r="I8" s="71" t="str"/>
      <x:c r="J8" s="58" t="str"/>
      <x:c r="K8" s="58" t="n">
        <x:f>IF(AND(G8&lt;&gt;"",H8&lt;&gt;"Complete",H8&lt;&gt;"Verified"),MAX(0,TODAY()-G8),0)</x:f>
        <x:v>0</x:v>
      </x:c>
    </x:row>
    <x:row r="9">
      <x:c r="A9" s="58" t="str"/>
      <x:c r="B9" s="58" t="str"/>
      <x:c r="C9" s="58" t="str"/>
      <x:c r="D9" s="58" t="str"/>
      <x:c r="E9" s="58" t="str"/>
      <x:c r="F9" s="58" t="str"/>
      <x:c r="G9" s="71" t="str"/>
      <x:c r="H9" s="58" t="str">
        <x:v>Open</x:v>
      </x:c>
      <x:c r="I9" s="71" t="str"/>
      <x:c r="J9" s="58" t="str"/>
      <x:c r="K9" s="58" t="n">
        <x:f>IF(AND(G9&lt;&gt;"",H9&lt;&gt;"Complete",H9&lt;&gt;"Verified"),MAX(0,TODAY()-G9),0)</x:f>
        <x:v>0</x:v>
      </x:c>
    </x:row>
    <x:row r="10">
      <x:c r="A10" s="58" t="str"/>
      <x:c r="B10" s="58" t="str"/>
      <x:c r="C10" s="58" t="str"/>
      <x:c r="D10" s="58" t="str"/>
      <x:c r="E10" s="58" t="str"/>
      <x:c r="F10" s="58" t="str"/>
      <x:c r="G10" s="71" t="str"/>
      <x:c r="H10" s="58" t="str">
        <x:v>Open</x:v>
      </x:c>
      <x:c r="I10" s="71" t="str"/>
      <x:c r="J10" s="58" t="str"/>
      <x:c r="K10" s="58" t="n">
        <x:f>IF(AND(G10&lt;&gt;"",H10&lt;&gt;"Complete",H10&lt;&gt;"Verified"),MAX(0,TODAY()-G10),0)</x:f>
        <x:v>0</x:v>
      </x:c>
    </x:row>
    <x:row r="11">
      <x:c r="A11" s="58" t="str"/>
      <x:c r="B11" s="58" t="str"/>
      <x:c r="C11" s="58" t="str"/>
      <x:c r="D11" s="58" t="str"/>
      <x:c r="E11" s="58" t="str"/>
      <x:c r="F11" s="58" t="str"/>
      <x:c r="G11" s="71" t="str"/>
      <x:c r="H11" s="58" t="str">
        <x:v>Open</x:v>
      </x:c>
      <x:c r="I11" s="71" t="str"/>
      <x:c r="J11" s="58" t="str"/>
      <x:c r="K11" s="58" t="n">
        <x:f>IF(AND(G11&lt;&gt;"",H11&lt;&gt;"Complete",H11&lt;&gt;"Verified"),MAX(0,TODAY()-G11),0)</x:f>
        <x:v>0</x:v>
      </x:c>
    </x:row>
    <x:row r="12">
      <x:c r="A12" s="58" t="str"/>
      <x:c r="B12" s="58" t="str"/>
      <x:c r="C12" s="58" t="str"/>
      <x:c r="D12" s="58" t="str"/>
      <x:c r="E12" s="58" t="str"/>
      <x:c r="F12" s="58" t="str"/>
      <x:c r="G12" s="71" t="str"/>
      <x:c r="H12" s="58" t="str">
        <x:v>Open</x:v>
      </x:c>
      <x:c r="I12" s="71" t="str"/>
      <x:c r="J12" s="58" t="str"/>
      <x:c r="K12" s="58" t="n">
        <x:f>IF(AND(G12&lt;&gt;"",H12&lt;&gt;"Complete",H12&lt;&gt;"Verified"),MAX(0,TODAY()-G12),0)</x:f>
        <x:v>0</x:v>
      </x:c>
    </x:row>
    <x:row r="13">
      <x:c r="A13" s="58" t="str"/>
      <x:c r="B13" s="58" t="str"/>
      <x:c r="C13" s="58" t="str"/>
      <x:c r="D13" s="58" t="str"/>
      <x:c r="E13" s="58" t="str"/>
      <x:c r="F13" s="58" t="str"/>
      <x:c r="G13" s="71" t="str"/>
      <x:c r="H13" s="58" t="str">
        <x:v>Open</x:v>
      </x:c>
      <x:c r="I13" s="71" t="str"/>
      <x:c r="J13" s="58" t="str"/>
      <x:c r="K13" s="58" t="n">
        <x:f>IF(AND(G13&lt;&gt;"",H13&lt;&gt;"Complete",H13&lt;&gt;"Verified"),MAX(0,TODAY()-G13),0)</x:f>
        <x:v>0</x:v>
      </x:c>
    </x:row>
    <x:row r="14">
      <x:c r="A14" s="58" t="str"/>
      <x:c r="B14" s="58" t="str"/>
      <x:c r="C14" s="58" t="str"/>
      <x:c r="D14" s="58" t="str"/>
      <x:c r="E14" s="58" t="str"/>
      <x:c r="F14" s="58" t="str"/>
      <x:c r="G14" s="71" t="str"/>
      <x:c r="H14" s="58" t="str">
        <x:v>Open</x:v>
      </x:c>
      <x:c r="I14" s="71" t="str"/>
      <x:c r="J14" s="58" t="str"/>
      <x:c r="K14" s="58" t="n">
        <x:f>IF(AND(G14&lt;&gt;"",H14&lt;&gt;"Complete",H14&lt;&gt;"Verified"),MAX(0,TODAY()-G14),0)</x:f>
        <x:v>0</x:v>
      </x:c>
    </x:row>
    <x:row r="15">
      <x:c r="A15" s="58" t="str"/>
      <x:c r="B15" s="58" t="str"/>
      <x:c r="C15" s="58" t="str"/>
      <x:c r="D15" s="58" t="str"/>
      <x:c r="E15" s="58" t="str"/>
      <x:c r="F15" s="58" t="str"/>
      <x:c r="G15" s="71" t="str"/>
      <x:c r="H15" s="58" t="str">
        <x:v>Open</x:v>
      </x:c>
      <x:c r="I15" s="71" t="str"/>
      <x:c r="J15" s="58" t="str"/>
      <x:c r="K15" s="58" t="n">
        <x:f>IF(AND(G15&lt;&gt;"",H15&lt;&gt;"Complete",H15&lt;&gt;"Verified"),MAX(0,TODAY()-G15),0)</x:f>
        <x:v>0</x:v>
      </x:c>
    </x:row>
    <x:row r="16">
      <x:c r="A16" s="58" t="str"/>
      <x:c r="B16" s="58" t="str"/>
      <x:c r="C16" s="58" t="str"/>
      <x:c r="D16" s="58" t="str"/>
      <x:c r="E16" s="58" t="str"/>
      <x:c r="F16" s="58" t="str"/>
      <x:c r="G16" s="71" t="str"/>
      <x:c r="H16" s="58" t="str">
        <x:v>Open</x:v>
      </x:c>
      <x:c r="I16" s="71" t="str"/>
      <x:c r="J16" s="58" t="str"/>
      <x:c r="K16" s="58" t="n">
        <x:f>IF(AND(G16&lt;&gt;"",H16&lt;&gt;"Complete",H16&lt;&gt;"Verified"),MAX(0,TODAY()-G16),0)</x:f>
        <x:v>0</x:v>
      </x:c>
    </x:row>
    <x:row r="17">
      <x:c r="A17" s="58" t="str"/>
      <x:c r="B17" s="58" t="str"/>
      <x:c r="C17" s="58" t="str"/>
      <x:c r="D17" s="58" t="str"/>
      <x:c r="E17" s="58" t="str"/>
      <x:c r="F17" s="58" t="str"/>
      <x:c r="G17" s="71" t="str"/>
      <x:c r="H17" s="58" t="str">
        <x:v>Open</x:v>
      </x:c>
      <x:c r="I17" s="71" t="str"/>
      <x:c r="J17" s="58" t="str"/>
      <x:c r="K17" s="58" t="n">
        <x:f>IF(AND(G17&lt;&gt;"",H17&lt;&gt;"Complete",H17&lt;&gt;"Verified"),MAX(0,TODAY()-G17),0)</x:f>
        <x:v>0</x:v>
      </x:c>
    </x:row>
    <x:row r="18">
      <x:c r="A18" s="58" t="str"/>
      <x:c r="B18" s="58" t="str"/>
      <x:c r="C18" s="58" t="str"/>
      <x:c r="D18" s="58" t="str"/>
      <x:c r="E18" s="58" t="str"/>
      <x:c r="F18" s="58" t="str"/>
      <x:c r="G18" s="71" t="str"/>
      <x:c r="H18" s="58" t="str">
        <x:v>Open</x:v>
      </x:c>
      <x:c r="I18" s="71" t="str"/>
      <x:c r="J18" s="58" t="str"/>
      <x:c r="K18" s="58" t="n">
        <x:f>IF(AND(G18&lt;&gt;"",H18&lt;&gt;"Complete",H18&lt;&gt;"Verified"),MAX(0,TODAY()-G18),0)</x:f>
        <x:v>0</x:v>
      </x:c>
    </x:row>
    <x:row r="19">
      <x:c r="A19" s="58" t="str"/>
      <x:c r="B19" s="58" t="str"/>
      <x:c r="C19" s="58" t="str"/>
      <x:c r="D19" s="58" t="str"/>
      <x:c r="E19" s="58" t="str"/>
      <x:c r="F19" s="58" t="str"/>
      <x:c r="G19" s="71" t="str"/>
      <x:c r="H19" s="58" t="str">
        <x:v>Open</x:v>
      </x:c>
      <x:c r="I19" s="71" t="str"/>
      <x:c r="J19" s="58" t="str"/>
      <x:c r="K19" s="58" t="n">
        <x:f>IF(AND(G19&lt;&gt;"",H19&lt;&gt;"Complete",H19&lt;&gt;"Verified"),MAX(0,TODAY()-G19),0)</x:f>
        <x:v>0</x:v>
      </x:c>
    </x:row>
    <x:row r="20">
      <x:c r="A20" s="58" t="str"/>
      <x:c r="B20" s="58" t="str"/>
      <x:c r="C20" s="58" t="str"/>
      <x:c r="D20" s="58" t="str"/>
      <x:c r="E20" s="58" t="str"/>
      <x:c r="F20" s="58" t="str"/>
      <x:c r="G20" s="71" t="str"/>
      <x:c r="H20" s="58" t="str">
        <x:v>Open</x:v>
      </x:c>
      <x:c r="I20" s="71" t="str"/>
      <x:c r="J20" s="58" t="str"/>
      <x:c r="K20" s="58" t="n">
        <x:f>IF(AND(G20&lt;&gt;"",H20&lt;&gt;"Complete",H20&lt;&gt;"Verified"),MAX(0,TODAY()-G20),0)</x:f>
        <x:v>0</x:v>
      </x:c>
    </x:row>
    <x:row r="21">
      <x:c r="A21" s="58" t="str"/>
      <x:c r="B21" s="58" t="str"/>
      <x:c r="C21" s="58" t="str"/>
      <x:c r="D21" s="58" t="str"/>
      <x:c r="E21" s="58" t="str"/>
      <x:c r="F21" s="58" t="str"/>
      <x:c r="G21" s="71" t="str"/>
      <x:c r="H21" s="58" t="str">
        <x:v>Open</x:v>
      </x:c>
      <x:c r="I21" s="71" t="str"/>
      <x:c r="J21" s="58" t="str"/>
      <x:c r="K21" s="58" t="n">
        <x:f>IF(AND(G21&lt;&gt;"",H21&lt;&gt;"Complete",H21&lt;&gt;"Verified"),MAX(0,TODAY()-G21),0)</x:f>
        <x:v>0</x:v>
      </x:c>
    </x:row>
    <x:row r="22">
      <x:c r="A22" s="58" t="str"/>
      <x:c r="B22" s="58" t="str"/>
      <x:c r="C22" s="58" t="str"/>
      <x:c r="D22" s="58" t="str"/>
      <x:c r="E22" s="58" t="str"/>
      <x:c r="F22" s="58" t="str"/>
      <x:c r="G22" s="71" t="str"/>
      <x:c r="H22" s="58" t="str">
        <x:v>Open</x:v>
      </x:c>
      <x:c r="I22" s="71" t="str"/>
      <x:c r="J22" s="58" t="str"/>
      <x:c r="K22" s="58" t="n">
        <x:f>IF(AND(G22&lt;&gt;"",H22&lt;&gt;"Complete",H22&lt;&gt;"Verified"),MAX(0,TODAY()-G22),0)</x:f>
        <x:v>0</x:v>
      </x:c>
    </x:row>
    <x:row r="23">
      <x:c r="A23" s="58" t="str"/>
      <x:c r="B23" s="58" t="str"/>
      <x:c r="C23" s="58" t="str"/>
      <x:c r="D23" s="58" t="str"/>
      <x:c r="E23" s="58" t="str"/>
      <x:c r="F23" s="58" t="str"/>
      <x:c r="G23" s="71" t="str"/>
      <x:c r="H23" s="58" t="str">
        <x:v>Open</x:v>
      </x:c>
      <x:c r="I23" s="71" t="str"/>
      <x:c r="J23" s="58" t="str"/>
      <x:c r="K23" s="58" t="n">
        <x:f>IF(AND(G23&lt;&gt;"",H23&lt;&gt;"Complete",H23&lt;&gt;"Verified"),MAX(0,TODAY()-G23),0)</x:f>
        <x:v>0</x:v>
      </x:c>
    </x:row>
    <x:row r="24">
      <x:c r="A24" s="58" t="str"/>
      <x:c r="B24" s="58" t="str"/>
      <x:c r="C24" s="58" t="str"/>
      <x:c r="D24" s="58" t="str"/>
      <x:c r="E24" s="58" t="str"/>
      <x:c r="F24" s="58" t="str"/>
      <x:c r="G24" s="71" t="str"/>
      <x:c r="H24" s="58" t="str">
        <x:v>Open</x:v>
      </x:c>
      <x:c r="I24" s="71" t="str"/>
      <x:c r="J24" s="58" t="str"/>
      <x:c r="K24" s="58" t="n">
        <x:f>IF(AND(G24&lt;&gt;"",H24&lt;&gt;"Complete",H24&lt;&gt;"Verified"),MAX(0,TODAY()-G24),0)</x:f>
        <x:v>0</x:v>
      </x:c>
    </x:row>
    <x:row r="25">
      <x:c r="A25" s="58" t="str"/>
      <x:c r="B25" s="58" t="str"/>
      <x:c r="C25" s="58" t="str"/>
      <x:c r="D25" s="58" t="str"/>
      <x:c r="E25" s="58" t="str"/>
      <x:c r="F25" s="58" t="str"/>
      <x:c r="G25" s="71" t="str"/>
      <x:c r="H25" s="58" t="str">
        <x:v>Open</x:v>
      </x:c>
      <x:c r="I25" s="71" t="str"/>
      <x:c r="J25" s="58" t="str"/>
      <x:c r="K25" s="58" t="n">
        <x:f>IF(AND(G25&lt;&gt;"",H25&lt;&gt;"Complete",H25&lt;&gt;"Verified"),MAX(0,TODAY()-G25),0)</x:f>
        <x:v>0</x:v>
      </x:c>
    </x:row>
    <x:row r="26">
      <x:c r="A26" s="58" t="str"/>
      <x:c r="B26" s="58" t="str"/>
      <x:c r="C26" s="58" t="str"/>
      <x:c r="D26" s="58" t="str"/>
      <x:c r="E26" s="58" t="str"/>
      <x:c r="F26" s="58" t="str"/>
      <x:c r="G26" s="71" t="str"/>
      <x:c r="H26" s="58" t="str">
        <x:v>Open</x:v>
      </x:c>
      <x:c r="I26" s="71" t="str"/>
      <x:c r="J26" s="58" t="str"/>
      <x:c r="K26" s="58" t="n">
        <x:f>IF(AND(G26&lt;&gt;"",H26&lt;&gt;"Complete",H26&lt;&gt;"Verified"),MAX(0,TODAY()-G26),0)</x:f>
        <x:v>0</x:v>
      </x:c>
    </x:row>
    <x:row r="27">
      <x:c r="A27" s="58" t="str"/>
      <x:c r="B27" s="58" t="str"/>
      <x:c r="C27" s="58" t="str"/>
      <x:c r="D27" s="58" t="str"/>
      <x:c r="E27" s="58" t="str"/>
      <x:c r="F27" s="58" t="str"/>
      <x:c r="G27" s="71" t="str"/>
      <x:c r="H27" s="58" t="str">
        <x:v>Open</x:v>
      </x:c>
      <x:c r="I27" s="71" t="str"/>
      <x:c r="J27" s="58" t="str"/>
      <x:c r="K27" s="58" t="n">
        <x:f>IF(AND(G27&lt;&gt;"",H27&lt;&gt;"Complete",H27&lt;&gt;"Verified"),MAX(0,TODAY()-G27),0)</x:f>
        <x:v>0</x:v>
      </x:c>
    </x:row>
    <x:row r="28">
      <x:c r="A28" s="58" t="str"/>
      <x:c r="B28" s="58" t="str"/>
      <x:c r="C28" s="58" t="str"/>
      <x:c r="D28" s="58" t="str"/>
      <x:c r="E28" s="58" t="str"/>
      <x:c r="F28" s="58" t="str"/>
      <x:c r="G28" s="71" t="str"/>
      <x:c r="H28" s="58" t="str">
        <x:v>Open</x:v>
      </x:c>
      <x:c r="I28" s="71" t="str"/>
      <x:c r="J28" s="58" t="str"/>
      <x:c r="K28" s="58" t="n">
        <x:f>IF(AND(G28&lt;&gt;"",H28&lt;&gt;"Complete",H28&lt;&gt;"Verified"),MAX(0,TODAY()-G28),0)</x:f>
        <x:v>0</x:v>
      </x:c>
    </x:row>
    <x:row r="29">
      <x:c r="A29" s="58" t="str"/>
      <x:c r="B29" s="58" t="str"/>
      <x:c r="C29" s="58" t="str"/>
      <x:c r="D29" s="58" t="str"/>
      <x:c r="E29" s="58" t="str"/>
      <x:c r="F29" s="58" t="str"/>
      <x:c r="G29" s="71" t="str"/>
      <x:c r="H29" s="58" t="str">
        <x:v>Open</x:v>
      </x:c>
      <x:c r="I29" s="71" t="str"/>
      <x:c r="J29" s="58" t="str"/>
      <x:c r="K29" s="58" t="n">
        <x:f>IF(AND(G29&lt;&gt;"",H29&lt;&gt;"Complete",H29&lt;&gt;"Verified"),MAX(0,TODAY()-G29),0)</x:f>
        <x:v>0</x:v>
      </x:c>
    </x:row>
    <x:row r="30">
      <x:c r="A30" s="58" t="str"/>
      <x:c r="B30" s="58" t="str"/>
      <x:c r="C30" s="58" t="str"/>
      <x:c r="D30" s="58" t="str"/>
      <x:c r="E30" s="58" t="str"/>
      <x:c r="F30" s="58" t="str"/>
      <x:c r="G30" s="71" t="str"/>
      <x:c r="H30" s="58" t="str">
        <x:v>Open</x:v>
      </x:c>
      <x:c r="I30" s="71" t="str"/>
      <x:c r="J30" s="58" t="str"/>
      <x:c r="K30" s="58" t="n">
        <x:f>IF(AND(G30&lt;&gt;"",H30&lt;&gt;"Complete",H30&lt;&gt;"Verified"),MAX(0,TODAY()-G30),0)</x:f>
        <x:v>0</x:v>
      </x:c>
    </x:row>
    <x:row r="31">
      <x:c r="A31" s="58" t="str"/>
      <x:c r="B31" s="58" t="str"/>
      <x:c r="C31" s="58" t="str"/>
      <x:c r="D31" s="58" t="str"/>
      <x:c r="E31" s="58" t="str"/>
      <x:c r="F31" s="58" t="str"/>
      <x:c r="G31" s="71" t="str"/>
      <x:c r="H31" s="58" t="str">
        <x:v>Open</x:v>
      </x:c>
      <x:c r="I31" s="71" t="str"/>
      <x:c r="J31" s="58" t="str"/>
      <x:c r="K31" s="58" t="n">
        <x:f>IF(AND(G31&lt;&gt;"",H31&lt;&gt;"Complete",H31&lt;&gt;"Verified"),MAX(0,TODAY()-G31),0)</x:f>
        <x:v>0</x:v>
      </x:c>
    </x:row>
    <x:row r="32">
      <x:c r="A32" s="58" t="str"/>
      <x:c r="B32" s="58" t="str"/>
      <x:c r="C32" s="58" t="str"/>
      <x:c r="D32" s="58" t="str"/>
      <x:c r="E32" s="58" t="str"/>
      <x:c r="F32" s="58" t="str"/>
      <x:c r="G32" s="71" t="str"/>
      <x:c r="H32" s="58" t="str">
        <x:v>Open</x:v>
      </x:c>
      <x:c r="I32" s="71" t="str"/>
      <x:c r="J32" s="58" t="str"/>
      <x:c r="K32" s="58" t="n">
        <x:f>IF(AND(G32&lt;&gt;"",H32&lt;&gt;"Complete",H32&lt;&gt;"Verified"),MAX(0,TODAY()-G32),0)</x:f>
        <x:v>0</x:v>
      </x:c>
    </x:row>
    <x:row r="33">
      <x:c r="A33" s="58" t="str"/>
      <x:c r="B33" s="58" t="str"/>
      <x:c r="C33" s="58" t="str"/>
      <x:c r="D33" s="58" t="str"/>
      <x:c r="E33" s="58" t="str"/>
      <x:c r="F33" s="58" t="str"/>
      <x:c r="G33" s="71" t="str"/>
      <x:c r="H33" s="58" t="str">
        <x:v>Open</x:v>
      </x:c>
      <x:c r="I33" s="71" t="str"/>
      <x:c r="J33" s="58" t="str"/>
      <x:c r="K33" s="58" t="n">
        <x:f>IF(AND(G33&lt;&gt;"",H33&lt;&gt;"Complete",H33&lt;&gt;"Verified"),MAX(0,TODAY()-G33),0)</x:f>
        <x:v>0</x:v>
      </x:c>
    </x:row>
    <x:row r="34">
      <x:c r="A34" s="58" t="str"/>
      <x:c r="B34" s="58" t="str"/>
      <x:c r="C34" s="58" t="str"/>
      <x:c r="D34" s="58" t="str"/>
      <x:c r="E34" s="58" t="str"/>
      <x:c r="F34" s="58" t="str"/>
      <x:c r="G34" s="71" t="str"/>
      <x:c r="H34" s="58" t="str">
        <x:v>Open</x:v>
      </x:c>
      <x:c r="I34" s="71" t="str"/>
      <x:c r="J34" s="58" t="str"/>
      <x:c r="K34" s="58" t="n">
        <x:f>IF(AND(G34&lt;&gt;"",H34&lt;&gt;"Complete",H34&lt;&gt;"Verified"),MAX(0,TODAY()-G34),0)</x:f>
        <x:v>0</x:v>
      </x:c>
    </x:row>
  </x:sheetData>
  <x:mergeCells>
    <x:mergeCell ref="A1:K1"/>
    <x:mergeCell ref="A2:K2"/>
  </x:mergeCells>
  <x:conditionalFormatting sqref="H5:H34">
    <x:cfRule type="cellIs" dxfId="0" priority="1">
      <x:formula>"Complete"</x:formula>
    </x:cfRule>
    <x:cfRule type="cellIs" dxfId="1" priority="2">
      <x:formula>"Verified"</x:formula>
    </x:cfRule>
    <x:cfRule type="cellIs" dxfId="2" priority="3">
      <x:formula>"Overdue"</x:formula>
    </x:cfRule>
    <x:cfRule type="cellIs" dxfId="3" priority="4">
      <x:formula>"Open"</x:formula>
    </x:cfRule>
  </x:conditionalFormatting>
  <x:conditionalFormatting sqref="K5:K34">
    <x:cfRule type="cellIs" dxfId="4" priority="5" operator="greaterThan">
      <x:formula>0</x:formula>
    </x:cfRule>
  </x:conditionalFormatting>
  <x:dataValidations count="2">
    <x:dataValidation type="list" sqref="E5:E34">
      <x:formula1>"Critical,High,Medium,Low,Monitor"</x:formula1>
    </x:dataValidation>
    <x:dataValidation type="list" sqref="H5:H34">
      <x:formula1>"Open,In Progress,Complete,Overdue,Deferred,Cancelled,Verified"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b584f4bea34a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</x:cols>
  <x:sheetData>
    <x:row r="1" ht="30" customHeight="1">
      <x:c r="A1" s="35" t="str">
        <x:v>DOWNTIME COST CALCULATOR</x:v>
      </x:c>
      <x:c r="B1" s="35"/>
      <x:c r="C1" s="35"/>
      <x:c r="D1" s="35"/>
      <x:c r="E1" s="35"/>
      <x:c r="F1" s="35"/>
      <x:c r="G1" s="35"/>
      <x:c r="H1" s="35"/>
      <x:c r="I1" s="35"/>
    </x:row>
    <x:row r="2" ht="32" customHeight="1">
      <x:c r="A2" s="42" t="str">
        <x:v>Quantifies downtime, repair time, labour, spares and production loss.</x:v>
      </x:c>
      <x:c r="B2" s="42"/>
      <x:c r="C2" s="42"/>
      <x:c r="D2" s="42"/>
      <x:c r="E2" s="42"/>
      <x:c r="F2" s="42"/>
      <x:c r="G2" s="42"/>
      <x:c r="H2" s="42"/>
      <x:c r="I2" s="42"/>
    </x:row>
    <x:row r="4">
      <x:c r="A4" s="79" t="str">
        <x:v>Breakdown Start</x:v>
      </x:c>
      <x:c r="B4" s="83" t="str"/>
      <x:c r="C4" s="69" t="str"/>
    </x:row>
    <x:row r="5">
      <x:c r="A5" s="80" t="str">
        <x:v>Repair Start</x:v>
      </x:c>
      <x:c r="B5" s="73" t="str"/>
      <x:c r="C5" t="str"/>
    </x:row>
    <x:row r="6">
      <x:c r="A6" s="80" t="str">
        <x:v>Repair Finish</x:v>
      </x:c>
      <x:c r="B6" s="73" t="str"/>
      <x:c r="C6" t="str"/>
    </x:row>
    <x:row r="7">
      <x:c r="A7" s="80" t="str">
        <x:v>Returned to Service</x:v>
      </x:c>
      <x:c r="B7" s="73" t="str"/>
      <x:c r="C7" t="str"/>
    </x:row>
    <x:row r="8">
      <x:c r="A8" s="80" t="str">
        <x:v>Total Downtime Hours</x:v>
      </x:c>
      <x:c r="B8" t="str">
        <x:f>IF(OR(B4="",B7=""),"",MAX(0,(B7-B4)*24))</x:f>
      </x:c>
      <x:c r="C8" t="str"/>
    </x:row>
    <x:row r="9">
      <x:c r="A9" s="80" t="str">
        <x:v>Repair Time Hours</x:v>
      </x:c>
      <x:c r="B9" t="str">
        <x:f>IF(OR(B5="",B6=""),"",MAX(0,(B6-B5)*24))</x:f>
      </x:c>
      <x:c r="C9" t="str"/>
    </x:row>
    <x:row r="10">
      <x:c r="A10" s="80" t="str">
        <x:v>Hourly Production Loss Rate</x:v>
      </x:c>
      <x:c r="B10" s="77" t="str"/>
      <x:c r="C10" t="str">
        <x:v>R/hr</x:v>
      </x:c>
    </x:row>
    <x:row r="11">
      <x:c r="A11" s="80" t="str">
        <x:v>Production Loss</x:v>
      </x:c>
      <x:c r="B11" s="77" t="str">
        <x:f>IF(OR(B8="",B10=""),"",B8*B10)</x:f>
      </x:c>
      <x:c r="C11" t="str">
        <x:v>R</x:v>
      </x:c>
    </x:row>
    <x:row r="12">
      <x:c r="A12" s="80" t="str">
        <x:v>Labour Cost</x:v>
      </x:c>
      <x:c r="B12" s="77" t="str"/>
      <x:c r="C12" t="str">
        <x:v>R</x:v>
      </x:c>
    </x:row>
    <x:row r="13">
      <x:c r="A13" s="80" t="str">
        <x:v>Spares/Materials Cost</x:v>
      </x:c>
      <x:c r="B13" s="77" t="str"/>
      <x:c r="C13" t="str">
        <x:v>R</x:v>
      </x:c>
    </x:row>
    <x:row r="14">
      <x:c r="A14" s="80" t="str">
        <x:v>Contractor/Specialist Cost</x:v>
      </x:c>
      <x:c r="B14" s="77" t="str"/>
      <x:c r="C14" t="str">
        <x:v>R</x:v>
      </x:c>
    </x:row>
    <x:row r="15">
      <x:c r="A15" s="80" t="str">
        <x:v>Secondary Damage Cost</x:v>
      </x:c>
      <x:c r="B15" s="77" t="str"/>
      <x:c r="C15" t="str">
        <x:v>R</x:v>
      </x:c>
    </x:row>
    <x:row r="16">
      <x:c r="A16" s="80" t="str">
        <x:v>Total Cost of Breakdown</x:v>
      </x:c>
      <x:c r="B16" s="77" t="n">
        <x:f>SUM(B11:B15)</x:f>
        <x:v>0</x:v>
      </x:c>
      <x:c r="C16" t="str">
        <x:v>R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28" hidden="0" customWidth="1"/>
  </x:cols>
  <x:sheetData>
    <x:row r="1" ht="30" customHeight="1">
      <x:c r="A1" s="35" t="str">
        <x:v>RCA TRIGGER MATRIX</x:v>
      </x:c>
      <x:c r="B1" s="35"/>
      <x:c r="C1" s="35"/>
      <x:c r="D1" s="35"/>
      <x:c r="E1" s="35"/>
      <x:c r="F1" s="35"/>
      <x:c r="G1" s="35"/>
    </x:row>
    <x:row r="2" ht="32" customHeight="1">
      <x:c r="A2" s="42" t="str">
        <x:v>Use this to decide if the breakdown requires full root cause analysis.</x:v>
      </x:c>
      <x:c r="B2" s="42"/>
      <x:c r="C2" s="42"/>
      <x:c r="D2" s="42"/>
      <x:c r="E2" s="42"/>
      <x:c r="F2" s="42"/>
      <x:c r="G2" s="42"/>
    </x:row>
    <x:row r="4">
      <x:c r="A4" s="69" t="str">
        <x:v>Trigger</x:v>
      </x:c>
      <x:c r="B4" s="69" t="str">
        <x:v>Threshold</x:v>
      </x:c>
      <x:c r="C4" s="69" t="str">
        <x:v>Actual</x:v>
      </x:c>
      <x:c r="D4" s="69" t="str">
        <x:v>Triggered?</x:v>
      </x:c>
    </x:row>
    <x:row r="5">
      <x:c r="A5" s="80" t="str">
        <x:v>Downtime duration</x:v>
      </x:c>
      <x:c r="B5" t="str">
        <x:v>&gt;= 4 hours</x:v>
      </x:c>
      <x:c r="C5" t="str"/>
      <x:c r="D5" t="str">
        <x:f>IF(C5&gt;=4,"Yes","No")</x:f>
        <x:v>No</x:v>
      </x:c>
    </x:row>
    <x:row r="6">
      <x:c r="A6" s="80" t="str">
        <x:v>Production loss</x:v>
      </x:c>
      <x:c r="B6" t="str">
        <x:v>&gt;= R50,000</x:v>
      </x:c>
      <x:c r="C6" t="str"/>
      <x:c r="D6" t="str">
        <x:f>IF(C6&gt;=50000,"Yes","No")</x:f>
        <x:v>No</x:v>
      </x:c>
    </x:row>
    <x:row r="7">
      <x:c r="A7" s="80" t="str">
        <x:v>Repeat failure</x:v>
      </x:c>
      <x:c r="B7" t="str">
        <x:v>&gt;= 2 events in 90 days</x:v>
      </x:c>
      <x:c r="C7" t="str"/>
      <x:c r="D7" t="str">
        <x:f>IF(C7&gt;=2,"Yes","No")</x:f>
        <x:v>No</x:v>
      </x:c>
    </x:row>
    <x:row r="8">
      <x:c r="A8" s="80" t="str">
        <x:v>Safety impact</x:v>
      </x:c>
      <x:c r="B8" t="str">
        <x:v>Any injury/high potential incident</x:v>
      </x:c>
      <x:c r="C8" t="str"/>
      <x:c r="D8" t="str">
        <x:f>IF(C8="Yes","Yes","No")</x:f>
        <x:v>No</x:v>
      </x:c>
    </x:row>
    <x:row r="9">
      <x:c r="A9" s="80" t="str">
        <x:v>Environmental impact</x:v>
      </x:c>
      <x:c r="B9" t="str">
        <x:v>Any reportable spill/release</x:v>
      </x:c>
      <x:c r="C9" t="str"/>
      <x:c r="D9" t="str">
        <x:f>IF(C9="Yes","Yes","No")</x:f>
        <x:v>No</x:v>
      </x:c>
    </x:row>
    <x:row r="10">
      <x:c r="A10" s="80" t="str">
        <x:v>RCA Decision</x:v>
      </x:c>
      <x:c r="B10" t="str"/>
      <x:c r="C10" t="str"/>
      <x:c r="D10" t="str">
        <x:f>IF(COUNTIF(D5:D9,"Yes")&gt;0,"FULL RCA REQUIRED","Standard breakdown report sufficient")</x:f>
        <x:v>Standard breakdown report sufficient</x:v>
      </x:c>
    </x:row>
  </x:sheetData>
  <x:mergeCells>
    <x:mergeCell ref="A1:G1"/>
    <x:mergeCell ref="A2:G2"/>
  </x:mergeCells>
  <x:dataValidations count="1">
    <x:dataValidation type="list" sqref="C8:C9">
      <x:formula1>"Yes,No,TBC"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36" hidden="0" customWidth="1"/>
    <x:col min="5" max="5" width="3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30" hidden="0" customWidth="1"/>
  </x:cols>
  <x:sheetData>
    <x:row r="1" ht="30" customHeight="1">
      <x:c r="A1" s="35" t="str">
        <x:v>EVIDENCE LOG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2" customHeight="1">
      <x:c r="A2" s="42" t="str">
        <x:v>Record photo evidence references; paste links to shared folders/CMMS records rather than inserting large images into the workbook.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4" ht="26" customHeight="1">
      <x:c r="A4" s="50" t="str">
        <x:v>Photo Ref</x:v>
      </x:c>
      <x:c r="B4" s="50" t="str">
        <x:v>Equipment</x:v>
      </x:c>
      <x:c r="C4" s="50" t="str">
        <x:v>Component / Location</x:v>
      </x:c>
      <x:c r="D4" s="50" t="str">
        <x:v>Finding Shown</x:v>
      </x:c>
      <x:c r="E4" s="50" t="str">
        <x:v>File/Folder Link</x:v>
      </x:c>
      <x:c r="F4" s="50" t="str">
        <x:v>Taken By</x:v>
      </x:c>
      <x:c r="G4" s="50" t="str">
        <x:v>Date</x:v>
      </x:c>
      <x:c r="H4" s="50" t="str">
        <x:v>Severity</x:v>
      </x:c>
      <x:c r="I4" s="50" t="str">
        <x:v>Action Ref</x:v>
      </x:c>
      <x:c r="J4" s="50" t="str">
        <x:v>Notes</x:v>
      </x:c>
    </x:row>
    <x:row r="5">
      <x:c r="A5" s="58" t="str">
        <x:v>PH-001</x:v>
      </x:c>
      <x:c r="B5" s="58" t="str"/>
      <x:c r="C5" s="58" t="str"/>
      <x:c r="D5" s="58" t="str"/>
      <x:c r="E5" s="58" t="str"/>
      <x:c r="F5" s="58" t="str"/>
      <x:c r="G5" s="71" t="str"/>
      <x:c r="H5" s="58" t="str"/>
      <x:c r="I5" s="58" t="str"/>
      <x:c r="J5" s="58" t="str"/>
    </x:row>
    <x:row r="6">
      <x:c r="A6" s="58" t="str">
        <x:v>PH-002</x:v>
      </x:c>
      <x:c r="B6" s="58" t="str"/>
      <x:c r="C6" s="58" t="str"/>
      <x:c r="D6" s="58" t="str"/>
      <x:c r="E6" s="58" t="str"/>
      <x:c r="F6" s="58" t="str"/>
      <x:c r="G6" s="71" t="str"/>
      <x:c r="H6" s="58" t="str"/>
      <x:c r="I6" s="58" t="str"/>
      <x:c r="J6" s="58" t="str"/>
    </x:row>
    <x:row r="7">
      <x:c r="A7" s="58" t="str">
        <x:v>PH-003</x:v>
      </x:c>
      <x:c r="B7" s="58" t="str"/>
      <x:c r="C7" s="58" t="str"/>
      <x:c r="D7" s="58" t="str"/>
      <x:c r="E7" s="58" t="str"/>
      <x:c r="F7" s="58" t="str"/>
      <x:c r="G7" s="71" t="str"/>
      <x:c r="H7" s="58" t="str"/>
      <x:c r="I7" s="58" t="str"/>
      <x:c r="J7" s="58" t="str"/>
    </x:row>
    <x:row r="8">
      <x:c r="A8" s="58" t="str">
        <x:v>PH-004</x:v>
      </x:c>
      <x:c r="B8" s="58" t="str"/>
      <x:c r="C8" s="58" t="str"/>
      <x:c r="D8" s="58" t="str"/>
      <x:c r="E8" s="58" t="str"/>
      <x:c r="F8" s="58" t="str"/>
      <x:c r="G8" s="71" t="str"/>
      <x:c r="H8" s="58" t="str"/>
      <x:c r="I8" s="58" t="str"/>
      <x:c r="J8" s="58" t="str"/>
    </x:row>
    <x:row r="9">
      <x:c r="A9" s="58" t="str">
        <x:v>PH-005</x:v>
      </x:c>
      <x:c r="B9" s="58" t="str"/>
      <x:c r="C9" s="58" t="str"/>
      <x:c r="D9" s="58" t="str"/>
      <x:c r="E9" s="58" t="str"/>
      <x:c r="F9" s="58" t="str"/>
      <x:c r="G9" s="71" t="str"/>
      <x:c r="H9" s="58" t="str"/>
      <x:c r="I9" s="58" t="str"/>
      <x:c r="J9" s="58" t="str"/>
    </x:row>
    <x:row r="10">
      <x:c r="A10" s="58" t="str">
        <x:v>PH-006</x:v>
      </x:c>
      <x:c r="B10" s="58" t="str"/>
      <x:c r="C10" s="58" t="str"/>
      <x:c r="D10" s="58" t="str"/>
      <x:c r="E10" s="58" t="str"/>
      <x:c r="F10" s="58" t="str"/>
      <x:c r="G10" s="71" t="str"/>
      <x:c r="H10" s="58" t="str"/>
      <x:c r="I10" s="58" t="str"/>
      <x:c r="J10" s="58" t="str"/>
    </x:row>
    <x:row r="11">
      <x:c r="A11" s="58" t="str">
        <x:v>PH-007</x:v>
      </x:c>
      <x:c r="B11" s="58" t="str"/>
      <x:c r="C11" s="58" t="str"/>
      <x:c r="D11" s="58" t="str"/>
      <x:c r="E11" s="58" t="str"/>
      <x:c r="F11" s="58" t="str"/>
      <x:c r="G11" s="71" t="str"/>
      <x:c r="H11" s="58" t="str"/>
      <x:c r="I11" s="58" t="str"/>
      <x:c r="J11" s="58" t="str"/>
    </x:row>
    <x:row r="12">
      <x:c r="A12" s="58" t="str">
        <x:v>PH-008</x:v>
      </x:c>
      <x:c r="B12" s="58" t="str"/>
      <x:c r="C12" s="58" t="str"/>
      <x:c r="D12" s="58" t="str"/>
      <x:c r="E12" s="58" t="str"/>
      <x:c r="F12" s="58" t="str"/>
      <x:c r="G12" s="71" t="str"/>
      <x:c r="H12" s="58" t="str"/>
      <x:c r="I12" s="58" t="str"/>
      <x:c r="J12" s="58" t="str"/>
    </x:row>
    <x:row r="13">
      <x:c r="A13" s="58" t="str">
        <x:v>PH-009</x:v>
      </x:c>
      <x:c r="B13" s="58" t="str"/>
      <x:c r="C13" s="58" t="str"/>
      <x:c r="D13" s="58" t="str"/>
      <x:c r="E13" s="58" t="str"/>
      <x:c r="F13" s="58" t="str"/>
      <x:c r="G13" s="71" t="str"/>
      <x:c r="H13" s="58" t="str"/>
      <x:c r="I13" s="58" t="str"/>
      <x:c r="J13" s="58" t="str"/>
    </x:row>
    <x:row r="14">
      <x:c r="A14" s="58" t="str">
        <x:v>PH-010</x:v>
      </x:c>
      <x:c r="B14" s="58" t="str"/>
      <x:c r="C14" s="58" t="str"/>
      <x:c r="D14" s="58" t="str"/>
      <x:c r="E14" s="58" t="str"/>
      <x:c r="F14" s="58" t="str"/>
      <x:c r="G14" s="71" t="str"/>
      <x:c r="H14" s="58" t="str"/>
      <x:c r="I14" s="58" t="str"/>
      <x:c r="J14" s="58" t="str"/>
    </x:row>
    <x:row r="15">
      <x:c r="A15" s="58" t="str">
        <x:v>PH-011</x:v>
      </x:c>
      <x:c r="B15" s="58" t="str"/>
      <x:c r="C15" s="58" t="str"/>
      <x:c r="D15" s="58" t="str"/>
      <x:c r="E15" s="58" t="str"/>
      <x:c r="F15" s="58" t="str"/>
      <x:c r="G15" s="71" t="str"/>
      <x:c r="H15" s="58" t="str"/>
      <x:c r="I15" s="58" t="str"/>
      <x:c r="J15" s="58" t="str"/>
    </x:row>
    <x:row r="16">
      <x:c r="A16" s="58" t="str">
        <x:v>PH-012</x:v>
      </x:c>
      <x:c r="B16" s="58" t="str"/>
      <x:c r="C16" s="58" t="str"/>
      <x:c r="D16" s="58" t="str"/>
      <x:c r="E16" s="58" t="str"/>
      <x:c r="F16" s="58" t="str"/>
      <x:c r="G16" s="71" t="str"/>
      <x:c r="H16" s="58" t="str"/>
      <x:c r="I16" s="58" t="str"/>
      <x:c r="J16" s="58" t="str"/>
    </x:row>
    <x:row r="17">
      <x:c r="A17" s="58" t="str">
        <x:v>PH-013</x:v>
      </x:c>
      <x:c r="B17" s="58" t="str"/>
      <x:c r="C17" s="58" t="str"/>
      <x:c r="D17" s="58" t="str"/>
      <x:c r="E17" s="58" t="str"/>
      <x:c r="F17" s="58" t="str"/>
      <x:c r="G17" s="71" t="str"/>
      <x:c r="H17" s="58" t="str"/>
      <x:c r="I17" s="58" t="str"/>
      <x:c r="J17" s="58" t="str"/>
    </x:row>
    <x:row r="18">
      <x:c r="A18" s="58" t="str">
        <x:v>PH-014</x:v>
      </x:c>
      <x:c r="B18" s="58" t="str"/>
      <x:c r="C18" s="58" t="str"/>
      <x:c r="D18" s="58" t="str"/>
      <x:c r="E18" s="58" t="str"/>
      <x:c r="F18" s="58" t="str"/>
      <x:c r="G18" s="71" t="str"/>
      <x:c r="H18" s="58" t="str"/>
      <x:c r="I18" s="58" t="str"/>
      <x:c r="J18" s="58" t="str"/>
    </x:row>
    <x:row r="19">
      <x:c r="A19" s="58" t="str">
        <x:v>PH-015</x:v>
      </x:c>
      <x:c r="B19" s="58" t="str"/>
      <x:c r="C19" s="58" t="str"/>
      <x:c r="D19" s="58" t="str"/>
      <x:c r="E19" s="58" t="str"/>
      <x:c r="F19" s="58" t="str"/>
      <x:c r="G19" s="71" t="str"/>
      <x:c r="H19" s="58" t="str"/>
      <x:c r="I19" s="58" t="str"/>
      <x:c r="J19" s="58" t="str"/>
    </x:row>
  </x:sheetData>
  <x:mergeCells>
    <x:mergeCell ref="A1:J1"/>
    <x:mergeCell ref="A2:J2"/>
  </x:mergeCells>
  <x:dataValidations count="1">
    <x:dataValidation type="list" sqref="H5:H19">
      <x:formula1>"Critical,High,Medium,Low,1,2,3,4,5"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11ca0f0af1456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35" t="str">
        <x:v>BREAKDOWN PREMIUM DASHBOARD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2" customHeight="1">
      <x:c r="A2" s="42" t="str">
        <x:v>Formula-driven summary from the inspection sheet and Action Tracker.</x:v>
      </x:c>
      <x:c r="B2" s="42"/>
      <x:c r="C2" s="42"/>
      <x:c r="D2" s="42"/>
      <x:c r="E2" s="42"/>
      <x:c r="F2" s="42"/>
      <x:c r="G2" s="42"/>
      <x:c r="H2" s="42"/>
      <x:c r="I2" s="42"/>
      <x:c r="J2" s="42"/>
    </x:row>
    <x:row r="4">
      <x:c r="A4" s="85" t="str">
        <x:v>Metric</x:v>
      </x:c>
      <x:c r="B4" s="85" t="str">
        <x:v>Value</x:v>
      </x:c>
      <x:c r="C4" s="85" t="str">
        <x:v>Interpretation</x:v>
      </x:c>
    </x:row>
    <x:row r="5">
      <x:c r="A5" s="86" t="str">
        <x:v>Total checklist items</x:v>
      </x:c>
      <x:c r="B5" s="57" t="n">
        <x:f>COUNT('📋 Breakdown Report'!B:B)</x:f>
        <x:v>0</x:v>
      </x:c>
      <x:c r="C5" s="57" t="str">
        <x:v>Numbered inspection items</x:v>
      </x:c>
    </x:row>
    <x:row r="6">
      <x:c r="A6" s="86" t="str">
        <x:v>Pass / OK count</x:v>
      </x:c>
      <x:c r="B6" s="57" t="n">
        <x:f>COUNTIF('📋 Breakdown Report'!H:H,"✓")+COUNTIF('📋 Breakdown Report'!H:H,"Pass")</x:f>
        <x:v>0</x:v>
      </x:c>
      <x:c r="C6" s="57" t="str">
        <x:v>All items marked satisfactory</x:v>
      </x:c>
    </x:row>
    <x:row r="7">
      <x:c r="A7" s="86" t="str">
        <x:v>Fail / defect count</x:v>
      </x:c>
      <x:c r="B7" s="57" t="n">
        <x:f>COUNTIF('📋 Breakdown Report'!H:H,"✗")+COUNTIF('📋 Breakdown Report'!H:H,"Fail")</x:f>
        <x:v>0</x:v>
      </x:c>
      <x:c r="C7" s="57" t="str">
        <x:v>Items requiring action</x:v>
      </x:c>
    </x:row>
    <x:row r="8">
      <x:c r="A8" s="86" t="str">
        <x:v>N/A count</x:v>
      </x:c>
      <x:c r="B8" s="57" t="n">
        <x:f>COUNTIF('📋 Breakdown Report'!H:H,"N/A")</x:f>
        <x:v>0</x:v>
      </x:c>
      <x:c r="C8" s="57" t="str">
        <x:v>Not applicable items</x:v>
      </x:c>
    </x:row>
    <x:row r="9">
      <x:c r="A9" s="86" t="str">
        <x:v>Compliance %</x:v>
      </x:c>
      <x:c r="B9" s="89" t="n">
        <x:f>IFERROR(B6/(B5-B8),0)</x:f>
        <x:v>0</x:v>
      </x:c>
      <x:c r="C9" s="57" t="str">
        <x:v>Passes ÷ applicable checks</x:v>
      </x:c>
    </x:row>
    <x:row r="10">
      <x:c r="A10" s="86" t="str">
        <x:v>Actions raised</x:v>
      </x:c>
      <x:c r="B10" s="57" t="n">
        <x:f>MAX(0,COUNTA('📋 Breakdown Report'!H:H)-1)</x:f>
        <x:v>4</x:v>
      </x:c>
      <x:c r="C10" s="57" t="str">
        <x:v>Non-empty action fields</x:v>
      </x:c>
    </x:row>
    <x:row r="11">
      <x:c r="A11" s="86" t="str">
        <x:v>Open actions</x:v>
      </x:c>
      <x:c r="B11" s="57" t="n">
        <x:f>COUNTIFS('Action Tracker'!H:H,"&lt;&gt;Complete",'Action Tracker'!H:H,"&lt;&gt;Verified",'Action Tracker'!A:A,"&lt;&gt;")</x:f>
        <x:v>33</x:v>
      </x:c>
      <x:c r="C11" s="57" t="str">
        <x:v>Not complete or verified</x:v>
      </x:c>
    </x:row>
    <x:row r="12">
      <x:c r="A12" s="86" t="str">
        <x:v>Overdue actions</x:v>
      </x:c>
      <x:c r="B12" s="57" t="n">
        <x:f>COUNTIFS('Action Tracker'!G:G,"&lt;"&amp;TODAY(),'Action Tracker'!H:H,"&lt;&gt;Complete",'Action Tracker'!H:H,"&lt;&gt;Verified",'Action Tracker'!A:A,"&lt;&gt;")</x:f>
        <x:v>32</x:v>
      </x:c>
      <x:c r="C12" s="57" t="str">
        <x:v>Past due and not complete</x:v>
      </x:c>
    </x:row>
    <x:row r="13">
      <x:c r="A13" s="86" t="str">
        <x:v>Overall status</x:v>
      </x:c>
      <x:c r="B13" s="57" t="str">
        <x:f>IF(B11&gt;0,"OVERDUE ACTIONS",IF(B7&gt;0,"DEFECTS FOUND","ACCEPTABLE"))</x:f>
        <x:v>OVERDUE ACTIONS</x:v>
      </x:c>
      <x:c r="C13" s="57" t="str">
        <x:v>Management interpretation</x:v>
      </x:c>
    </x:row>
    <x:row r="15">
      <x:c r="A15" s="62" t="str">
        <x:v>Management Notes</x:v>
      </x:c>
      <x:c r="B15" s="62"/>
      <x:c r="C15" s="62"/>
      <x:c r="D15" s="62"/>
      <x:c r="E15" s="62"/>
      <x:c r="F15" s="62"/>
      <x:c r="G15" s="62"/>
      <x:c r="H15" s="62"/>
      <x:c r="I15" s="62"/>
      <x:c r="J15" s="62"/>
    </x:row>
    <x:row r="16">
      <x:c r="A16" s="66" t="str">
        <x:v>Use this page before maintenance meetings to identify overdue actions, repeated failed items and repair priority.</x:v>
      </x:c>
      <x:c r="B16" s="66"/>
      <x:c r="C16" s="66"/>
      <x:c r="D16" s="66"/>
      <x:c r="E16" s="66"/>
      <x:c r="F16" s="66"/>
      <x:c r="G16" s="66"/>
      <x:c r="H16" s="66"/>
      <x:c r="I16" s="66"/>
      <x:c r="J16" s="66"/>
    </x:row>
    <x:row r="17">
      <x:c r="A17" s="66" t="str">
        <x:v>Any defect without a responsible person and due date should be transferred to the Action Tracker.</x:v>
      </x:c>
      <x:c r="B17" s="66"/>
      <x:c r="C17" s="66"/>
      <x:c r="D17" s="66"/>
      <x:c r="E17" s="66"/>
      <x:c r="F17" s="66"/>
      <x:c r="G17" s="66"/>
      <x:c r="H17" s="66"/>
      <x:c r="I17" s="66"/>
      <x:c r="J17" s="66"/>
    </x:row>
    <x:row r="18">
      <x:c r="A18" s="66" t="str">
        <x:v>Safety-critical failed items should trigger supervisor review before the equipment is returned to service.</x:v>
      </x:c>
      <x:c r="B18" s="66"/>
      <x:c r="C18" s="66"/>
      <x:c r="D18" s="66"/>
      <x:c r="E18" s="66"/>
      <x:c r="F18" s="66"/>
      <x:c r="G18" s="66"/>
      <x:c r="H18" s="66"/>
      <x:c r="I18" s="66"/>
      <x:c r="J18" s="66"/>
    </x:row>
  </x:sheetData>
  <x:mergeCells>
    <x:mergeCell ref="A1:J1"/>
    <x:mergeCell ref="A2:J2"/>
    <x:mergeCell ref="A16:J16"/>
    <x:mergeCell ref="A17:J17"/>
    <x:mergeCell ref="A18:J18"/>
  </x:mergeCells>
  <x:conditionalFormatting sqref="B5:B1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{3A9C94E0-DF88-93AB-A54B-1C8F81E7365A}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A9C94E0-DF88-93AB-A54B-1C8F81E7365A}">
            <x14:dataBar gradient="1">
              <x14:cfvo type="min"/>
              <x14:cfvo type="max"/>
              <x14:fillColor rgb="FF0F766E"/>
            </x14:dataBar>
          </x14:cfRule>
          <xm:sqref>B5:B13</xm:sqref>
        </x14:conditionalFormatting>
      </x14:conditionalFormattings>
    </x:ext>
  </x:extLst>
</x:worksheet>
</file>