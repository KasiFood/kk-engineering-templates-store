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b1b936d66c4309d/Desktop/LinkedIn Engineering Templates/"/>
    </mc:Choice>
  </mc:AlternateContent>
  <xr:revisionPtr revIDLastSave="0" documentId="8_{7765D05A-A65D-4CD3-B5AA-98E8EE1074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📋 Daily PM" sheetId="1" r:id="rId1"/>
    <sheet name="📋 Weekly PM" sheetId="2" r:id="rId2"/>
    <sheet name="📋 Monthly PM" sheetId="3" r:id="rId3"/>
    <sheet name="📋 Quarterly PM" sheetId="4" r:id="rId4"/>
    <sheet name="Premium Guide" sheetId="5" r:id="rId5"/>
    <sheet name="Lists" sheetId="6" r:id="rId6"/>
    <sheet name="Action Tracker" sheetId="7" r:id="rId7"/>
    <sheet name="Master PM Register" sheetId="8" r:id="rId8"/>
    <sheet name="Equipment PM Templates" sheetId="9" r:id="rId9"/>
    <sheet name="Compliance Dashboard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0" l="1"/>
  <c r="B10" i="10"/>
  <c r="B9" i="10"/>
  <c r="B8" i="10"/>
  <c r="B7" i="10"/>
  <c r="B5" i="10"/>
  <c r="B12" i="10" s="1"/>
  <c r="L34" i="8"/>
  <c r="G34" i="8"/>
  <c r="L33" i="8"/>
  <c r="G33" i="8"/>
  <c r="L32" i="8"/>
  <c r="G32" i="8"/>
  <c r="L31" i="8"/>
  <c r="G31" i="8"/>
  <c r="L30" i="8"/>
  <c r="G30" i="8"/>
  <c r="L29" i="8"/>
  <c r="G29" i="8"/>
  <c r="L28" i="8"/>
  <c r="G28" i="8"/>
  <c r="L27" i="8"/>
  <c r="G27" i="8"/>
  <c r="L26" i="8"/>
  <c r="G26" i="8"/>
  <c r="L25" i="8"/>
  <c r="G25" i="8"/>
  <c r="L24" i="8"/>
  <c r="G24" i="8"/>
  <c r="L23" i="8"/>
  <c r="G23" i="8"/>
  <c r="L22" i="8"/>
  <c r="G22" i="8"/>
  <c r="L21" i="8"/>
  <c r="G21" i="8"/>
  <c r="L20" i="8"/>
  <c r="G20" i="8"/>
  <c r="L19" i="8"/>
  <c r="G19" i="8"/>
  <c r="L18" i="8"/>
  <c r="G18" i="8"/>
  <c r="L17" i="8"/>
  <c r="G17" i="8"/>
  <c r="L16" i="8"/>
  <c r="G16" i="8"/>
  <c r="L15" i="8"/>
  <c r="G15" i="8"/>
  <c r="L14" i="8"/>
  <c r="G14" i="8"/>
  <c r="L13" i="8"/>
  <c r="G13" i="8"/>
  <c r="L12" i="8"/>
  <c r="G12" i="8"/>
  <c r="L11" i="8"/>
  <c r="G11" i="8"/>
  <c r="L10" i="8"/>
  <c r="G10" i="8"/>
  <c r="L9" i="8"/>
  <c r="G9" i="8"/>
  <c r="L8" i="8"/>
  <c r="G8" i="8"/>
  <c r="L7" i="8"/>
  <c r="G7" i="8"/>
  <c r="L6" i="8"/>
  <c r="G6" i="8"/>
  <c r="L5" i="8"/>
  <c r="G5" i="8"/>
  <c r="B6" i="10" s="1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</calcChain>
</file>

<file path=xl/sharedStrings.xml><?xml version="1.0" encoding="utf-8"?>
<sst xmlns="http://schemas.openxmlformats.org/spreadsheetml/2006/main" count="563" uniqueCount="343">
  <si>
    <t>PREVENTIVE MAINTENANCE CHECKLIST — Daily — Each Shift/Day</t>
  </si>
  <si>
    <t>► Complete ALL items. Mark: ✓ Pass  ✗ Fail  N/A = Not Applicable  |  Yellow = input required</t>
  </si>
  <si>
    <t>Date:</t>
  </si>
  <si>
    <t>Equipment:</t>
  </si>
  <si>
    <t>Area:</t>
  </si>
  <si>
    <t>Technician:</t>
  </si>
  <si>
    <t>WO #:</t>
  </si>
  <si>
    <t>Shift:</t>
  </si>
  <si>
    <t>Plant:</t>
  </si>
  <si>
    <t>Supervisor:</t>
  </si>
  <si>
    <t>#</t>
  </si>
  <si>
    <t>Inspection Item</t>
  </si>
  <si>
    <t>Method / Standard</t>
  </si>
  <si>
    <t>Result
✓/✗/N/A</t>
  </si>
  <si>
    <t>Reading
(if applicable)</t>
  </si>
  <si>
    <t>Limit / Spec</t>
  </si>
  <si>
    <t>Pass/Fail</t>
  </si>
  <si>
    <t>Action Required</t>
  </si>
  <si>
    <t>Initials</t>
  </si>
  <si>
    <t xml:space="preserve">  PUMPS</t>
  </si>
  <si>
    <t>1</t>
  </si>
  <si>
    <t>Check oil level — sight glass</t>
  </si>
  <si>
    <t>Visual: within min/max marks</t>
  </si>
  <si>
    <t>2</t>
  </si>
  <si>
    <t>Check for seal leaks / drips</t>
  </si>
  <si>
    <t>Visual: no leakage at gland</t>
  </si>
  <si>
    <t>3</t>
  </si>
  <si>
    <t>Check bearing temperature</t>
  </si>
  <si>
    <t>Infrared / touch: ≤ 80°C</t>
  </si>
  <si>
    <t>4</t>
  </si>
  <si>
    <t>Check discharge pressure</t>
  </si>
  <si>
    <t>Gauge: per process spec</t>
  </si>
  <si>
    <t>5</t>
  </si>
  <si>
    <t>Listen for unusual noise / vibration</t>
  </si>
  <si>
    <t>Audible: no knocking/grinding</t>
  </si>
  <si>
    <t xml:space="preserve">  CONVEYORS</t>
  </si>
  <si>
    <t>6</t>
  </si>
  <si>
    <t>Inspect belt tracking — centre alignment</t>
  </si>
  <si>
    <t>Visual: belt centred</t>
  </si>
  <si>
    <t>7</t>
  </si>
  <si>
    <t>Check belt tension</t>
  </si>
  <si>
    <t>Visual: no sagging</t>
  </si>
  <si>
    <t>8</t>
  </si>
  <si>
    <t>Inspect idlers — rotation / condition</t>
  </si>
  <si>
    <t>Visual/Audible: all rotating</t>
  </si>
  <si>
    <t>9</t>
  </si>
  <si>
    <t>Check emergency stops functional</t>
  </si>
  <si>
    <t>Test each E-stop: actuates</t>
  </si>
  <si>
    <t>10</t>
  </si>
  <si>
    <t>Inspect skirts / scrapers</t>
  </si>
  <si>
    <t>Visual: contact maintained</t>
  </si>
  <si>
    <t xml:space="preserve">  DRIVES</t>
  </si>
  <si>
    <t>11</t>
  </si>
  <si>
    <t>Check motor temperature</t>
  </si>
  <si>
    <t>Infrared: ≤ nameplate rating</t>
  </si>
  <si>
    <t>12</t>
  </si>
  <si>
    <t>Inspect coupling guards in place</t>
  </si>
  <si>
    <t>Visual: guarding intact</t>
  </si>
  <si>
    <t>13</t>
  </si>
  <si>
    <t>Check gearbox oil level</t>
  </si>
  <si>
    <t>Sight glass: within marks</t>
  </si>
  <si>
    <t xml:space="preserve">  ELECTRICAL</t>
  </si>
  <si>
    <t>14</t>
  </si>
  <si>
    <t>Check panel door seals intact</t>
  </si>
  <si>
    <t>Visual: no gaps</t>
  </si>
  <si>
    <t>15</t>
  </si>
  <si>
    <t>Inspect cable routing — no damage</t>
  </si>
  <si>
    <t>Visual: no chafing/exposure</t>
  </si>
  <si>
    <t xml:space="preserve">  GENERAL</t>
  </si>
  <si>
    <t>16</t>
  </si>
  <si>
    <t>Inspect for fluid spills on floor</t>
  </si>
  <si>
    <t>Visual: clean/dry</t>
  </si>
  <si>
    <t>17</t>
  </si>
  <si>
    <t>Check fire extinguisher in place</t>
  </si>
  <si>
    <t>Visual: mounted/accessible</t>
  </si>
  <si>
    <t>18</t>
  </si>
  <si>
    <t>Inspect housekeeping of work area</t>
  </si>
  <si>
    <t>Visual: clear of debris</t>
  </si>
  <si>
    <t>Technician Signature:</t>
  </si>
  <si>
    <t>Supervisor Sign-off:</t>
  </si>
  <si>
    <t>PREVENTIVE MAINTENANCE CHECKLIST — Weekly — Every 7 Days</t>
  </si>
  <si>
    <t>Grease bearings — per lubrication schedule</t>
  </si>
  <si>
    <t>Grease gun: as per spec</t>
  </si>
  <si>
    <t>Check mechanical seal condition</t>
  </si>
  <si>
    <t>Visual: no scoring/leakage</t>
  </si>
  <si>
    <t>Check suction strainer — clean if needed</t>
  </si>
  <si>
    <t>Visual/Pressure: dp &lt; 0.05 bar</t>
  </si>
  <si>
    <t>Inspect belt for cuts / tears / splices</t>
  </si>
  <si>
    <t>Visual: no damage</t>
  </si>
  <si>
    <t>Check head &amp; tail pulley lagging</t>
  </si>
  <si>
    <t>Visual: lagging intact</t>
  </si>
  <si>
    <t>Inspect belt wiper / scraper blade</t>
  </si>
  <si>
    <t>Visual: blade not worn out</t>
  </si>
  <si>
    <t>Check structure bolts — tighten loose</t>
  </si>
  <si>
    <t>Spanner: all tight</t>
  </si>
  <si>
    <t xml:space="preserve">  GEARBOXES</t>
  </si>
  <si>
    <t>Check oil level — top up if needed</t>
  </si>
  <si>
    <t>Sight glass: full mark</t>
  </si>
  <si>
    <t>Inspect vent cap — clean if blocked</t>
  </si>
  <si>
    <t>Visual: vent clear</t>
  </si>
  <si>
    <t>Check for oil leaks at seals</t>
  </si>
  <si>
    <t>Visual: no wet staining</t>
  </si>
  <si>
    <t>Test earth leakage / RCD devices</t>
  </si>
  <si>
    <t>Test button: trips correctly</t>
  </si>
  <si>
    <t>Clean panel cooling fans / filters</t>
  </si>
  <si>
    <t>Visual: no dust buildup</t>
  </si>
  <si>
    <t>Check V-belt / chain tension</t>
  </si>
  <si>
    <t>Manual: correct deflection</t>
  </si>
  <si>
    <t>Inspect shaft alignment — check for movement</t>
  </si>
  <si>
    <t>Dial gauge or visual</t>
  </si>
  <si>
    <t xml:space="preserve">  SAFETY</t>
  </si>
  <si>
    <t>Test emergency stops — all zones</t>
  </si>
  <si>
    <t>Function test: each stops</t>
  </si>
  <si>
    <t>Check safety signage in place</t>
  </si>
  <si>
    <t>Visual: all signs legible</t>
  </si>
  <si>
    <t>PREVENTIVE MAINTENANCE CHECKLIST — Monthly — Every 30 Days</t>
  </si>
  <si>
    <t>Full oil analysis — take sample</t>
  </si>
  <si>
    <t>Sample bottle: send to lab</t>
  </si>
  <si>
    <t>Measure flow rate vs baseline</t>
  </si>
  <si>
    <t>Flow meter: ±5% of design</t>
  </si>
  <si>
    <t>Inspect impeller for cavitation damage</t>
  </si>
  <si>
    <t>Visual after opening</t>
  </si>
  <si>
    <t>Oil drain and refill if due</t>
  </si>
  <si>
    <t>Litres: per OEM schedule</t>
  </si>
  <si>
    <t>Vibration measurement — bearing housings</t>
  </si>
  <si>
    <t>Vibration analyser: mm/s</t>
  </si>
  <si>
    <t>Thermographic scan</t>
  </si>
  <si>
    <t>IR camera: no hot spots</t>
  </si>
  <si>
    <t>Full structural inspection — walkdown</t>
  </si>
  <si>
    <t>Visual: all bolts, frames</t>
  </si>
  <si>
    <t>Measure belt wear — thickness</t>
  </si>
  <si>
    <t>Callipers: per spec</t>
  </si>
  <si>
    <t>Motor insulation resistance (Megger)</t>
  </si>
  <si>
    <t>Megger: ≥ 1 MΩ at 500V</t>
  </si>
  <si>
    <t>Check motor earthing continuity</t>
  </si>
  <si>
    <t>Continuity tester: &lt; 1 Ω</t>
  </si>
  <si>
    <t>Thermal imaging of MCC panels</t>
  </si>
  <si>
    <t>IR camera: no hot connections</t>
  </si>
  <si>
    <t>Check cable terminations — tighten</t>
  </si>
  <si>
    <t>Torque wrench: per spec</t>
  </si>
  <si>
    <t xml:space="preserve">  CONTROL</t>
  </si>
  <si>
    <t>Calibrate sensors — pressure/temp/flow</t>
  </si>
  <si>
    <t>Calibrator: ±0.5%</t>
  </si>
  <si>
    <t>Full emergency shutdown test</t>
  </si>
  <si>
    <t>Procedure: system shuts down</t>
  </si>
  <si>
    <t>Review and update risk assessment</t>
  </si>
  <si>
    <t>Document: signed off</t>
  </si>
  <si>
    <t>PREVENTIVE MAINTENANCE CHECKLIST — Quarterly — Every 90 Days</t>
  </si>
  <si>
    <t>Complete overhaul inspection — strip &amp; inspect</t>
  </si>
  <si>
    <t>As per OEM procedure</t>
  </si>
  <si>
    <t>Replace mechanical seal if hours exceeded</t>
  </si>
  <si>
    <t>OEM: hours per spec</t>
  </si>
  <si>
    <t>Replace bearings — inspect races</t>
  </si>
  <si>
    <t>Visual/Measurement</t>
  </si>
  <si>
    <t>Magnetic drain plug inspection — debris check</t>
  </si>
  <si>
    <t>Visual: metallic content</t>
  </si>
  <si>
    <t>Full oil change — all gearboxes</t>
  </si>
  <si>
    <t>Litres: per nameplate</t>
  </si>
  <si>
    <t>Gear tooth inspection — pitting/wear</t>
  </si>
  <si>
    <t>Visual/Borescope</t>
  </si>
  <si>
    <t>Alignment measurement — all coupled equipment</t>
  </si>
  <si>
    <t>Dial gauge: ≤ 0.05mm</t>
  </si>
  <si>
    <t>Balance check — rotating equipment</t>
  </si>
  <si>
    <t>Vibration: ISO 1940 G6.3</t>
  </si>
  <si>
    <t>Full thermal imaging survey — all panels</t>
  </si>
  <si>
    <t>IR camera: report issued</t>
  </si>
  <si>
    <t>Earth continuity test — all equipment</t>
  </si>
  <si>
    <t>&lt; 1 Ω to earth</t>
  </si>
  <si>
    <t>Full LOTO procedure audit</t>
  </si>
  <si>
    <t>Compliance: 100% correct</t>
  </si>
  <si>
    <t>Emergency response drill</t>
  </si>
  <si>
    <t>Drill time: &lt; 10 min response</t>
  </si>
  <si>
    <t xml:space="preserve">  INSTRUMENTATION</t>
  </si>
  <si>
    <t>Full calibration — all critical instruments</t>
  </si>
  <si>
    <t>Calibration certs issued</t>
  </si>
  <si>
    <t xml:space="preserve">  STRUCTURAL</t>
  </si>
  <si>
    <t>Inspect foundations — cracks/settlement</t>
  </si>
  <si>
    <t>Civil: no movement</t>
  </si>
  <si>
    <t xml:space="preserve">  DOCUMENTATION</t>
  </si>
  <si>
    <t>Update equipment history cards</t>
  </si>
  <si>
    <t>All WOs captured</t>
  </si>
  <si>
    <t>Priority</t>
  </si>
  <si>
    <t>Due Date</t>
  </si>
  <si>
    <t>Action Status</t>
  </si>
  <si>
    <t>Risk Score</t>
  </si>
  <si>
    <t>Evidence Ref</t>
  </si>
  <si>
    <t>Preventive Maintenance Checklist — PREMIUM UPGRADE GUIDE</t>
  </si>
  <si>
    <t>Original template preserved. Added premium sheets turn the file into a semi-automated maintenance management tool.</t>
  </si>
  <si>
    <t>Step</t>
  </si>
  <si>
    <t>What to do</t>
  </si>
  <si>
    <t>Outcome</t>
  </si>
  <si>
    <t>Enter field data</t>
  </si>
  <si>
    <t>Complete the original inspection/report sheet. Yellow cells and result columns are input fields.</t>
  </si>
  <si>
    <t>Use dropdowns</t>
  </si>
  <si>
    <t>Use standardised results, priority, status, criticality and RCA decision fields to keep data clean.</t>
  </si>
  <si>
    <t>Review dashboard</t>
  </si>
  <si>
    <t>Open the dashboard/summary sheet to view compliance, open actions, overdue actions and management risk indicators.</t>
  </si>
  <si>
    <t>Close actions</t>
  </si>
  <si>
    <t>Transfer defects/recommendations to the Action Tracker with owner, due date, status and verification evidence.</t>
  </si>
  <si>
    <t>Issue report</t>
  </si>
  <si>
    <t>Use the original form for site records and the added registers for meetings, audits and maintenance planning.</t>
  </si>
  <si>
    <t>Upgrades Implemented</t>
  </si>
  <si>
    <t>• Added PM master register for equipment, frequency, last done, next due and responsible person.</t>
  </si>
  <si>
    <t>• Added compliance dashboard calculating completed, failed, overdue and open actions.</t>
  </si>
  <si>
    <t>• Added action tracker for defects raised from daily, weekly, monthly and quarterly PM checks.</t>
  </si>
  <si>
    <t>• Added equipment-type PM template guide for pumps, conveyors, gearboxes, motors and compressors.</t>
  </si>
  <si>
    <t>• Added risk/priority columns to each PM checklist sheet.</t>
  </si>
  <si>
    <t>CONTROL LISTS / DROPDOWNS</t>
  </si>
  <si>
    <t>Edit these lists if your site uses different status, priority, failure mode or criticality labels.</t>
  </si>
  <si>
    <t>Status</t>
  </si>
  <si>
    <t>Result</t>
  </si>
  <si>
    <t>Severity</t>
  </si>
  <si>
    <t>Failure Mode</t>
  </si>
  <si>
    <t>Criticality</t>
  </si>
  <si>
    <t>Shift</t>
  </si>
  <si>
    <t>RCA Required</t>
  </si>
  <si>
    <t>Open</t>
  </si>
  <si>
    <t>Critical</t>
  </si>
  <si>
    <t>✓</t>
  </si>
  <si>
    <t>Mechanical</t>
  </si>
  <si>
    <t>A - Critical</t>
  </si>
  <si>
    <t>Day</t>
  </si>
  <si>
    <t>Yes</t>
  </si>
  <si>
    <t>In Progress</t>
  </si>
  <si>
    <t>High</t>
  </si>
  <si>
    <t>✗</t>
  </si>
  <si>
    <t>Electrical</t>
  </si>
  <si>
    <t>B - Important</t>
  </si>
  <si>
    <t>Night</t>
  </si>
  <si>
    <t>No</t>
  </si>
  <si>
    <t>Complete</t>
  </si>
  <si>
    <t>Medium</t>
  </si>
  <si>
    <t>N/A</t>
  </si>
  <si>
    <t>Lubrication</t>
  </si>
  <si>
    <t>C - General</t>
  </si>
  <si>
    <t>A</t>
  </si>
  <si>
    <t>TBC</t>
  </si>
  <si>
    <t>Overdue</t>
  </si>
  <si>
    <t>Low</t>
  </si>
  <si>
    <t>Monitor</t>
  </si>
  <si>
    <t>Hydraulic</t>
  </si>
  <si>
    <t>B</t>
  </si>
  <si>
    <t>Deferred</t>
  </si>
  <si>
    <t>Pneumatic</t>
  </si>
  <si>
    <t>C</t>
  </si>
  <si>
    <t>Cancelled</t>
  </si>
  <si>
    <t>Instrumentation</t>
  </si>
  <si>
    <t>D</t>
  </si>
  <si>
    <t>Verified</t>
  </si>
  <si>
    <t>Process</t>
  </si>
  <si>
    <t>Operator</t>
  </si>
  <si>
    <t>Design</t>
  </si>
  <si>
    <t>Unknown</t>
  </si>
  <si>
    <t>ACTION TRACKER</t>
  </si>
  <si>
    <t>Central register for defects, recommendations, close-out dates, and verification.</t>
  </si>
  <si>
    <t>Source/Sheet</t>
  </si>
  <si>
    <t>Asset / Equipment</t>
  </si>
  <si>
    <t>Finding / Defect</t>
  </si>
  <si>
    <t>Risk / Impact</t>
  </si>
  <si>
    <t>Responsible Person</t>
  </si>
  <si>
    <t>Close-out Date</t>
  </si>
  <si>
    <t>Verification / Evidence</t>
  </si>
  <si>
    <t>Days Overdue</t>
  </si>
  <si>
    <t>MASTER PM REGISTER</t>
  </si>
  <si>
    <t>Control PM task ownership, frequency, next due date and escalation.</t>
  </si>
  <si>
    <t>PM ID</t>
  </si>
  <si>
    <t>Equipment Type</t>
  </si>
  <si>
    <t>Equipment Tag</t>
  </si>
  <si>
    <t>PM Task</t>
  </si>
  <si>
    <t>Frequency</t>
  </si>
  <si>
    <t>Last Done</t>
  </si>
  <si>
    <t>Next Due</t>
  </si>
  <si>
    <t>Responsible</t>
  </si>
  <si>
    <t>Failed Repeats</t>
  </si>
  <si>
    <t>Escalation Required?</t>
  </si>
  <si>
    <t>Notes</t>
  </si>
  <si>
    <t>PM-001</t>
  </si>
  <si>
    <t>Pump</t>
  </si>
  <si>
    <t>Check oil level</t>
  </si>
  <si>
    <t>PM-002</t>
  </si>
  <si>
    <t>PM-003</t>
  </si>
  <si>
    <t>PM-004</t>
  </si>
  <si>
    <t>PM-005</t>
  </si>
  <si>
    <t>PM-006</t>
  </si>
  <si>
    <t>PM-007</t>
  </si>
  <si>
    <t>PM-008</t>
  </si>
  <si>
    <t>PM-009</t>
  </si>
  <si>
    <t>PM-010</t>
  </si>
  <si>
    <t>PM-011</t>
  </si>
  <si>
    <t>PM-012</t>
  </si>
  <si>
    <t>PM-013</t>
  </si>
  <si>
    <t>PM-014</t>
  </si>
  <si>
    <t>PM-015</t>
  </si>
  <si>
    <t>PM-016</t>
  </si>
  <si>
    <t>PM-017</t>
  </si>
  <si>
    <t>PM-018</t>
  </si>
  <si>
    <t>PM-019</t>
  </si>
  <si>
    <t>PM-020</t>
  </si>
  <si>
    <t>PM-021</t>
  </si>
  <si>
    <t>PM-022</t>
  </si>
  <si>
    <t>PM-023</t>
  </si>
  <si>
    <t>PM-024</t>
  </si>
  <si>
    <t>PM-025</t>
  </si>
  <si>
    <t>PM-026</t>
  </si>
  <si>
    <t>PM-027</t>
  </si>
  <si>
    <t>PM-028</t>
  </si>
  <si>
    <t>PM-029</t>
  </si>
  <si>
    <t>PM-030</t>
  </si>
  <si>
    <t>EQUIPMENT-TYPE PM TEMPLATE LIBRARY</t>
  </si>
  <si>
    <t>Suggested PM focus areas by asset class.</t>
  </si>
  <si>
    <t>Recommended PM Focus Areas</t>
  </si>
  <si>
    <t>Oil level, seal leakage, suction/discharge pressure, vibration, bearing temperature, coupling/alignment</t>
  </si>
  <si>
    <t>Conveyor</t>
  </si>
  <si>
    <t>Belt tracking, belt condition, idlers, pull wires, guards, scrapers, spillage, take-up</t>
  </si>
  <si>
    <t>Gearbox</t>
  </si>
  <si>
    <t>Oil level/condition, leaks, breather, temperature, vibration, noise, coupling, base bolts</t>
  </si>
  <si>
    <t>Motor</t>
  </si>
  <si>
    <t>Temperature, vibration, current, terminal box, cooling fan, insulation condition, cable glands</t>
  </si>
  <si>
    <t>Compressor</t>
  </si>
  <si>
    <t>Oil level, filters, pressure, temperature, belts/coupling, leaks, drains, safety devices</t>
  </si>
  <si>
    <t>Crusher</t>
  </si>
  <si>
    <t>Lubrication, wear liners, hydraulic system, drive belts, guards, vibration, abnormal noise</t>
  </si>
  <si>
    <t>PREVENTIVE MAINTENANCE COMPLIANCE DASHBOARD</t>
  </si>
  <si>
    <t>Compliance, failed items, overdue PMs and open actions.</t>
  </si>
  <si>
    <t>Metric</t>
  </si>
  <si>
    <t>Value</t>
  </si>
  <si>
    <t>Interpretation</t>
  </si>
  <si>
    <t>PM tasks registered</t>
  </si>
  <si>
    <t>Rows in PM register</t>
  </si>
  <si>
    <t>Overdue PMs</t>
  </si>
  <si>
    <t>Next due date before today</t>
  </si>
  <si>
    <t>Daily defects</t>
  </si>
  <si>
    <t>Daily PM failed items</t>
  </si>
  <si>
    <t>Weekly defects</t>
  </si>
  <si>
    <t>Weekly PM failed items</t>
  </si>
  <si>
    <t>Monthly defects</t>
  </si>
  <si>
    <t>Monthly PM failed items</t>
  </si>
  <si>
    <t>Quarterly defects</t>
  </si>
  <si>
    <t>Quarterly PM failed items</t>
  </si>
  <si>
    <t>Open actions</t>
  </si>
  <si>
    <t>Open PM action items</t>
  </si>
  <si>
    <t>Overall PM status</t>
  </si>
  <si>
    <t>Management interpretation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</si>
</sst>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yyyy\-mm\-dd"/>
  </numFmts>
  <fonts count="11" x14ac:knownFonts="1">
    <font>
      <sz val="11"/>
      <color theme="1"/>
      <name val="Calibri"/>
    </font>
    <font>
      <sz val="10"/>
      <name val="Arial"/>
    </font>
    <font>
      <b/>
      <sz val="13"/>
      <color rgb="FFE8A020"/>
      <name val="Arial"/>
    </font>
    <font>
      <i/>
      <sz val="8"/>
      <color rgb="FF717D7E"/>
      <name val="Arial"/>
    </font>
    <font>
      <b/>
      <sz val="9"/>
      <color rgb="FFFFFFFF"/>
      <name val="Arial"/>
    </font>
    <font>
      <sz val="9"/>
      <color rgb="FF1A1A2E"/>
      <name val="Arial"/>
    </font>
    <font>
      <b/>
      <sz val="16"/>
      <color rgb="FFFFFFFF"/>
      <name val="Calibri"/>
    </font>
    <font>
      <i/>
      <sz val="10"/>
      <color rgb="FF1F2937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9E6"/>
      </patternFill>
    </fill>
    <fill>
      <patternFill patternType="solid">
        <fgColor rgb="FF16213E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27">
    <xf numFmtId="0" fontId="0" fillId="0" borderId="0" xfId="0"/>
    <xf numFmtId="0" fontId="0" fillId="11" borderId="0" xfId="0" applyFill="1" applyAlignment="1">
      <alignment wrapText="1"/>
    </xf>
    <xf numFmtId="0" fontId="7" fillId="8" borderId="0" xfId="0" applyFont="1" applyFill="1" applyAlignment="1">
      <alignment wrapText="1"/>
    </xf>
    <xf numFmtId="0" fontId="6" fillId="7" borderId="0" xfId="0" applyFont="1" applyFill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0" fontId="4" fillId="4" borderId="1" xfId="0" applyFont="1" applyFill="1" applyBorder="1" applyAlignment="1">
      <alignment horizontal="right" vertical="center"/>
    </xf>
    <xf numFmtId="0" fontId="5" fillId="3" borderId="1" xfId="0" applyFont="1" applyFill="1" applyBorder="1"/>
    <xf numFmtId="0" fontId="4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8" fillId="9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9" fillId="10" borderId="0" xfId="0" applyFont="1" applyFill="1"/>
    <xf numFmtId="0" fontId="9" fillId="9" borderId="0" xfId="0" applyFont="1" applyFill="1"/>
    <xf numFmtId="164" fontId="0" fillId="0" borderId="0" xfId="0" applyNumberFormat="1" applyAlignment="1">
      <alignment vertical="top" wrapText="1"/>
    </xf>
    <xf numFmtId="0" fontId="9" fillId="10" borderId="0" xfId="0" applyFont="1" applyFill="1" applyAlignment="1">
      <alignment wrapText="1"/>
    </xf>
    <xf numFmtId="164" fontId="0" fillId="0" borderId="0" xfId="0" applyNumberFormat="1"/>
    <xf numFmtId="0" fontId="10" fillId="8" borderId="0" xfId="0" applyFont="1" applyFill="1"/>
  </cellXfs>
  <cellStyles count="6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0" builtinId="0"/>
    <cellStyle name="Percent" xfId="5" xr:uid="{00000000-0005-0000-0000-000005000000}"/>
  </cellStyles>
  <dxfs count="5"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17D7E"/>
      <rgbColor rgb="FF9999FF"/>
      <rgbColor rgb="FF993366"/>
      <rgbColor rgb="FFFFF9E6"/>
      <rgbColor rgb="FFF2F3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MActionTracker" displayName="PMActionTracker" ref="A4:K34">
  <tableColumns count="11">
    <tableColumn id="1" xr3:uid="{00000000-0010-0000-0000-000001000000}" name="Source/Sheet"/>
    <tableColumn id="2" xr3:uid="{00000000-0010-0000-0000-000002000000}" name="Asset / Equipment"/>
    <tableColumn id="3" xr3:uid="{00000000-0010-0000-0000-000003000000}" name="Finding / Defect"/>
    <tableColumn id="4" xr3:uid="{00000000-0010-0000-0000-000004000000}" name="Risk / Impact"/>
    <tableColumn id="5" xr3:uid="{00000000-0010-0000-0000-000005000000}" name="Priority"/>
    <tableColumn id="6" xr3:uid="{00000000-0010-0000-0000-000006000000}" name="Responsible Person"/>
    <tableColumn id="7" xr3:uid="{00000000-0010-0000-0000-000007000000}" name="Due Date"/>
    <tableColumn id="8" xr3:uid="{00000000-0010-0000-0000-000008000000}" name="Status"/>
    <tableColumn id="9" xr3:uid="{00000000-0010-0000-0000-000009000000}" name="Close-out Date"/>
    <tableColumn id="10" xr3:uid="{00000000-0010-0000-0000-00000A000000}" name="Verification / Evidence"/>
    <tableColumn id="11" xr3:uid="{00000000-0010-0000-0000-00000B000000}" name="Days Overd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PMRegister" displayName="MasterPMRegister" ref="A4:M34">
  <tableColumns count="13">
    <tableColumn id="1" xr3:uid="{00000000-0010-0000-0100-000001000000}" name="PM ID"/>
    <tableColumn id="2" xr3:uid="{00000000-0010-0000-0100-000002000000}" name="Equipment Type"/>
    <tableColumn id="3" xr3:uid="{00000000-0010-0000-0100-000003000000}" name="Equipment Tag"/>
    <tableColumn id="4" xr3:uid="{00000000-0010-0000-0100-000004000000}" name="PM Task"/>
    <tableColumn id="5" xr3:uid="{00000000-0010-0000-0100-000005000000}" name="Frequency"/>
    <tableColumn id="6" xr3:uid="{00000000-0010-0000-0100-000006000000}" name="Last Done"/>
    <tableColumn id="7" xr3:uid="{00000000-0010-0000-0100-000007000000}" name="Next Due"/>
    <tableColumn id="8" xr3:uid="{00000000-0010-0000-0100-000008000000}" name="Responsible"/>
    <tableColumn id="9" xr3:uid="{00000000-0010-0000-0100-000009000000}" name="Criticality"/>
    <tableColumn id="10" xr3:uid="{00000000-0010-0000-0100-00000A000000}" name="Status"/>
    <tableColumn id="11" xr3:uid="{00000000-0010-0000-0100-00000B000000}" name="Failed Repeats"/>
    <tableColumn id="12" xr3:uid="{00000000-0010-0000-0100-00000C000000}" name="Escalation Required?"/>
    <tableColumn id="13" xr3:uid="{00000000-0010-0000-0100-00000D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quipmentPMTemplates" displayName="EquipmentPMTemplates" ref="A4:B10">
  <tableColumns count="2">
    <tableColumn id="1" xr3:uid="{00000000-0010-0000-0200-000001000000}" name="Equipment Type"/>
    <tableColumn id="2" xr3:uid="{00000000-0010-0000-0200-000002000000}" name="Recommended PM Focus Are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A020"/>
  </sheetPr>
  <dimension ref="A1:O45"/>
  <sheetViews>
    <sheetView showGridLines="0" tabSelected="1" workbookViewId="0"/>
  </sheetViews>
  <sheetFormatPr defaultColWidth="8.6640625" defaultRowHeight="14.4" x14ac:dyDescent="0.3"/>
  <cols>
    <col min="1" max="1" width="2" customWidth="1"/>
    <col min="2" max="2" width="8" customWidth="1"/>
    <col min="3" max="4" width="28" customWidth="1"/>
    <col min="5" max="5" width="14" customWidth="1"/>
    <col min="6" max="8" width="10" customWidth="1"/>
    <col min="9" max="9" width="14" customWidth="1"/>
    <col min="10" max="10" width="22" customWidth="1"/>
    <col min="11" max="12" width="12" customWidth="1"/>
    <col min="13" max="13" width="14" customWidth="1"/>
    <col min="14" max="14" width="11" customWidth="1"/>
    <col min="15" max="15" width="16" customWidth="1"/>
  </cols>
  <sheetData>
    <row r="1" spans="1:15" ht="7.5" customHeight="1" x14ac:dyDescent="0.3"/>
    <row r="2" spans="1:15" ht="36" customHeight="1" x14ac:dyDescent="0.3">
      <c r="A2" s="7"/>
      <c r="B2" s="6" t="s">
        <v>0</v>
      </c>
      <c r="C2" s="6"/>
      <c r="D2" s="6"/>
      <c r="E2" s="6"/>
      <c r="F2" s="6"/>
      <c r="G2" s="6"/>
      <c r="H2" s="6"/>
      <c r="I2" s="6"/>
      <c r="J2" s="6"/>
    </row>
    <row r="3" spans="1:15" ht="18" customHeight="1" x14ac:dyDescent="0.3">
      <c r="B3" s="5" t="s">
        <v>1</v>
      </c>
      <c r="C3" s="5"/>
      <c r="D3" s="5"/>
      <c r="E3" s="5"/>
      <c r="F3" s="5"/>
      <c r="G3" s="5"/>
      <c r="H3" s="5"/>
      <c r="I3" s="5"/>
    </row>
    <row r="4" spans="1:15" ht="19.5" customHeight="1" x14ac:dyDescent="0.3">
      <c r="B4" s="8" t="s">
        <v>2</v>
      </c>
      <c r="C4" s="9"/>
      <c r="D4" s="8" t="s">
        <v>3</v>
      </c>
      <c r="E4" s="9"/>
      <c r="F4" s="8" t="s">
        <v>4</v>
      </c>
      <c r="G4" s="9"/>
      <c r="H4" s="8" t="s">
        <v>5</v>
      </c>
      <c r="I4" s="9"/>
    </row>
    <row r="5" spans="1:15" ht="19.5" customHeight="1" x14ac:dyDescent="0.3">
      <c r="B5" s="8" t="s">
        <v>6</v>
      </c>
      <c r="C5" s="9"/>
      <c r="D5" s="8" t="s">
        <v>7</v>
      </c>
      <c r="E5" s="9"/>
      <c r="F5" s="8" t="s">
        <v>8</v>
      </c>
      <c r="G5" s="9"/>
      <c r="H5" s="8" t="s">
        <v>9</v>
      </c>
      <c r="I5" s="9"/>
    </row>
    <row r="6" spans="1:15" ht="21.75" customHeight="1" x14ac:dyDescent="0.3">
      <c r="B6" s="10" t="s">
        <v>10</v>
      </c>
      <c r="C6" s="10" t="s">
        <v>11</v>
      </c>
      <c r="D6" s="10" t="s">
        <v>12</v>
      </c>
      <c r="E6" s="10" t="s">
        <v>13</v>
      </c>
      <c r="F6" s="10" t="s">
        <v>14</v>
      </c>
      <c r="G6" s="10" t="s">
        <v>15</v>
      </c>
      <c r="H6" s="10" t="s">
        <v>16</v>
      </c>
      <c r="I6" s="10" t="s">
        <v>17</v>
      </c>
      <c r="J6" s="10" t="s">
        <v>18</v>
      </c>
      <c r="K6" s="24" t="s">
        <v>181</v>
      </c>
      <c r="L6" s="24" t="s">
        <v>182</v>
      </c>
      <c r="M6" s="24" t="s">
        <v>183</v>
      </c>
      <c r="N6" s="24" t="s">
        <v>184</v>
      </c>
      <c r="O6" s="24" t="s">
        <v>185</v>
      </c>
    </row>
    <row r="7" spans="1:15" ht="18" customHeight="1" x14ac:dyDescent="0.3">
      <c r="B7" s="4" t="s">
        <v>19</v>
      </c>
      <c r="C7" s="4"/>
      <c r="D7" s="4"/>
      <c r="E7" s="4"/>
      <c r="F7" s="4"/>
      <c r="G7" s="4"/>
      <c r="H7" s="4"/>
      <c r="I7" s="4"/>
      <c r="J7" s="4"/>
      <c r="L7" s="25"/>
      <c r="N7" t="str">
        <f t="shared" ref="N7:N45" si="0">IF($E7="✗",IF(K7="Critical",25,IF(K7="High",15,IF(K7="Medium",8,IF(K7="Low",4,1)))),"")</f>
        <v/>
      </c>
    </row>
    <row r="8" spans="1:15" ht="18" customHeight="1" x14ac:dyDescent="0.3">
      <c r="B8" s="11" t="s">
        <v>20</v>
      </c>
      <c r="C8" s="12" t="s">
        <v>21</v>
      </c>
      <c r="D8" s="12" t="s">
        <v>22</v>
      </c>
      <c r="E8" s="13"/>
      <c r="F8" s="13"/>
      <c r="G8" s="13"/>
      <c r="H8" s="13"/>
      <c r="I8" s="14"/>
      <c r="J8" s="13"/>
      <c r="L8" s="25"/>
      <c r="N8" t="str">
        <f t="shared" si="0"/>
        <v/>
      </c>
    </row>
    <row r="9" spans="1:15" ht="18" customHeight="1" x14ac:dyDescent="0.3">
      <c r="B9" s="15" t="s">
        <v>23</v>
      </c>
      <c r="C9" s="16" t="s">
        <v>24</v>
      </c>
      <c r="D9" s="16" t="s">
        <v>25</v>
      </c>
      <c r="E9" s="13"/>
      <c r="F9" s="13"/>
      <c r="G9" s="13"/>
      <c r="H9" s="13"/>
      <c r="I9" s="14"/>
      <c r="J9" s="13"/>
      <c r="L9" s="25"/>
      <c r="N9" t="str">
        <f t="shared" si="0"/>
        <v/>
      </c>
    </row>
    <row r="10" spans="1:15" ht="18" customHeight="1" x14ac:dyDescent="0.3">
      <c r="B10" s="11" t="s">
        <v>26</v>
      </c>
      <c r="C10" s="12" t="s">
        <v>27</v>
      </c>
      <c r="D10" s="12" t="s">
        <v>28</v>
      </c>
      <c r="E10" s="13"/>
      <c r="F10" s="13"/>
      <c r="G10" s="13"/>
      <c r="H10" s="13"/>
      <c r="I10" s="14"/>
      <c r="J10" s="13"/>
      <c r="L10" s="25"/>
      <c r="N10" t="str">
        <f t="shared" si="0"/>
        <v/>
      </c>
    </row>
    <row r="11" spans="1:15" ht="18" customHeight="1" x14ac:dyDescent="0.3">
      <c r="B11" s="15" t="s">
        <v>29</v>
      </c>
      <c r="C11" s="16" t="s">
        <v>30</v>
      </c>
      <c r="D11" s="16" t="s">
        <v>31</v>
      </c>
      <c r="E11" s="13"/>
      <c r="F11" s="13"/>
      <c r="G11" s="13"/>
      <c r="H11" s="13"/>
      <c r="I11" s="14"/>
      <c r="J11" s="13"/>
      <c r="L11" s="25"/>
      <c r="N11" t="str">
        <f t="shared" si="0"/>
        <v/>
      </c>
    </row>
    <row r="12" spans="1:15" ht="18" customHeight="1" x14ac:dyDescent="0.3">
      <c r="B12" s="11" t="s">
        <v>32</v>
      </c>
      <c r="C12" s="12" t="s">
        <v>33</v>
      </c>
      <c r="D12" s="12" t="s">
        <v>34</v>
      </c>
      <c r="E12" s="13"/>
      <c r="F12" s="13"/>
      <c r="G12" s="13"/>
      <c r="H12" s="13"/>
      <c r="I12" s="14"/>
      <c r="J12" s="13"/>
      <c r="L12" s="25"/>
      <c r="N12" t="str">
        <f t="shared" si="0"/>
        <v/>
      </c>
    </row>
    <row r="13" spans="1:15" ht="18" customHeight="1" x14ac:dyDescent="0.3">
      <c r="B13" s="4" t="s">
        <v>35</v>
      </c>
      <c r="C13" s="4"/>
      <c r="D13" s="4"/>
      <c r="E13" s="4"/>
      <c r="F13" s="4"/>
      <c r="G13" s="4"/>
      <c r="H13" s="4"/>
      <c r="I13" s="4"/>
      <c r="J13" s="4"/>
      <c r="L13" s="25"/>
      <c r="N13" t="str">
        <f t="shared" si="0"/>
        <v/>
      </c>
    </row>
    <row r="14" spans="1:15" ht="18" customHeight="1" x14ac:dyDescent="0.3">
      <c r="B14" s="15" t="s">
        <v>36</v>
      </c>
      <c r="C14" s="16" t="s">
        <v>37</v>
      </c>
      <c r="D14" s="16" t="s">
        <v>38</v>
      </c>
      <c r="E14" s="13"/>
      <c r="F14" s="13"/>
      <c r="G14" s="13"/>
      <c r="H14" s="13"/>
      <c r="I14" s="14"/>
      <c r="J14" s="13"/>
      <c r="L14" s="25"/>
      <c r="N14" t="str">
        <f t="shared" si="0"/>
        <v/>
      </c>
    </row>
    <row r="15" spans="1:15" ht="18" customHeight="1" x14ac:dyDescent="0.3">
      <c r="B15" s="11" t="s">
        <v>39</v>
      </c>
      <c r="C15" s="12" t="s">
        <v>40</v>
      </c>
      <c r="D15" s="12" t="s">
        <v>41</v>
      </c>
      <c r="E15" s="13"/>
      <c r="F15" s="13"/>
      <c r="G15" s="13"/>
      <c r="H15" s="13"/>
      <c r="I15" s="14"/>
      <c r="J15" s="13"/>
      <c r="L15" s="25"/>
      <c r="N15" t="str">
        <f t="shared" si="0"/>
        <v/>
      </c>
    </row>
    <row r="16" spans="1:15" ht="18" customHeight="1" x14ac:dyDescent="0.3">
      <c r="B16" s="15" t="s">
        <v>42</v>
      </c>
      <c r="C16" s="16" t="s">
        <v>43</v>
      </c>
      <c r="D16" s="16" t="s">
        <v>44</v>
      </c>
      <c r="E16" s="13"/>
      <c r="F16" s="13"/>
      <c r="G16" s="13"/>
      <c r="H16" s="13"/>
      <c r="I16" s="14"/>
      <c r="J16" s="13"/>
      <c r="L16" s="25"/>
      <c r="N16" t="str">
        <f t="shared" si="0"/>
        <v/>
      </c>
    </row>
    <row r="17" spans="2:14" ht="18" customHeight="1" x14ac:dyDescent="0.3">
      <c r="B17" s="11" t="s">
        <v>45</v>
      </c>
      <c r="C17" s="12" t="s">
        <v>46</v>
      </c>
      <c r="D17" s="12" t="s">
        <v>47</v>
      </c>
      <c r="E17" s="13"/>
      <c r="F17" s="13"/>
      <c r="G17" s="13"/>
      <c r="H17" s="13"/>
      <c r="I17" s="14"/>
      <c r="J17" s="13"/>
      <c r="L17" s="25"/>
      <c r="N17" t="str">
        <f t="shared" si="0"/>
        <v/>
      </c>
    </row>
    <row r="18" spans="2:14" ht="18" customHeight="1" x14ac:dyDescent="0.3">
      <c r="B18" s="15" t="s">
        <v>48</v>
      </c>
      <c r="C18" s="16" t="s">
        <v>49</v>
      </c>
      <c r="D18" s="16" t="s">
        <v>50</v>
      </c>
      <c r="E18" s="13"/>
      <c r="F18" s="13"/>
      <c r="G18" s="13"/>
      <c r="H18" s="13"/>
      <c r="I18" s="14"/>
      <c r="J18" s="13"/>
      <c r="L18" s="25"/>
      <c r="N18" t="str">
        <f t="shared" si="0"/>
        <v/>
      </c>
    </row>
    <row r="19" spans="2:14" ht="18" customHeight="1" x14ac:dyDescent="0.3">
      <c r="B19" s="4" t="s">
        <v>51</v>
      </c>
      <c r="C19" s="4"/>
      <c r="D19" s="4"/>
      <c r="E19" s="4"/>
      <c r="F19" s="4"/>
      <c r="G19" s="4"/>
      <c r="H19" s="4"/>
      <c r="I19" s="4"/>
      <c r="J19" s="4"/>
      <c r="L19" s="25"/>
      <c r="N19" t="str">
        <f t="shared" si="0"/>
        <v/>
      </c>
    </row>
    <row r="20" spans="2:14" ht="18" customHeight="1" x14ac:dyDescent="0.3">
      <c r="B20" s="11" t="s">
        <v>52</v>
      </c>
      <c r="C20" s="12" t="s">
        <v>53</v>
      </c>
      <c r="D20" s="12" t="s">
        <v>54</v>
      </c>
      <c r="E20" s="13"/>
      <c r="F20" s="13"/>
      <c r="G20" s="13"/>
      <c r="H20" s="13"/>
      <c r="I20" s="14"/>
      <c r="J20" s="13"/>
      <c r="L20" s="25"/>
      <c r="N20" t="str">
        <f t="shared" si="0"/>
        <v/>
      </c>
    </row>
    <row r="21" spans="2:14" ht="18" customHeight="1" x14ac:dyDescent="0.3">
      <c r="B21" s="15" t="s">
        <v>55</v>
      </c>
      <c r="C21" s="16" t="s">
        <v>56</v>
      </c>
      <c r="D21" s="16" t="s">
        <v>57</v>
      </c>
      <c r="E21" s="13"/>
      <c r="F21" s="13"/>
      <c r="G21" s="13"/>
      <c r="H21" s="13"/>
      <c r="I21" s="14"/>
      <c r="J21" s="13"/>
      <c r="L21" s="25"/>
      <c r="N21" t="str">
        <f t="shared" si="0"/>
        <v/>
      </c>
    </row>
    <row r="22" spans="2:14" ht="18" customHeight="1" x14ac:dyDescent="0.3">
      <c r="B22" s="11" t="s">
        <v>58</v>
      </c>
      <c r="C22" s="12" t="s">
        <v>59</v>
      </c>
      <c r="D22" s="12" t="s">
        <v>60</v>
      </c>
      <c r="E22" s="13"/>
      <c r="F22" s="13"/>
      <c r="G22" s="13"/>
      <c r="H22" s="13"/>
      <c r="I22" s="14"/>
      <c r="J22" s="13"/>
      <c r="L22" s="25"/>
      <c r="N22" t="str">
        <f t="shared" si="0"/>
        <v/>
      </c>
    </row>
    <row r="23" spans="2:14" ht="18" customHeight="1" x14ac:dyDescent="0.3">
      <c r="B23" s="4" t="s">
        <v>61</v>
      </c>
      <c r="C23" s="4"/>
      <c r="D23" s="4"/>
      <c r="E23" s="4"/>
      <c r="F23" s="4"/>
      <c r="G23" s="4"/>
      <c r="H23" s="4"/>
      <c r="I23" s="4"/>
      <c r="J23" s="4"/>
      <c r="L23" s="25"/>
      <c r="N23" t="str">
        <f t="shared" si="0"/>
        <v/>
      </c>
    </row>
    <row r="24" spans="2:14" ht="18" customHeight="1" x14ac:dyDescent="0.3">
      <c r="B24" s="15" t="s">
        <v>62</v>
      </c>
      <c r="C24" s="16" t="s">
        <v>63</v>
      </c>
      <c r="D24" s="16" t="s">
        <v>64</v>
      </c>
      <c r="E24" s="13"/>
      <c r="F24" s="13"/>
      <c r="G24" s="13"/>
      <c r="H24" s="13"/>
      <c r="I24" s="14"/>
      <c r="J24" s="13"/>
      <c r="L24" s="25"/>
      <c r="N24" t="str">
        <f t="shared" si="0"/>
        <v/>
      </c>
    </row>
    <row r="25" spans="2:14" ht="18" customHeight="1" x14ac:dyDescent="0.3">
      <c r="B25" s="11" t="s">
        <v>65</v>
      </c>
      <c r="C25" s="12" t="s">
        <v>66</v>
      </c>
      <c r="D25" s="12" t="s">
        <v>67</v>
      </c>
      <c r="E25" s="13"/>
      <c r="F25" s="13"/>
      <c r="G25" s="13"/>
      <c r="H25" s="13"/>
      <c r="I25" s="14"/>
      <c r="J25" s="13"/>
      <c r="L25" s="25"/>
      <c r="N25" t="str">
        <f t="shared" si="0"/>
        <v/>
      </c>
    </row>
    <row r="26" spans="2:14" ht="18" customHeight="1" x14ac:dyDescent="0.3">
      <c r="B26" s="4" t="s">
        <v>68</v>
      </c>
      <c r="C26" s="4"/>
      <c r="D26" s="4"/>
      <c r="E26" s="4"/>
      <c r="F26" s="4"/>
      <c r="G26" s="4"/>
      <c r="H26" s="4"/>
      <c r="I26" s="4"/>
      <c r="J26" s="4"/>
      <c r="L26" s="25"/>
      <c r="N26" t="str">
        <f t="shared" si="0"/>
        <v/>
      </c>
    </row>
    <row r="27" spans="2:14" ht="18" customHeight="1" x14ac:dyDescent="0.3">
      <c r="B27" s="15" t="s">
        <v>69</v>
      </c>
      <c r="C27" s="16" t="s">
        <v>70</v>
      </c>
      <c r="D27" s="16" t="s">
        <v>71</v>
      </c>
      <c r="E27" s="13"/>
      <c r="F27" s="13"/>
      <c r="G27" s="13"/>
      <c r="H27" s="13"/>
      <c r="I27" s="14"/>
      <c r="J27" s="13"/>
      <c r="L27" s="25"/>
      <c r="N27" t="str">
        <f t="shared" si="0"/>
        <v/>
      </c>
    </row>
    <row r="28" spans="2:14" ht="18" customHeight="1" x14ac:dyDescent="0.3">
      <c r="B28" s="11" t="s">
        <v>72</v>
      </c>
      <c r="C28" s="12" t="s">
        <v>73</v>
      </c>
      <c r="D28" s="12" t="s">
        <v>74</v>
      </c>
      <c r="E28" s="13"/>
      <c r="F28" s="13"/>
      <c r="G28" s="13"/>
      <c r="H28" s="13"/>
      <c r="I28" s="14"/>
      <c r="J28" s="13"/>
      <c r="L28" s="25"/>
      <c r="N28" t="str">
        <f t="shared" si="0"/>
        <v/>
      </c>
    </row>
    <row r="29" spans="2:14" ht="18" customHeight="1" x14ac:dyDescent="0.3">
      <c r="B29" s="15" t="s">
        <v>75</v>
      </c>
      <c r="C29" s="16" t="s">
        <v>76</v>
      </c>
      <c r="D29" s="16" t="s">
        <v>77</v>
      </c>
      <c r="E29" s="13"/>
      <c r="F29" s="13"/>
      <c r="G29" s="13"/>
      <c r="H29" s="13"/>
      <c r="I29" s="14"/>
      <c r="J29" s="13"/>
      <c r="L29" s="25"/>
      <c r="N29" t="str">
        <f t="shared" si="0"/>
        <v/>
      </c>
    </row>
    <row r="30" spans="2:14" ht="9.75" customHeight="1" x14ac:dyDescent="0.3">
      <c r="L30" s="25"/>
      <c r="N30" t="str">
        <f t="shared" si="0"/>
        <v/>
      </c>
    </row>
    <row r="31" spans="2:14" ht="19.5" customHeight="1" x14ac:dyDescent="0.3">
      <c r="B31" s="17" t="s">
        <v>78</v>
      </c>
      <c r="D31" s="17" t="s">
        <v>2</v>
      </c>
      <c r="F31" s="17" t="s">
        <v>79</v>
      </c>
      <c r="H31" s="17" t="s">
        <v>2</v>
      </c>
      <c r="L31" s="25"/>
      <c r="N31" t="str">
        <f t="shared" si="0"/>
        <v/>
      </c>
    </row>
    <row r="32" spans="2:14" ht="27.75" customHeight="1" x14ac:dyDescent="0.3">
      <c r="B32" s="18"/>
      <c r="C32" s="18"/>
      <c r="D32" s="18"/>
      <c r="E32" s="18"/>
      <c r="F32" s="18"/>
      <c r="G32" s="18"/>
      <c r="H32" s="18"/>
      <c r="I32" s="18"/>
      <c r="L32" s="25"/>
      <c r="N32" t="str">
        <f t="shared" si="0"/>
        <v/>
      </c>
    </row>
    <row r="33" spans="12:14" x14ac:dyDescent="0.3">
      <c r="L33" s="25"/>
      <c r="N33" t="str">
        <f t="shared" si="0"/>
        <v/>
      </c>
    </row>
    <row r="34" spans="12:14" x14ac:dyDescent="0.3">
      <c r="L34" s="25"/>
      <c r="N34" t="str">
        <f t="shared" si="0"/>
        <v/>
      </c>
    </row>
    <row r="35" spans="12:14" x14ac:dyDescent="0.3">
      <c r="L35" s="25"/>
      <c r="N35" t="str">
        <f t="shared" si="0"/>
        <v/>
      </c>
    </row>
    <row r="36" spans="12:14" x14ac:dyDescent="0.3">
      <c r="L36" s="25"/>
      <c r="N36" t="str">
        <f t="shared" si="0"/>
        <v/>
      </c>
    </row>
    <row r="37" spans="12:14" x14ac:dyDescent="0.3">
      <c r="L37" s="25"/>
      <c r="N37" t="str">
        <f t="shared" si="0"/>
        <v/>
      </c>
    </row>
    <row r="38" spans="12:14" x14ac:dyDescent="0.3">
      <c r="L38" s="25"/>
      <c r="N38" t="str">
        <f t="shared" si="0"/>
        <v/>
      </c>
    </row>
    <row r="39" spans="12:14" x14ac:dyDescent="0.3">
      <c r="L39" s="25"/>
      <c r="N39" t="str">
        <f t="shared" si="0"/>
        <v/>
      </c>
    </row>
    <row r="40" spans="12:14" x14ac:dyDescent="0.3">
      <c r="L40" s="25"/>
      <c r="N40" t="str">
        <f t="shared" si="0"/>
        <v/>
      </c>
    </row>
    <row r="41" spans="12:14" x14ac:dyDescent="0.3">
      <c r="L41" s="25"/>
      <c r="N41" t="str">
        <f t="shared" si="0"/>
        <v/>
      </c>
    </row>
    <row r="42" spans="12:14" x14ac:dyDescent="0.3">
      <c r="L42" s="25"/>
      <c r="N42" t="str">
        <f t="shared" si="0"/>
        <v/>
      </c>
    </row>
    <row r="43" spans="12:14" x14ac:dyDescent="0.3">
      <c r="L43" s="25"/>
      <c r="N43" t="str">
        <f t="shared" si="0"/>
        <v/>
      </c>
    </row>
    <row r="44" spans="12:14" x14ac:dyDescent="0.3">
      <c r="L44" s="25"/>
      <c r="N44" t="str">
        <f t="shared" si="0"/>
        <v/>
      </c>
    </row>
    <row r="45" spans="12:14" x14ac:dyDescent="0.3">
      <c r="L45" s="25"/>
      <c r="N45" t="str">
        <f t="shared" si="0"/>
        <v/>
      </c>
    </row>
  </sheetData>
  <mergeCells count="7">
    <mergeCell ref="B23:J23"/>
    <mergeCell ref="B26:J26"/>
    <mergeCell ref="B2:J2"/>
    <mergeCell ref="B3:I3"/>
    <mergeCell ref="B7:J7"/>
    <mergeCell ref="B13:J13"/>
    <mergeCell ref="B19:J19"/>
  </mergeCells>
  <conditionalFormatting sqref="N7:N45">
    <cfRule type="cellIs" dxfId="4" priority="5" operator="greaterThanOrEqual">
      <formula>15</formula>
    </cfRule>
  </conditionalFormatting>
  <dataValidations count="6">
    <dataValidation type="list" allowBlank="1" sqref="E7:E30" xr:uid="{00000000-0002-0000-0000-000000000000}">
      <formula1>"✓,✗,N/A"</formula1>
      <formula2>0</formula2>
    </dataValidation>
    <dataValidation type="list" allowBlank="1" sqref="H7:H30" xr:uid="{00000000-0002-0000-0000-000001000000}">
      <formula1>"Pass,Fail,N/A"</formula1>
      <formula2>0</formula2>
    </dataValidation>
    <dataValidation type="list" sqref="K7:K45" xr:uid="{00000000-0002-0000-0000-000002000000}">
      <formula1>"Critical,High,Medium,Low,Monitor"</formula1>
    </dataValidation>
    <dataValidation type="list" sqref="M7:M45" xr:uid="{00000000-0002-0000-0000-000003000000}">
      <formula1>"Open,In Progress,Complete,Overdue,Deferred,Verified"</formula1>
    </dataValidation>
    <dataValidation type="list" sqref="E7:E45" xr:uid="{00000000-0002-0000-0000-000004000000}">
      <formula1>"✓,✗,N/A,Monitor"</formula1>
    </dataValidation>
    <dataValidation type="list" sqref="H7:H45" xr:uid="{00000000-0002-0000-0000-000005000000}">
      <formula1>"Pass,Fail,N/A,Monitor"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A020"/>
  </sheetPr>
  <dimension ref="A1:O45"/>
  <sheetViews>
    <sheetView showGridLines="0" workbookViewId="0"/>
  </sheetViews>
  <sheetFormatPr defaultColWidth="8.6640625" defaultRowHeight="14.4" x14ac:dyDescent="0.3"/>
  <cols>
    <col min="1" max="1" width="2" customWidth="1"/>
    <col min="2" max="2" width="8" customWidth="1"/>
    <col min="3" max="4" width="28" customWidth="1"/>
    <col min="5" max="5" width="14" customWidth="1"/>
    <col min="6" max="8" width="10" customWidth="1"/>
    <col min="9" max="9" width="14" customWidth="1"/>
    <col min="10" max="10" width="22" customWidth="1"/>
    <col min="11" max="12" width="12" customWidth="1"/>
    <col min="13" max="13" width="14" customWidth="1"/>
    <col min="14" max="14" width="11" customWidth="1"/>
    <col min="15" max="15" width="16" customWidth="1"/>
  </cols>
  <sheetData>
    <row r="1" spans="1:15" ht="7.5" customHeight="1" x14ac:dyDescent="0.3"/>
    <row r="2" spans="1:15" ht="36" customHeight="1" x14ac:dyDescent="0.3">
      <c r="A2" s="7"/>
      <c r="B2" s="6" t="s">
        <v>80</v>
      </c>
      <c r="C2" s="6"/>
      <c r="D2" s="6"/>
      <c r="E2" s="6"/>
      <c r="F2" s="6"/>
      <c r="G2" s="6"/>
      <c r="H2" s="6"/>
      <c r="I2" s="6"/>
      <c r="J2" s="6"/>
    </row>
    <row r="3" spans="1:15" ht="18" customHeight="1" x14ac:dyDescent="0.3">
      <c r="B3" s="5" t="s">
        <v>1</v>
      </c>
      <c r="C3" s="5"/>
      <c r="D3" s="5"/>
      <c r="E3" s="5"/>
      <c r="F3" s="5"/>
      <c r="G3" s="5"/>
      <c r="H3" s="5"/>
      <c r="I3" s="5"/>
    </row>
    <row r="4" spans="1:15" ht="19.5" customHeight="1" x14ac:dyDescent="0.3">
      <c r="B4" s="8" t="s">
        <v>2</v>
      </c>
      <c r="C4" s="9"/>
      <c r="D4" s="8" t="s">
        <v>3</v>
      </c>
      <c r="E4" s="9"/>
      <c r="F4" s="8" t="s">
        <v>4</v>
      </c>
      <c r="G4" s="9"/>
      <c r="H4" s="8" t="s">
        <v>5</v>
      </c>
      <c r="I4" s="9"/>
    </row>
    <row r="5" spans="1:15" ht="19.5" customHeight="1" x14ac:dyDescent="0.3">
      <c r="B5" s="8" t="s">
        <v>6</v>
      </c>
      <c r="C5" s="9"/>
      <c r="D5" s="8" t="s">
        <v>7</v>
      </c>
      <c r="E5" s="9"/>
      <c r="F5" s="8" t="s">
        <v>8</v>
      </c>
      <c r="G5" s="9"/>
      <c r="H5" s="8" t="s">
        <v>9</v>
      </c>
      <c r="I5" s="9"/>
    </row>
    <row r="6" spans="1:15" ht="21.75" customHeight="1" x14ac:dyDescent="0.3">
      <c r="B6" s="10" t="s">
        <v>10</v>
      </c>
      <c r="C6" s="10" t="s">
        <v>11</v>
      </c>
      <c r="D6" s="10" t="s">
        <v>12</v>
      </c>
      <c r="E6" s="10" t="s">
        <v>13</v>
      </c>
      <c r="F6" s="10" t="s">
        <v>14</v>
      </c>
      <c r="G6" s="10" t="s">
        <v>15</v>
      </c>
      <c r="H6" s="10" t="s">
        <v>16</v>
      </c>
      <c r="I6" s="10" t="s">
        <v>17</v>
      </c>
      <c r="J6" s="10" t="s">
        <v>18</v>
      </c>
      <c r="K6" s="24" t="s">
        <v>181</v>
      </c>
      <c r="L6" s="24" t="s">
        <v>182</v>
      </c>
      <c r="M6" s="24" t="s">
        <v>183</v>
      </c>
      <c r="N6" s="24" t="s">
        <v>184</v>
      </c>
      <c r="O6" s="24" t="s">
        <v>185</v>
      </c>
    </row>
    <row r="7" spans="1:15" ht="18" customHeight="1" x14ac:dyDescent="0.3">
      <c r="B7" s="4" t="s">
        <v>19</v>
      </c>
      <c r="C7" s="4"/>
      <c r="D7" s="4"/>
      <c r="E7" s="4"/>
      <c r="F7" s="4"/>
      <c r="G7" s="4"/>
      <c r="H7" s="4"/>
      <c r="I7" s="4"/>
      <c r="J7" s="4"/>
      <c r="L7" s="25"/>
      <c r="N7" t="str">
        <f t="shared" ref="N7:N45" si="0">IF($E7="✗",IF(K7="Critical",25,IF(K7="High",15,IF(K7="Medium",8,IF(K7="Low",4,1)))),"")</f>
        <v/>
      </c>
    </row>
    <row r="8" spans="1:15" ht="18" customHeight="1" x14ac:dyDescent="0.3">
      <c r="B8" s="11" t="s">
        <v>20</v>
      </c>
      <c r="C8" s="12" t="s">
        <v>81</v>
      </c>
      <c r="D8" s="12" t="s">
        <v>82</v>
      </c>
      <c r="E8" s="13"/>
      <c r="F8" s="13"/>
      <c r="G8" s="13"/>
      <c r="H8" s="13"/>
      <c r="I8" s="14"/>
      <c r="J8" s="13"/>
      <c r="L8" s="25"/>
      <c r="N8" t="str">
        <f t="shared" si="0"/>
        <v/>
      </c>
    </row>
    <row r="9" spans="1:15" ht="18" customHeight="1" x14ac:dyDescent="0.3">
      <c r="B9" s="15" t="s">
        <v>23</v>
      </c>
      <c r="C9" s="16" t="s">
        <v>83</v>
      </c>
      <c r="D9" s="16" t="s">
        <v>84</v>
      </c>
      <c r="E9" s="13"/>
      <c r="F9" s="13"/>
      <c r="G9" s="13"/>
      <c r="H9" s="13"/>
      <c r="I9" s="14"/>
      <c r="J9" s="13"/>
      <c r="L9" s="25"/>
      <c r="N9" t="str">
        <f t="shared" si="0"/>
        <v/>
      </c>
    </row>
    <row r="10" spans="1:15" ht="18" customHeight="1" x14ac:dyDescent="0.3">
      <c r="B10" s="11" t="s">
        <v>26</v>
      </c>
      <c r="C10" s="12" t="s">
        <v>85</v>
      </c>
      <c r="D10" s="12" t="s">
        <v>86</v>
      </c>
      <c r="E10" s="13"/>
      <c r="F10" s="13"/>
      <c r="G10" s="13"/>
      <c r="H10" s="13"/>
      <c r="I10" s="14"/>
      <c r="J10" s="13"/>
      <c r="L10" s="25"/>
      <c r="N10" t="str">
        <f t="shared" si="0"/>
        <v/>
      </c>
    </row>
    <row r="11" spans="1:15" ht="18" customHeight="1" x14ac:dyDescent="0.3">
      <c r="B11" s="4" t="s">
        <v>35</v>
      </c>
      <c r="C11" s="4"/>
      <c r="D11" s="4"/>
      <c r="E11" s="4"/>
      <c r="F11" s="4"/>
      <c r="G11" s="4"/>
      <c r="H11" s="4"/>
      <c r="I11" s="4"/>
      <c r="J11" s="4"/>
      <c r="L11" s="25"/>
      <c r="N11" t="str">
        <f t="shared" si="0"/>
        <v/>
      </c>
    </row>
    <row r="12" spans="1:15" ht="18" customHeight="1" x14ac:dyDescent="0.3">
      <c r="B12" s="15" t="s">
        <v>29</v>
      </c>
      <c r="C12" s="16" t="s">
        <v>87</v>
      </c>
      <c r="D12" s="16" t="s">
        <v>88</v>
      </c>
      <c r="E12" s="13"/>
      <c r="F12" s="13"/>
      <c r="G12" s="13"/>
      <c r="H12" s="13"/>
      <c r="I12" s="14"/>
      <c r="J12" s="13"/>
      <c r="L12" s="25"/>
      <c r="N12" t="str">
        <f t="shared" si="0"/>
        <v/>
      </c>
    </row>
    <row r="13" spans="1:15" ht="18" customHeight="1" x14ac:dyDescent="0.3">
      <c r="B13" s="11" t="s">
        <v>32</v>
      </c>
      <c r="C13" s="12" t="s">
        <v>89</v>
      </c>
      <c r="D13" s="12" t="s">
        <v>90</v>
      </c>
      <c r="E13" s="13"/>
      <c r="F13" s="13"/>
      <c r="G13" s="13"/>
      <c r="H13" s="13"/>
      <c r="I13" s="14"/>
      <c r="J13" s="13"/>
      <c r="L13" s="25"/>
      <c r="N13" t="str">
        <f t="shared" si="0"/>
        <v/>
      </c>
    </row>
    <row r="14" spans="1:15" ht="18" customHeight="1" x14ac:dyDescent="0.3">
      <c r="B14" s="15" t="s">
        <v>36</v>
      </c>
      <c r="C14" s="16" t="s">
        <v>91</v>
      </c>
      <c r="D14" s="16" t="s">
        <v>92</v>
      </c>
      <c r="E14" s="13"/>
      <c r="F14" s="13"/>
      <c r="G14" s="13"/>
      <c r="H14" s="13"/>
      <c r="I14" s="14"/>
      <c r="J14" s="13"/>
      <c r="L14" s="25"/>
      <c r="N14" t="str">
        <f t="shared" si="0"/>
        <v/>
      </c>
    </row>
    <row r="15" spans="1:15" ht="18" customHeight="1" x14ac:dyDescent="0.3">
      <c r="B15" s="11" t="s">
        <v>39</v>
      </c>
      <c r="C15" s="12" t="s">
        <v>93</v>
      </c>
      <c r="D15" s="12" t="s">
        <v>94</v>
      </c>
      <c r="E15" s="13"/>
      <c r="F15" s="13"/>
      <c r="G15" s="13"/>
      <c r="H15" s="13"/>
      <c r="I15" s="14"/>
      <c r="J15" s="13"/>
      <c r="L15" s="25"/>
      <c r="N15" t="str">
        <f t="shared" si="0"/>
        <v/>
      </c>
    </row>
    <row r="16" spans="1:15" ht="18" customHeight="1" x14ac:dyDescent="0.3">
      <c r="B16" s="4" t="s">
        <v>95</v>
      </c>
      <c r="C16" s="4"/>
      <c r="D16" s="4"/>
      <c r="E16" s="4"/>
      <c r="F16" s="4"/>
      <c r="G16" s="4"/>
      <c r="H16" s="4"/>
      <c r="I16" s="4"/>
      <c r="J16" s="4"/>
      <c r="L16" s="25"/>
      <c r="N16" t="str">
        <f t="shared" si="0"/>
        <v/>
      </c>
    </row>
    <row r="17" spans="2:14" ht="18" customHeight="1" x14ac:dyDescent="0.3">
      <c r="B17" s="15" t="s">
        <v>42</v>
      </c>
      <c r="C17" s="16" t="s">
        <v>96</v>
      </c>
      <c r="D17" s="16" t="s">
        <v>97</v>
      </c>
      <c r="E17" s="13"/>
      <c r="F17" s="13"/>
      <c r="G17" s="13"/>
      <c r="H17" s="13"/>
      <c r="I17" s="14"/>
      <c r="J17" s="13"/>
      <c r="L17" s="25"/>
      <c r="N17" t="str">
        <f t="shared" si="0"/>
        <v/>
      </c>
    </row>
    <row r="18" spans="2:14" ht="18" customHeight="1" x14ac:dyDescent="0.3">
      <c r="B18" s="11" t="s">
        <v>45</v>
      </c>
      <c r="C18" s="12" t="s">
        <v>98</v>
      </c>
      <c r="D18" s="12" t="s">
        <v>99</v>
      </c>
      <c r="E18" s="13"/>
      <c r="F18" s="13"/>
      <c r="G18" s="13"/>
      <c r="H18" s="13"/>
      <c r="I18" s="14"/>
      <c r="J18" s="13"/>
      <c r="L18" s="25"/>
      <c r="N18" t="str">
        <f t="shared" si="0"/>
        <v/>
      </c>
    </row>
    <row r="19" spans="2:14" ht="18" customHeight="1" x14ac:dyDescent="0.3">
      <c r="B19" s="15" t="s">
        <v>48</v>
      </c>
      <c r="C19" s="16" t="s">
        <v>100</v>
      </c>
      <c r="D19" s="16" t="s">
        <v>101</v>
      </c>
      <c r="E19" s="13"/>
      <c r="F19" s="13"/>
      <c r="G19" s="13"/>
      <c r="H19" s="13"/>
      <c r="I19" s="14"/>
      <c r="J19" s="13"/>
      <c r="L19" s="25"/>
      <c r="N19" t="str">
        <f t="shared" si="0"/>
        <v/>
      </c>
    </row>
    <row r="20" spans="2:14" ht="18" customHeight="1" x14ac:dyDescent="0.3">
      <c r="B20" s="4" t="s">
        <v>61</v>
      </c>
      <c r="C20" s="4"/>
      <c r="D20" s="4"/>
      <c r="E20" s="4"/>
      <c r="F20" s="4"/>
      <c r="G20" s="4"/>
      <c r="H20" s="4"/>
      <c r="I20" s="4"/>
      <c r="J20" s="4"/>
      <c r="L20" s="25"/>
      <c r="N20" t="str">
        <f t="shared" si="0"/>
        <v/>
      </c>
    </row>
    <row r="21" spans="2:14" ht="18" customHeight="1" x14ac:dyDescent="0.3">
      <c r="B21" s="11" t="s">
        <v>52</v>
      </c>
      <c r="C21" s="12" t="s">
        <v>102</v>
      </c>
      <c r="D21" s="12" t="s">
        <v>103</v>
      </c>
      <c r="E21" s="13"/>
      <c r="F21" s="13"/>
      <c r="G21" s="13"/>
      <c r="H21" s="13"/>
      <c r="I21" s="14"/>
      <c r="J21" s="13"/>
      <c r="L21" s="25"/>
      <c r="N21" t="str">
        <f t="shared" si="0"/>
        <v/>
      </c>
    </row>
    <row r="22" spans="2:14" ht="18" customHeight="1" x14ac:dyDescent="0.3">
      <c r="B22" s="15" t="s">
        <v>55</v>
      </c>
      <c r="C22" s="16" t="s">
        <v>104</v>
      </c>
      <c r="D22" s="16" t="s">
        <v>105</v>
      </c>
      <c r="E22" s="13"/>
      <c r="F22" s="13"/>
      <c r="G22" s="13"/>
      <c r="H22" s="13"/>
      <c r="I22" s="14"/>
      <c r="J22" s="13"/>
      <c r="L22" s="25"/>
      <c r="N22" t="str">
        <f t="shared" si="0"/>
        <v/>
      </c>
    </row>
    <row r="23" spans="2:14" ht="18" customHeight="1" x14ac:dyDescent="0.3">
      <c r="B23" s="4" t="s">
        <v>51</v>
      </c>
      <c r="C23" s="4"/>
      <c r="D23" s="4"/>
      <c r="E23" s="4"/>
      <c r="F23" s="4"/>
      <c r="G23" s="4"/>
      <c r="H23" s="4"/>
      <c r="I23" s="4"/>
      <c r="J23" s="4"/>
      <c r="L23" s="25"/>
      <c r="N23" t="str">
        <f t="shared" si="0"/>
        <v/>
      </c>
    </row>
    <row r="24" spans="2:14" ht="18" customHeight="1" x14ac:dyDescent="0.3">
      <c r="B24" s="11" t="s">
        <v>58</v>
      </c>
      <c r="C24" s="12" t="s">
        <v>106</v>
      </c>
      <c r="D24" s="12" t="s">
        <v>107</v>
      </c>
      <c r="E24" s="13"/>
      <c r="F24" s="13"/>
      <c r="G24" s="13"/>
      <c r="H24" s="13"/>
      <c r="I24" s="14"/>
      <c r="J24" s="13"/>
      <c r="L24" s="25"/>
      <c r="N24" t="str">
        <f t="shared" si="0"/>
        <v/>
      </c>
    </row>
    <row r="25" spans="2:14" ht="18" customHeight="1" x14ac:dyDescent="0.3">
      <c r="B25" s="15" t="s">
        <v>62</v>
      </c>
      <c r="C25" s="16" t="s">
        <v>108</v>
      </c>
      <c r="D25" s="16" t="s">
        <v>109</v>
      </c>
      <c r="E25" s="13"/>
      <c r="F25" s="13"/>
      <c r="G25" s="13"/>
      <c r="H25" s="13"/>
      <c r="I25" s="14"/>
      <c r="J25" s="13"/>
      <c r="L25" s="25"/>
      <c r="N25" t="str">
        <f t="shared" si="0"/>
        <v/>
      </c>
    </row>
    <row r="26" spans="2:14" ht="18" customHeight="1" x14ac:dyDescent="0.3">
      <c r="B26" s="4" t="s">
        <v>110</v>
      </c>
      <c r="C26" s="4"/>
      <c r="D26" s="4"/>
      <c r="E26" s="4"/>
      <c r="F26" s="4"/>
      <c r="G26" s="4"/>
      <c r="H26" s="4"/>
      <c r="I26" s="4"/>
      <c r="J26" s="4"/>
      <c r="L26" s="25"/>
      <c r="N26" t="str">
        <f t="shared" si="0"/>
        <v/>
      </c>
    </row>
    <row r="27" spans="2:14" ht="18" customHeight="1" x14ac:dyDescent="0.3">
      <c r="B27" s="11" t="s">
        <v>65</v>
      </c>
      <c r="C27" s="12" t="s">
        <v>111</v>
      </c>
      <c r="D27" s="12" t="s">
        <v>112</v>
      </c>
      <c r="E27" s="13"/>
      <c r="F27" s="13"/>
      <c r="G27" s="13"/>
      <c r="H27" s="13"/>
      <c r="I27" s="14"/>
      <c r="J27" s="13"/>
      <c r="L27" s="25"/>
      <c r="N27" t="str">
        <f t="shared" si="0"/>
        <v/>
      </c>
    </row>
    <row r="28" spans="2:14" ht="18" customHeight="1" x14ac:dyDescent="0.3">
      <c r="B28" s="15" t="s">
        <v>69</v>
      </c>
      <c r="C28" s="16" t="s">
        <v>113</v>
      </c>
      <c r="D28" s="16" t="s">
        <v>114</v>
      </c>
      <c r="E28" s="13"/>
      <c r="F28" s="13"/>
      <c r="G28" s="13"/>
      <c r="H28" s="13"/>
      <c r="I28" s="14"/>
      <c r="J28" s="13"/>
      <c r="L28" s="25"/>
      <c r="N28" t="str">
        <f t="shared" si="0"/>
        <v/>
      </c>
    </row>
    <row r="29" spans="2:14" ht="9.75" customHeight="1" x14ac:dyDescent="0.3">
      <c r="L29" s="25"/>
      <c r="N29" t="str">
        <f t="shared" si="0"/>
        <v/>
      </c>
    </row>
    <row r="30" spans="2:14" ht="19.5" customHeight="1" x14ac:dyDescent="0.3">
      <c r="B30" s="17" t="s">
        <v>78</v>
      </c>
      <c r="D30" s="17" t="s">
        <v>2</v>
      </c>
      <c r="F30" s="17" t="s">
        <v>79</v>
      </c>
      <c r="H30" s="17" t="s">
        <v>2</v>
      </c>
      <c r="L30" s="25"/>
      <c r="N30" t="str">
        <f t="shared" si="0"/>
        <v/>
      </c>
    </row>
    <row r="31" spans="2:14" ht="27.75" customHeight="1" x14ac:dyDescent="0.3">
      <c r="B31" s="18"/>
      <c r="C31" s="18"/>
      <c r="D31" s="18"/>
      <c r="E31" s="18"/>
      <c r="F31" s="18"/>
      <c r="G31" s="18"/>
      <c r="H31" s="18"/>
      <c r="I31" s="18"/>
      <c r="L31" s="25"/>
      <c r="N31" t="str">
        <f t="shared" si="0"/>
        <v/>
      </c>
    </row>
    <row r="32" spans="2:14" x14ac:dyDescent="0.3">
      <c r="L32" s="25"/>
      <c r="N32" t="str">
        <f t="shared" si="0"/>
        <v/>
      </c>
    </row>
    <row r="33" spans="12:14" x14ac:dyDescent="0.3">
      <c r="L33" s="25"/>
      <c r="N33" t="str">
        <f t="shared" si="0"/>
        <v/>
      </c>
    </row>
    <row r="34" spans="12:14" x14ac:dyDescent="0.3">
      <c r="L34" s="25"/>
      <c r="N34" t="str">
        <f t="shared" si="0"/>
        <v/>
      </c>
    </row>
    <row r="35" spans="12:14" x14ac:dyDescent="0.3">
      <c r="L35" s="25"/>
      <c r="N35" t="str">
        <f t="shared" si="0"/>
        <v/>
      </c>
    </row>
    <row r="36" spans="12:14" x14ac:dyDescent="0.3">
      <c r="L36" s="25"/>
      <c r="N36" t="str">
        <f t="shared" si="0"/>
        <v/>
      </c>
    </row>
    <row r="37" spans="12:14" x14ac:dyDescent="0.3">
      <c r="L37" s="25"/>
      <c r="N37" t="str">
        <f t="shared" si="0"/>
        <v/>
      </c>
    </row>
    <row r="38" spans="12:14" x14ac:dyDescent="0.3">
      <c r="L38" s="25"/>
      <c r="N38" t="str">
        <f t="shared" si="0"/>
        <v/>
      </c>
    </row>
    <row r="39" spans="12:14" x14ac:dyDescent="0.3">
      <c r="L39" s="25"/>
      <c r="N39" t="str">
        <f t="shared" si="0"/>
        <v/>
      </c>
    </row>
    <row r="40" spans="12:14" x14ac:dyDescent="0.3">
      <c r="L40" s="25"/>
      <c r="N40" t="str">
        <f t="shared" si="0"/>
        <v/>
      </c>
    </row>
    <row r="41" spans="12:14" x14ac:dyDescent="0.3">
      <c r="L41" s="25"/>
      <c r="N41" t="str">
        <f t="shared" si="0"/>
        <v/>
      </c>
    </row>
    <row r="42" spans="12:14" x14ac:dyDescent="0.3">
      <c r="L42" s="25"/>
      <c r="N42" t="str">
        <f t="shared" si="0"/>
        <v/>
      </c>
    </row>
    <row r="43" spans="12:14" x14ac:dyDescent="0.3">
      <c r="L43" s="25"/>
      <c r="N43" t="str">
        <f t="shared" si="0"/>
        <v/>
      </c>
    </row>
    <row r="44" spans="12:14" x14ac:dyDescent="0.3">
      <c r="L44" s="25"/>
      <c r="N44" t="str">
        <f t="shared" si="0"/>
        <v/>
      </c>
    </row>
    <row r="45" spans="12:14" x14ac:dyDescent="0.3">
      <c r="L45" s="25"/>
      <c r="N45" t="str">
        <f t="shared" si="0"/>
        <v/>
      </c>
    </row>
  </sheetData>
  <mergeCells count="8">
    <mergeCell ref="B20:J20"/>
    <mergeCell ref="B23:J23"/>
    <mergeCell ref="B26:J26"/>
    <mergeCell ref="B2:J2"/>
    <mergeCell ref="B3:I3"/>
    <mergeCell ref="B7:J7"/>
    <mergeCell ref="B11:J11"/>
    <mergeCell ref="B16:J16"/>
  </mergeCells>
  <conditionalFormatting sqref="N7:N45">
    <cfRule type="cellIs" dxfId="3" priority="5" operator="greaterThanOrEqual">
      <formula>15</formula>
    </cfRule>
  </conditionalFormatting>
  <dataValidations count="6">
    <dataValidation type="list" allowBlank="1" sqref="E7:E28" xr:uid="{00000000-0002-0000-0100-000000000000}">
      <formula1>"✓,✗,N/A"</formula1>
      <formula2>0</formula2>
    </dataValidation>
    <dataValidation type="list" allowBlank="1" sqref="H7:H28" xr:uid="{00000000-0002-0000-0100-000001000000}">
      <formula1>"Pass,Fail,N/A"</formula1>
      <formula2>0</formula2>
    </dataValidation>
    <dataValidation type="list" sqref="K7:K45" xr:uid="{00000000-0002-0000-0100-000002000000}">
      <formula1>"Critical,High,Medium,Low,Monitor"</formula1>
    </dataValidation>
    <dataValidation type="list" sqref="M7:M45" xr:uid="{00000000-0002-0000-0100-000003000000}">
      <formula1>"Open,In Progress,Complete,Overdue,Deferred,Verified"</formula1>
    </dataValidation>
    <dataValidation type="list" sqref="E7:E45" xr:uid="{00000000-0002-0000-0100-000004000000}">
      <formula1>"✓,✗,N/A,Monitor"</formula1>
    </dataValidation>
    <dataValidation type="list" sqref="H7:H45" xr:uid="{00000000-0002-0000-0100-000005000000}">
      <formula1>"Pass,Fail,N/A,Monitor"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A020"/>
  </sheetPr>
  <dimension ref="A1:O45"/>
  <sheetViews>
    <sheetView showGridLines="0" workbookViewId="0"/>
  </sheetViews>
  <sheetFormatPr defaultColWidth="8.6640625" defaultRowHeight="14.4" x14ac:dyDescent="0.3"/>
  <cols>
    <col min="1" max="1" width="2" customWidth="1"/>
    <col min="2" max="2" width="8" customWidth="1"/>
    <col min="3" max="4" width="28" customWidth="1"/>
    <col min="5" max="5" width="14" customWidth="1"/>
    <col min="6" max="8" width="10" customWidth="1"/>
    <col min="9" max="9" width="14" customWidth="1"/>
    <col min="10" max="10" width="22" customWidth="1"/>
    <col min="11" max="12" width="12" customWidth="1"/>
    <col min="13" max="13" width="14" customWidth="1"/>
    <col min="14" max="14" width="11" customWidth="1"/>
    <col min="15" max="15" width="16" customWidth="1"/>
  </cols>
  <sheetData>
    <row r="1" spans="1:15" ht="7.5" customHeight="1" x14ac:dyDescent="0.3"/>
    <row r="2" spans="1:15" ht="36" customHeight="1" x14ac:dyDescent="0.3">
      <c r="A2" s="7"/>
      <c r="B2" s="6" t="s">
        <v>115</v>
      </c>
      <c r="C2" s="6"/>
      <c r="D2" s="6"/>
      <c r="E2" s="6"/>
      <c r="F2" s="6"/>
      <c r="G2" s="6"/>
      <c r="H2" s="6"/>
      <c r="I2" s="6"/>
      <c r="J2" s="6"/>
    </row>
    <row r="3" spans="1:15" ht="18" customHeight="1" x14ac:dyDescent="0.3">
      <c r="B3" s="5" t="s">
        <v>1</v>
      </c>
      <c r="C3" s="5"/>
      <c r="D3" s="5"/>
      <c r="E3" s="5"/>
      <c r="F3" s="5"/>
      <c r="G3" s="5"/>
      <c r="H3" s="5"/>
      <c r="I3" s="5"/>
    </row>
    <row r="4" spans="1:15" ht="19.5" customHeight="1" x14ac:dyDescent="0.3">
      <c r="B4" s="8" t="s">
        <v>2</v>
      </c>
      <c r="C4" s="9"/>
      <c r="D4" s="8" t="s">
        <v>3</v>
      </c>
      <c r="E4" s="9"/>
      <c r="F4" s="8" t="s">
        <v>4</v>
      </c>
      <c r="G4" s="9"/>
      <c r="H4" s="8" t="s">
        <v>5</v>
      </c>
      <c r="I4" s="9"/>
    </row>
    <row r="5" spans="1:15" ht="19.5" customHeight="1" x14ac:dyDescent="0.3">
      <c r="B5" s="8" t="s">
        <v>6</v>
      </c>
      <c r="C5" s="9"/>
      <c r="D5" s="8" t="s">
        <v>7</v>
      </c>
      <c r="E5" s="9"/>
      <c r="F5" s="8" t="s">
        <v>8</v>
      </c>
      <c r="G5" s="9"/>
      <c r="H5" s="8" t="s">
        <v>9</v>
      </c>
      <c r="I5" s="9"/>
    </row>
    <row r="6" spans="1:15" ht="21.75" customHeight="1" x14ac:dyDescent="0.3">
      <c r="B6" s="10" t="s">
        <v>10</v>
      </c>
      <c r="C6" s="10" t="s">
        <v>11</v>
      </c>
      <c r="D6" s="10" t="s">
        <v>12</v>
      </c>
      <c r="E6" s="10" t="s">
        <v>13</v>
      </c>
      <c r="F6" s="10" t="s">
        <v>14</v>
      </c>
      <c r="G6" s="10" t="s">
        <v>15</v>
      </c>
      <c r="H6" s="10" t="s">
        <v>16</v>
      </c>
      <c r="I6" s="10" t="s">
        <v>17</v>
      </c>
      <c r="J6" s="10" t="s">
        <v>18</v>
      </c>
      <c r="K6" s="24" t="s">
        <v>181</v>
      </c>
      <c r="L6" s="24" t="s">
        <v>182</v>
      </c>
      <c r="M6" s="24" t="s">
        <v>183</v>
      </c>
      <c r="N6" s="24" t="s">
        <v>184</v>
      </c>
      <c r="O6" s="24" t="s">
        <v>185</v>
      </c>
    </row>
    <row r="7" spans="1:15" ht="18" customHeight="1" x14ac:dyDescent="0.3">
      <c r="B7" s="4" t="s">
        <v>19</v>
      </c>
      <c r="C7" s="4"/>
      <c r="D7" s="4"/>
      <c r="E7" s="4"/>
      <c r="F7" s="4"/>
      <c r="G7" s="4"/>
      <c r="H7" s="4"/>
      <c r="I7" s="4"/>
      <c r="J7" s="4"/>
      <c r="L7" s="25"/>
      <c r="N7" t="str">
        <f t="shared" ref="N7:N45" si="0">IF($E7="✗",IF(K7="Critical",25,IF(K7="High",15,IF(K7="Medium",8,IF(K7="Low",4,1)))),"")</f>
        <v/>
      </c>
    </row>
    <row r="8" spans="1:15" ht="18" customHeight="1" x14ac:dyDescent="0.3">
      <c r="B8" s="11" t="s">
        <v>20</v>
      </c>
      <c r="C8" s="12" t="s">
        <v>116</v>
      </c>
      <c r="D8" s="12" t="s">
        <v>117</v>
      </c>
      <c r="E8" s="13"/>
      <c r="F8" s="13"/>
      <c r="G8" s="13"/>
      <c r="H8" s="13"/>
      <c r="I8" s="14"/>
      <c r="J8" s="13"/>
      <c r="L8" s="25"/>
      <c r="N8" t="str">
        <f t="shared" si="0"/>
        <v/>
      </c>
    </row>
    <row r="9" spans="1:15" ht="18" customHeight="1" x14ac:dyDescent="0.3">
      <c r="B9" s="15" t="s">
        <v>23</v>
      </c>
      <c r="C9" s="16" t="s">
        <v>118</v>
      </c>
      <c r="D9" s="16" t="s">
        <v>119</v>
      </c>
      <c r="E9" s="13"/>
      <c r="F9" s="13"/>
      <c r="G9" s="13"/>
      <c r="H9" s="13"/>
      <c r="I9" s="14"/>
      <c r="J9" s="13"/>
      <c r="L9" s="25"/>
      <c r="N9" t="str">
        <f t="shared" si="0"/>
        <v/>
      </c>
    </row>
    <row r="10" spans="1:15" ht="18" customHeight="1" x14ac:dyDescent="0.3">
      <c r="B10" s="11" t="s">
        <v>26</v>
      </c>
      <c r="C10" s="12" t="s">
        <v>120</v>
      </c>
      <c r="D10" s="12" t="s">
        <v>121</v>
      </c>
      <c r="E10" s="13"/>
      <c r="F10" s="13"/>
      <c r="G10" s="13"/>
      <c r="H10" s="13"/>
      <c r="I10" s="14"/>
      <c r="J10" s="13"/>
      <c r="L10" s="25"/>
      <c r="N10" t="str">
        <f t="shared" si="0"/>
        <v/>
      </c>
    </row>
    <row r="11" spans="1:15" ht="18" customHeight="1" x14ac:dyDescent="0.3">
      <c r="B11" s="4" t="s">
        <v>95</v>
      </c>
      <c r="C11" s="4"/>
      <c r="D11" s="4"/>
      <c r="E11" s="4"/>
      <c r="F11" s="4"/>
      <c r="G11" s="4"/>
      <c r="H11" s="4"/>
      <c r="I11" s="4"/>
      <c r="J11" s="4"/>
      <c r="L11" s="25"/>
      <c r="N11" t="str">
        <f t="shared" si="0"/>
        <v/>
      </c>
    </row>
    <row r="12" spans="1:15" ht="18" customHeight="1" x14ac:dyDescent="0.3">
      <c r="B12" s="15" t="s">
        <v>29</v>
      </c>
      <c r="C12" s="16" t="s">
        <v>122</v>
      </c>
      <c r="D12" s="16" t="s">
        <v>123</v>
      </c>
      <c r="E12" s="13"/>
      <c r="F12" s="13"/>
      <c r="G12" s="13"/>
      <c r="H12" s="13"/>
      <c r="I12" s="14"/>
      <c r="J12" s="13"/>
      <c r="L12" s="25"/>
      <c r="N12" t="str">
        <f t="shared" si="0"/>
        <v/>
      </c>
    </row>
    <row r="13" spans="1:15" ht="18" customHeight="1" x14ac:dyDescent="0.3">
      <c r="B13" s="11" t="s">
        <v>32</v>
      </c>
      <c r="C13" s="12" t="s">
        <v>124</v>
      </c>
      <c r="D13" s="12" t="s">
        <v>125</v>
      </c>
      <c r="E13" s="13"/>
      <c r="F13" s="13"/>
      <c r="G13" s="13"/>
      <c r="H13" s="13"/>
      <c r="I13" s="14"/>
      <c r="J13" s="13"/>
      <c r="L13" s="25"/>
      <c r="N13" t="str">
        <f t="shared" si="0"/>
        <v/>
      </c>
    </row>
    <row r="14" spans="1:15" ht="18" customHeight="1" x14ac:dyDescent="0.3">
      <c r="B14" s="15" t="s">
        <v>36</v>
      </c>
      <c r="C14" s="16" t="s">
        <v>126</v>
      </c>
      <c r="D14" s="16" t="s">
        <v>127</v>
      </c>
      <c r="E14" s="13"/>
      <c r="F14" s="13"/>
      <c r="G14" s="13"/>
      <c r="H14" s="13"/>
      <c r="I14" s="14"/>
      <c r="J14" s="13"/>
      <c r="L14" s="25"/>
      <c r="N14" t="str">
        <f t="shared" si="0"/>
        <v/>
      </c>
    </row>
    <row r="15" spans="1:15" ht="18" customHeight="1" x14ac:dyDescent="0.3">
      <c r="B15" s="4" t="s">
        <v>35</v>
      </c>
      <c r="C15" s="4"/>
      <c r="D15" s="4"/>
      <c r="E15" s="4"/>
      <c r="F15" s="4"/>
      <c r="G15" s="4"/>
      <c r="H15" s="4"/>
      <c r="I15" s="4"/>
      <c r="J15" s="4"/>
      <c r="L15" s="25"/>
      <c r="N15" t="str">
        <f t="shared" si="0"/>
        <v/>
      </c>
    </row>
    <row r="16" spans="1:15" ht="18" customHeight="1" x14ac:dyDescent="0.3">
      <c r="B16" s="11" t="s">
        <v>39</v>
      </c>
      <c r="C16" s="12" t="s">
        <v>128</v>
      </c>
      <c r="D16" s="12" t="s">
        <v>129</v>
      </c>
      <c r="E16" s="13"/>
      <c r="F16" s="13"/>
      <c r="G16" s="13"/>
      <c r="H16" s="13"/>
      <c r="I16" s="14"/>
      <c r="J16" s="13"/>
      <c r="L16" s="25"/>
      <c r="N16" t="str">
        <f t="shared" si="0"/>
        <v/>
      </c>
    </row>
    <row r="17" spans="2:14" ht="18" customHeight="1" x14ac:dyDescent="0.3">
      <c r="B17" s="15" t="s">
        <v>42</v>
      </c>
      <c r="C17" s="16" t="s">
        <v>130</v>
      </c>
      <c r="D17" s="16" t="s">
        <v>131</v>
      </c>
      <c r="E17" s="13"/>
      <c r="F17" s="13"/>
      <c r="G17" s="13"/>
      <c r="H17" s="13"/>
      <c r="I17" s="14"/>
      <c r="J17" s="13"/>
      <c r="L17" s="25"/>
      <c r="N17" t="str">
        <f t="shared" si="0"/>
        <v/>
      </c>
    </row>
    <row r="18" spans="2:14" ht="18" customHeight="1" x14ac:dyDescent="0.3">
      <c r="B18" s="4" t="s">
        <v>51</v>
      </c>
      <c r="C18" s="4"/>
      <c r="D18" s="4"/>
      <c r="E18" s="4"/>
      <c r="F18" s="4"/>
      <c r="G18" s="4"/>
      <c r="H18" s="4"/>
      <c r="I18" s="4"/>
      <c r="J18" s="4"/>
      <c r="L18" s="25"/>
      <c r="N18" t="str">
        <f t="shared" si="0"/>
        <v/>
      </c>
    </row>
    <row r="19" spans="2:14" ht="18" customHeight="1" x14ac:dyDescent="0.3">
      <c r="B19" s="11" t="s">
        <v>45</v>
      </c>
      <c r="C19" s="12" t="s">
        <v>132</v>
      </c>
      <c r="D19" s="12" t="s">
        <v>133</v>
      </c>
      <c r="E19" s="13"/>
      <c r="F19" s="13"/>
      <c r="G19" s="13"/>
      <c r="H19" s="13"/>
      <c r="I19" s="14"/>
      <c r="J19" s="13"/>
      <c r="L19" s="25"/>
      <c r="N19" t="str">
        <f t="shared" si="0"/>
        <v/>
      </c>
    </row>
    <row r="20" spans="2:14" ht="18" customHeight="1" x14ac:dyDescent="0.3">
      <c r="B20" s="15" t="s">
        <v>48</v>
      </c>
      <c r="C20" s="16" t="s">
        <v>134</v>
      </c>
      <c r="D20" s="16" t="s">
        <v>135</v>
      </c>
      <c r="E20" s="13"/>
      <c r="F20" s="13"/>
      <c r="G20" s="13"/>
      <c r="H20" s="13"/>
      <c r="I20" s="14"/>
      <c r="J20" s="13"/>
      <c r="L20" s="25"/>
      <c r="N20" t="str">
        <f t="shared" si="0"/>
        <v/>
      </c>
    </row>
    <row r="21" spans="2:14" ht="18" customHeight="1" x14ac:dyDescent="0.3">
      <c r="B21" s="4" t="s">
        <v>61</v>
      </c>
      <c r="C21" s="4"/>
      <c r="D21" s="4"/>
      <c r="E21" s="4"/>
      <c r="F21" s="4"/>
      <c r="G21" s="4"/>
      <c r="H21" s="4"/>
      <c r="I21" s="4"/>
      <c r="J21" s="4"/>
      <c r="L21" s="25"/>
      <c r="N21" t="str">
        <f t="shared" si="0"/>
        <v/>
      </c>
    </row>
    <row r="22" spans="2:14" ht="18" customHeight="1" x14ac:dyDescent="0.3">
      <c r="B22" s="11" t="s">
        <v>52</v>
      </c>
      <c r="C22" s="12" t="s">
        <v>136</v>
      </c>
      <c r="D22" s="12" t="s">
        <v>137</v>
      </c>
      <c r="E22" s="13"/>
      <c r="F22" s="13"/>
      <c r="G22" s="13"/>
      <c r="H22" s="13"/>
      <c r="I22" s="14"/>
      <c r="J22" s="13"/>
      <c r="L22" s="25"/>
      <c r="N22" t="str">
        <f t="shared" si="0"/>
        <v/>
      </c>
    </row>
    <row r="23" spans="2:14" ht="18" customHeight="1" x14ac:dyDescent="0.3">
      <c r="B23" s="15" t="s">
        <v>55</v>
      </c>
      <c r="C23" s="16" t="s">
        <v>138</v>
      </c>
      <c r="D23" s="16" t="s">
        <v>139</v>
      </c>
      <c r="E23" s="13"/>
      <c r="F23" s="13"/>
      <c r="G23" s="13"/>
      <c r="H23" s="13"/>
      <c r="I23" s="14"/>
      <c r="J23" s="13"/>
      <c r="L23" s="25"/>
      <c r="N23" t="str">
        <f t="shared" si="0"/>
        <v/>
      </c>
    </row>
    <row r="24" spans="2:14" ht="18" customHeight="1" x14ac:dyDescent="0.3">
      <c r="B24" s="4" t="s">
        <v>140</v>
      </c>
      <c r="C24" s="4"/>
      <c r="D24" s="4"/>
      <c r="E24" s="4"/>
      <c r="F24" s="4"/>
      <c r="G24" s="4"/>
      <c r="H24" s="4"/>
      <c r="I24" s="4"/>
      <c r="J24" s="4"/>
      <c r="L24" s="25"/>
      <c r="N24" t="str">
        <f t="shared" si="0"/>
        <v/>
      </c>
    </row>
    <row r="25" spans="2:14" ht="18" customHeight="1" x14ac:dyDescent="0.3">
      <c r="B25" s="11" t="s">
        <v>58</v>
      </c>
      <c r="C25" s="12" t="s">
        <v>141</v>
      </c>
      <c r="D25" s="12" t="s">
        <v>142</v>
      </c>
      <c r="E25" s="13"/>
      <c r="F25" s="13"/>
      <c r="G25" s="13"/>
      <c r="H25" s="13"/>
      <c r="I25" s="14"/>
      <c r="J25" s="13"/>
      <c r="L25" s="25"/>
      <c r="N25" t="str">
        <f t="shared" si="0"/>
        <v/>
      </c>
    </row>
    <row r="26" spans="2:14" ht="18" customHeight="1" x14ac:dyDescent="0.3">
      <c r="B26" s="4" t="s">
        <v>110</v>
      </c>
      <c r="C26" s="4"/>
      <c r="D26" s="4"/>
      <c r="E26" s="4"/>
      <c r="F26" s="4"/>
      <c r="G26" s="4"/>
      <c r="H26" s="4"/>
      <c r="I26" s="4"/>
      <c r="J26" s="4"/>
      <c r="L26" s="25"/>
      <c r="N26" t="str">
        <f t="shared" si="0"/>
        <v/>
      </c>
    </row>
    <row r="27" spans="2:14" ht="18" customHeight="1" x14ac:dyDescent="0.3">
      <c r="B27" s="15" t="s">
        <v>62</v>
      </c>
      <c r="C27" s="16" t="s">
        <v>143</v>
      </c>
      <c r="D27" s="16" t="s">
        <v>144</v>
      </c>
      <c r="E27" s="13"/>
      <c r="F27" s="13"/>
      <c r="G27" s="13"/>
      <c r="H27" s="13"/>
      <c r="I27" s="14"/>
      <c r="J27" s="13"/>
      <c r="L27" s="25"/>
      <c r="N27" t="str">
        <f t="shared" si="0"/>
        <v/>
      </c>
    </row>
    <row r="28" spans="2:14" ht="18" customHeight="1" x14ac:dyDescent="0.3">
      <c r="B28" s="11" t="s">
        <v>65</v>
      </c>
      <c r="C28" s="12" t="s">
        <v>145</v>
      </c>
      <c r="D28" s="12" t="s">
        <v>146</v>
      </c>
      <c r="E28" s="13"/>
      <c r="F28" s="13"/>
      <c r="G28" s="13"/>
      <c r="H28" s="13"/>
      <c r="I28" s="14"/>
      <c r="J28" s="13"/>
      <c r="L28" s="25"/>
      <c r="N28" t="str">
        <f t="shared" si="0"/>
        <v/>
      </c>
    </row>
    <row r="29" spans="2:14" ht="9.75" customHeight="1" x14ac:dyDescent="0.3">
      <c r="L29" s="25"/>
      <c r="N29" t="str">
        <f t="shared" si="0"/>
        <v/>
      </c>
    </row>
    <row r="30" spans="2:14" ht="19.5" customHeight="1" x14ac:dyDescent="0.3">
      <c r="B30" s="17" t="s">
        <v>78</v>
      </c>
      <c r="D30" s="17" t="s">
        <v>2</v>
      </c>
      <c r="F30" s="17" t="s">
        <v>79</v>
      </c>
      <c r="H30" s="17" t="s">
        <v>2</v>
      </c>
      <c r="L30" s="25"/>
      <c r="N30" t="str">
        <f t="shared" si="0"/>
        <v/>
      </c>
    </row>
    <row r="31" spans="2:14" ht="27.75" customHeight="1" x14ac:dyDescent="0.3">
      <c r="B31" s="18"/>
      <c r="C31" s="18"/>
      <c r="D31" s="18"/>
      <c r="E31" s="18"/>
      <c r="F31" s="18"/>
      <c r="G31" s="18"/>
      <c r="H31" s="18"/>
      <c r="I31" s="18"/>
      <c r="L31" s="25"/>
      <c r="N31" t="str">
        <f t="shared" si="0"/>
        <v/>
      </c>
    </row>
    <row r="32" spans="2:14" x14ac:dyDescent="0.3">
      <c r="L32" s="25"/>
      <c r="N32" t="str">
        <f t="shared" si="0"/>
        <v/>
      </c>
    </row>
    <row r="33" spans="12:14" x14ac:dyDescent="0.3">
      <c r="L33" s="25"/>
      <c r="N33" t="str">
        <f t="shared" si="0"/>
        <v/>
      </c>
    </row>
    <row r="34" spans="12:14" x14ac:dyDescent="0.3">
      <c r="L34" s="25"/>
      <c r="N34" t="str">
        <f t="shared" si="0"/>
        <v/>
      </c>
    </row>
    <row r="35" spans="12:14" x14ac:dyDescent="0.3">
      <c r="L35" s="25"/>
      <c r="N35" t="str">
        <f t="shared" si="0"/>
        <v/>
      </c>
    </row>
    <row r="36" spans="12:14" x14ac:dyDescent="0.3">
      <c r="L36" s="25"/>
      <c r="N36" t="str">
        <f t="shared" si="0"/>
        <v/>
      </c>
    </row>
    <row r="37" spans="12:14" x14ac:dyDescent="0.3">
      <c r="L37" s="25"/>
      <c r="N37" t="str">
        <f t="shared" si="0"/>
        <v/>
      </c>
    </row>
    <row r="38" spans="12:14" x14ac:dyDescent="0.3">
      <c r="L38" s="25"/>
      <c r="N38" t="str">
        <f t="shared" si="0"/>
        <v/>
      </c>
    </row>
    <row r="39" spans="12:14" x14ac:dyDescent="0.3">
      <c r="L39" s="25"/>
      <c r="N39" t="str">
        <f t="shared" si="0"/>
        <v/>
      </c>
    </row>
    <row r="40" spans="12:14" x14ac:dyDescent="0.3">
      <c r="L40" s="25"/>
      <c r="N40" t="str">
        <f t="shared" si="0"/>
        <v/>
      </c>
    </row>
    <row r="41" spans="12:14" x14ac:dyDescent="0.3">
      <c r="L41" s="25"/>
      <c r="N41" t="str">
        <f t="shared" si="0"/>
        <v/>
      </c>
    </row>
    <row r="42" spans="12:14" x14ac:dyDescent="0.3">
      <c r="L42" s="25"/>
      <c r="N42" t="str">
        <f t="shared" si="0"/>
        <v/>
      </c>
    </row>
    <row r="43" spans="12:14" x14ac:dyDescent="0.3">
      <c r="L43" s="25"/>
      <c r="N43" t="str">
        <f t="shared" si="0"/>
        <v/>
      </c>
    </row>
    <row r="44" spans="12:14" x14ac:dyDescent="0.3">
      <c r="L44" s="25"/>
      <c r="N44" t="str">
        <f t="shared" si="0"/>
        <v/>
      </c>
    </row>
    <row r="45" spans="12:14" x14ac:dyDescent="0.3">
      <c r="L45" s="25"/>
      <c r="N45" t="str">
        <f t="shared" si="0"/>
        <v/>
      </c>
    </row>
  </sheetData>
  <mergeCells count="9">
    <mergeCell ref="B18:J18"/>
    <mergeCell ref="B21:J21"/>
    <mergeCell ref="B24:J24"/>
    <mergeCell ref="B26:J26"/>
    <mergeCell ref="B2:J2"/>
    <mergeCell ref="B3:I3"/>
    <mergeCell ref="B7:J7"/>
    <mergeCell ref="B11:J11"/>
    <mergeCell ref="B15:J15"/>
  </mergeCells>
  <conditionalFormatting sqref="N7:N45">
    <cfRule type="cellIs" dxfId="2" priority="5" operator="greaterThanOrEqual">
      <formula>15</formula>
    </cfRule>
  </conditionalFormatting>
  <dataValidations count="6">
    <dataValidation type="list" allowBlank="1" sqref="E7:E27" xr:uid="{00000000-0002-0000-0200-000000000000}">
      <formula1>"✓,✗,N/A"</formula1>
      <formula2>0</formula2>
    </dataValidation>
    <dataValidation type="list" allowBlank="1" sqref="H7:H27" xr:uid="{00000000-0002-0000-0200-000001000000}">
      <formula1>"Pass,Fail,N/A"</formula1>
      <formula2>0</formula2>
    </dataValidation>
    <dataValidation type="list" sqref="K7:K45" xr:uid="{00000000-0002-0000-0200-000002000000}">
      <formula1>"Critical,High,Medium,Low,Monitor"</formula1>
    </dataValidation>
    <dataValidation type="list" sqref="M7:M45" xr:uid="{00000000-0002-0000-0200-000003000000}">
      <formula1>"Open,In Progress,Complete,Overdue,Deferred,Verified"</formula1>
    </dataValidation>
    <dataValidation type="list" sqref="E7:E45" xr:uid="{00000000-0002-0000-0200-000004000000}">
      <formula1>"✓,✗,N/A,Monitor"</formula1>
    </dataValidation>
    <dataValidation type="list" sqref="H7:H45" xr:uid="{00000000-0002-0000-0200-000005000000}">
      <formula1>"Pass,Fail,N/A,Monitor"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A020"/>
  </sheetPr>
  <dimension ref="A1:O45"/>
  <sheetViews>
    <sheetView showGridLines="0" workbookViewId="0"/>
  </sheetViews>
  <sheetFormatPr defaultColWidth="8.6640625" defaultRowHeight="14.4" x14ac:dyDescent="0.3"/>
  <cols>
    <col min="1" max="1" width="2" customWidth="1"/>
    <col min="2" max="2" width="8" customWidth="1"/>
    <col min="3" max="4" width="28" customWidth="1"/>
    <col min="5" max="5" width="14" customWidth="1"/>
    <col min="6" max="8" width="10" customWidth="1"/>
    <col min="9" max="9" width="14" customWidth="1"/>
    <col min="10" max="10" width="22" customWidth="1"/>
    <col min="11" max="12" width="12" customWidth="1"/>
    <col min="13" max="13" width="14" customWidth="1"/>
    <col min="14" max="14" width="11" customWidth="1"/>
    <col min="15" max="15" width="16" customWidth="1"/>
  </cols>
  <sheetData>
    <row r="1" spans="1:15" ht="7.5" customHeight="1" x14ac:dyDescent="0.3"/>
    <row r="2" spans="1:15" ht="36" customHeight="1" x14ac:dyDescent="0.3">
      <c r="A2" s="7"/>
      <c r="B2" s="6" t="s">
        <v>147</v>
      </c>
      <c r="C2" s="6"/>
      <c r="D2" s="6"/>
      <c r="E2" s="6"/>
      <c r="F2" s="6"/>
      <c r="G2" s="6"/>
      <c r="H2" s="6"/>
      <c r="I2" s="6"/>
      <c r="J2" s="6"/>
    </row>
    <row r="3" spans="1:15" ht="18" customHeight="1" x14ac:dyDescent="0.3">
      <c r="B3" s="5" t="s">
        <v>1</v>
      </c>
      <c r="C3" s="5"/>
      <c r="D3" s="5"/>
      <c r="E3" s="5"/>
      <c r="F3" s="5"/>
      <c r="G3" s="5"/>
      <c r="H3" s="5"/>
      <c r="I3" s="5"/>
    </row>
    <row r="4" spans="1:15" ht="19.5" customHeight="1" x14ac:dyDescent="0.3">
      <c r="B4" s="8" t="s">
        <v>2</v>
      </c>
      <c r="C4" s="9"/>
      <c r="D4" s="8" t="s">
        <v>3</v>
      </c>
      <c r="E4" s="9"/>
      <c r="F4" s="8" t="s">
        <v>4</v>
      </c>
      <c r="G4" s="9"/>
      <c r="H4" s="8" t="s">
        <v>5</v>
      </c>
      <c r="I4" s="9"/>
    </row>
    <row r="5" spans="1:15" ht="19.5" customHeight="1" x14ac:dyDescent="0.3">
      <c r="B5" s="8" t="s">
        <v>6</v>
      </c>
      <c r="C5" s="9"/>
      <c r="D5" s="8" t="s">
        <v>7</v>
      </c>
      <c r="E5" s="9"/>
      <c r="F5" s="8" t="s">
        <v>8</v>
      </c>
      <c r="G5" s="9"/>
      <c r="H5" s="8" t="s">
        <v>9</v>
      </c>
      <c r="I5" s="9"/>
    </row>
    <row r="6" spans="1:15" ht="21.75" customHeight="1" x14ac:dyDescent="0.3">
      <c r="B6" s="10" t="s">
        <v>10</v>
      </c>
      <c r="C6" s="10" t="s">
        <v>11</v>
      </c>
      <c r="D6" s="10" t="s">
        <v>12</v>
      </c>
      <c r="E6" s="10" t="s">
        <v>13</v>
      </c>
      <c r="F6" s="10" t="s">
        <v>14</v>
      </c>
      <c r="G6" s="10" t="s">
        <v>15</v>
      </c>
      <c r="H6" s="10" t="s">
        <v>16</v>
      </c>
      <c r="I6" s="10" t="s">
        <v>17</v>
      </c>
      <c r="J6" s="10" t="s">
        <v>18</v>
      </c>
      <c r="K6" s="24" t="s">
        <v>181</v>
      </c>
      <c r="L6" s="24" t="s">
        <v>182</v>
      </c>
      <c r="M6" s="24" t="s">
        <v>183</v>
      </c>
      <c r="N6" s="24" t="s">
        <v>184</v>
      </c>
      <c r="O6" s="24" t="s">
        <v>185</v>
      </c>
    </row>
    <row r="7" spans="1:15" ht="18" customHeight="1" x14ac:dyDescent="0.3">
      <c r="B7" s="4" t="s">
        <v>19</v>
      </c>
      <c r="C7" s="4"/>
      <c r="D7" s="4"/>
      <c r="E7" s="4"/>
      <c r="F7" s="4"/>
      <c r="G7" s="4"/>
      <c r="H7" s="4"/>
      <c r="I7" s="4"/>
      <c r="J7" s="4"/>
      <c r="L7" s="25"/>
      <c r="N7" t="str">
        <f t="shared" ref="N7:N45" si="0">IF($E7="✗",IF(K7="Critical",25,IF(K7="High",15,IF(K7="Medium",8,IF(K7="Low",4,1)))),"")</f>
        <v/>
      </c>
    </row>
    <row r="8" spans="1:15" ht="18" customHeight="1" x14ac:dyDescent="0.3">
      <c r="B8" s="11" t="s">
        <v>20</v>
      </c>
      <c r="C8" s="12" t="s">
        <v>148</v>
      </c>
      <c r="D8" s="12" t="s">
        <v>149</v>
      </c>
      <c r="E8" s="13"/>
      <c r="F8" s="13"/>
      <c r="G8" s="13"/>
      <c r="H8" s="13"/>
      <c r="I8" s="14"/>
      <c r="J8" s="13"/>
      <c r="L8" s="25"/>
      <c r="N8" t="str">
        <f t="shared" si="0"/>
        <v/>
      </c>
    </row>
    <row r="9" spans="1:15" ht="18" customHeight="1" x14ac:dyDescent="0.3">
      <c r="B9" s="15" t="s">
        <v>23</v>
      </c>
      <c r="C9" s="16" t="s">
        <v>150</v>
      </c>
      <c r="D9" s="16" t="s">
        <v>151</v>
      </c>
      <c r="E9" s="13"/>
      <c r="F9" s="13"/>
      <c r="G9" s="13"/>
      <c r="H9" s="13"/>
      <c r="I9" s="14"/>
      <c r="J9" s="13"/>
      <c r="L9" s="25"/>
      <c r="N9" t="str">
        <f t="shared" si="0"/>
        <v/>
      </c>
    </row>
    <row r="10" spans="1:15" ht="18" customHeight="1" x14ac:dyDescent="0.3">
      <c r="B10" s="11" t="s">
        <v>26</v>
      </c>
      <c r="C10" s="12" t="s">
        <v>152</v>
      </c>
      <c r="D10" s="12" t="s">
        <v>153</v>
      </c>
      <c r="E10" s="13"/>
      <c r="F10" s="13"/>
      <c r="G10" s="13"/>
      <c r="H10" s="13"/>
      <c r="I10" s="14"/>
      <c r="J10" s="13"/>
      <c r="L10" s="25"/>
      <c r="N10" t="str">
        <f t="shared" si="0"/>
        <v/>
      </c>
    </row>
    <row r="11" spans="1:15" ht="18" customHeight="1" x14ac:dyDescent="0.3">
      <c r="B11" s="4" t="s">
        <v>95</v>
      </c>
      <c r="C11" s="4"/>
      <c r="D11" s="4"/>
      <c r="E11" s="4"/>
      <c r="F11" s="4"/>
      <c r="G11" s="4"/>
      <c r="H11" s="4"/>
      <c r="I11" s="4"/>
      <c r="J11" s="4"/>
      <c r="L11" s="25"/>
      <c r="N11" t="str">
        <f t="shared" si="0"/>
        <v/>
      </c>
    </row>
    <row r="12" spans="1:15" ht="18" customHeight="1" x14ac:dyDescent="0.3">
      <c r="B12" s="15" t="s">
        <v>29</v>
      </c>
      <c r="C12" s="16" t="s">
        <v>154</v>
      </c>
      <c r="D12" s="16" t="s">
        <v>155</v>
      </c>
      <c r="E12" s="13"/>
      <c r="F12" s="13"/>
      <c r="G12" s="13"/>
      <c r="H12" s="13"/>
      <c r="I12" s="14"/>
      <c r="J12" s="13"/>
      <c r="L12" s="25"/>
      <c r="N12" t="str">
        <f t="shared" si="0"/>
        <v/>
      </c>
    </row>
    <row r="13" spans="1:15" ht="18" customHeight="1" x14ac:dyDescent="0.3">
      <c r="B13" s="11" t="s">
        <v>32</v>
      </c>
      <c r="C13" s="12" t="s">
        <v>156</v>
      </c>
      <c r="D13" s="12" t="s">
        <v>157</v>
      </c>
      <c r="E13" s="13"/>
      <c r="F13" s="13"/>
      <c r="G13" s="13"/>
      <c r="H13" s="13"/>
      <c r="I13" s="14"/>
      <c r="J13" s="13"/>
      <c r="L13" s="25"/>
      <c r="N13" t="str">
        <f t="shared" si="0"/>
        <v/>
      </c>
    </row>
    <row r="14" spans="1:15" ht="18" customHeight="1" x14ac:dyDescent="0.3">
      <c r="B14" s="15" t="s">
        <v>36</v>
      </c>
      <c r="C14" s="16" t="s">
        <v>158</v>
      </c>
      <c r="D14" s="16" t="s">
        <v>159</v>
      </c>
      <c r="E14" s="13"/>
      <c r="F14" s="13"/>
      <c r="G14" s="13"/>
      <c r="H14" s="13"/>
      <c r="I14" s="14"/>
      <c r="J14" s="13"/>
      <c r="L14" s="25"/>
      <c r="N14" t="str">
        <f t="shared" si="0"/>
        <v/>
      </c>
    </row>
    <row r="15" spans="1:15" ht="18" customHeight="1" x14ac:dyDescent="0.3">
      <c r="B15" s="4" t="s">
        <v>51</v>
      </c>
      <c r="C15" s="4"/>
      <c r="D15" s="4"/>
      <c r="E15" s="4"/>
      <c r="F15" s="4"/>
      <c r="G15" s="4"/>
      <c r="H15" s="4"/>
      <c r="I15" s="4"/>
      <c r="J15" s="4"/>
      <c r="L15" s="25"/>
      <c r="N15" t="str">
        <f t="shared" si="0"/>
        <v/>
      </c>
    </row>
    <row r="16" spans="1:15" ht="18" customHeight="1" x14ac:dyDescent="0.3">
      <c r="B16" s="11" t="s">
        <v>39</v>
      </c>
      <c r="C16" s="12" t="s">
        <v>160</v>
      </c>
      <c r="D16" s="12" t="s">
        <v>161</v>
      </c>
      <c r="E16" s="13"/>
      <c r="F16" s="13"/>
      <c r="G16" s="13"/>
      <c r="H16" s="13"/>
      <c r="I16" s="14"/>
      <c r="J16" s="13"/>
      <c r="L16" s="25"/>
      <c r="N16" t="str">
        <f t="shared" si="0"/>
        <v/>
      </c>
    </row>
    <row r="17" spans="2:14" ht="18" customHeight="1" x14ac:dyDescent="0.3">
      <c r="B17" s="15" t="s">
        <v>42</v>
      </c>
      <c r="C17" s="16" t="s">
        <v>162</v>
      </c>
      <c r="D17" s="16" t="s">
        <v>163</v>
      </c>
      <c r="E17" s="13"/>
      <c r="F17" s="13"/>
      <c r="G17" s="13"/>
      <c r="H17" s="13"/>
      <c r="I17" s="14"/>
      <c r="J17" s="13"/>
      <c r="L17" s="25"/>
      <c r="N17" t="str">
        <f t="shared" si="0"/>
        <v/>
      </c>
    </row>
    <row r="18" spans="2:14" ht="18" customHeight="1" x14ac:dyDescent="0.3">
      <c r="B18" s="4" t="s">
        <v>61</v>
      </c>
      <c r="C18" s="4"/>
      <c r="D18" s="4"/>
      <c r="E18" s="4"/>
      <c r="F18" s="4"/>
      <c r="G18" s="4"/>
      <c r="H18" s="4"/>
      <c r="I18" s="4"/>
      <c r="J18" s="4"/>
      <c r="L18" s="25"/>
      <c r="N18" t="str">
        <f t="shared" si="0"/>
        <v/>
      </c>
    </row>
    <row r="19" spans="2:14" ht="18" customHeight="1" x14ac:dyDescent="0.3">
      <c r="B19" s="11" t="s">
        <v>45</v>
      </c>
      <c r="C19" s="12" t="s">
        <v>164</v>
      </c>
      <c r="D19" s="12" t="s">
        <v>165</v>
      </c>
      <c r="E19" s="13"/>
      <c r="F19" s="13"/>
      <c r="G19" s="13"/>
      <c r="H19" s="13"/>
      <c r="I19" s="14"/>
      <c r="J19" s="13"/>
      <c r="L19" s="25"/>
      <c r="N19" t="str">
        <f t="shared" si="0"/>
        <v/>
      </c>
    </row>
    <row r="20" spans="2:14" ht="18" customHeight="1" x14ac:dyDescent="0.3">
      <c r="B20" s="15" t="s">
        <v>48</v>
      </c>
      <c r="C20" s="16" t="s">
        <v>166</v>
      </c>
      <c r="D20" s="16" t="s">
        <v>167</v>
      </c>
      <c r="E20" s="13"/>
      <c r="F20" s="13"/>
      <c r="G20" s="13"/>
      <c r="H20" s="13"/>
      <c r="I20" s="14"/>
      <c r="J20" s="13"/>
      <c r="L20" s="25"/>
      <c r="N20" t="str">
        <f t="shared" si="0"/>
        <v/>
      </c>
    </row>
    <row r="21" spans="2:14" ht="18" customHeight="1" x14ac:dyDescent="0.3">
      <c r="B21" s="4" t="s">
        <v>110</v>
      </c>
      <c r="C21" s="4"/>
      <c r="D21" s="4"/>
      <c r="E21" s="4"/>
      <c r="F21" s="4"/>
      <c r="G21" s="4"/>
      <c r="H21" s="4"/>
      <c r="I21" s="4"/>
      <c r="J21" s="4"/>
      <c r="L21" s="25"/>
      <c r="N21" t="str">
        <f t="shared" si="0"/>
        <v/>
      </c>
    </row>
    <row r="22" spans="2:14" ht="18" customHeight="1" x14ac:dyDescent="0.3">
      <c r="B22" s="11" t="s">
        <v>52</v>
      </c>
      <c r="C22" s="12" t="s">
        <v>168</v>
      </c>
      <c r="D22" s="12" t="s">
        <v>169</v>
      </c>
      <c r="E22" s="13"/>
      <c r="F22" s="13"/>
      <c r="G22" s="13"/>
      <c r="H22" s="13"/>
      <c r="I22" s="14"/>
      <c r="J22" s="13"/>
      <c r="L22" s="25"/>
      <c r="N22" t="str">
        <f t="shared" si="0"/>
        <v/>
      </c>
    </row>
    <row r="23" spans="2:14" ht="18" customHeight="1" x14ac:dyDescent="0.3">
      <c r="B23" s="15" t="s">
        <v>55</v>
      </c>
      <c r="C23" s="16" t="s">
        <v>170</v>
      </c>
      <c r="D23" s="16" t="s">
        <v>171</v>
      </c>
      <c r="E23" s="13"/>
      <c r="F23" s="13"/>
      <c r="G23" s="13"/>
      <c r="H23" s="13"/>
      <c r="I23" s="14"/>
      <c r="J23" s="13"/>
      <c r="L23" s="25"/>
      <c r="N23" t="str">
        <f t="shared" si="0"/>
        <v/>
      </c>
    </row>
    <row r="24" spans="2:14" ht="18" customHeight="1" x14ac:dyDescent="0.3">
      <c r="B24" s="4" t="s">
        <v>172</v>
      </c>
      <c r="C24" s="4"/>
      <c r="D24" s="4"/>
      <c r="E24" s="4"/>
      <c r="F24" s="4"/>
      <c r="G24" s="4"/>
      <c r="H24" s="4"/>
      <c r="I24" s="4"/>
      <c r="J24" s="4"/>
      <c r="L24" s="25"/>
      <c r="N24" t="str">
        <f t="shared" si="0"/>
        <v/>
      </c>
    </row>
    <row r="25" spans="2:14" ht="18" customHeight="1" x14ac:dyDescent="0.3">
      <c r="B25" s="11" t="s">
        <v>58</v>
      </c>
      <c r="C25" s="12" t="s">
        <v>173</v>
      </c>
      <c r="D25" s="12" t="s">
        <v>174</v>
      </c>
      <c r="E25" s="13"/>
      <c r="F25" s="13"/>
      <c r="G25" s="13"/>
      <c r="H25" s="13"/>
      <c r="I25" s="14"/>
      <c r="J25" s="13"/>
      <c r="L25" s="25"/>
      <c r="N25" t="str">
        <f t="shared" si="0"/>
        <v/>
      </c>
    </row>
    <row r="26" spans="2:14" ht="18" customHeight="1" x14ac:dyDescent="0.3">
      <c r="B26" s="4" t="s">
        <v>175</v>
      </c>
      <c r="C26" s="4"/>
      <c r="D26" s="4"/>
      <c r="E26" s="4"/>
      <c r="F26" s="4"/>
      <c r="G26" s="4"/>
      <c r="H26" s="4"/>
      <c r="I26" s="4"/>
      <c r="J26" s="4"/>
      <c r="L26" s="25"/>
      <c r="N26" t="str">
        <f t="shared" si="0"/>
        <v/>
      </c>
    </row>
    <row r="27" spans="2:14" ht="18" customHeight="1" x14ac:dyDescent="0.3">
      <c r="B27" s="15" t="s">
        <v>62</v>
      </c>
      <c r="C27" s="16" t="s">
        <v>176</v>
      </c>
      <c r="D27" s="16" t="s">
        <v>177</v>
      </c>
      <c r="E27" s="13"/>
      <c r="F27" s="13"/>
      <c r="G27" s="13"/>
      <c r="H27" s="13"/>
      <c r="I27" s="14"/>
      <c r="J27" s="13"/>
      <c r="L27" s="25"/>
      <c r="N27" t="str">
        <f t="shared" si="0"/>
        <v/>
      </c>
    </row>
    <row r="28" spans="2:14" ht="18" customHeight="1" x14ac:dyDescent="0.3">
      <c r="B28" s="4" t="s">
        <v>178</v>
      </c>
      <c r="C28" s="4"/>
      <c r="D28" s="4"/>
      <c r="E28" s="4"/>
      <c r="F28" s="4"/>
      <c r="G28" s="4"/>
      <c r="H28" s="4"/>
      <c r="I28" s="4"/>
      <c r="J28" s="4"/>
      <c r="L28" s="25"/>
      <c r="N28" t="str">
        <f t="shared" si="0"/>
        <v/>
      </c>
    </row>
    <row r="29" spans="2:14" ht="18" customHeight="1" x14ac:dyDescent="0.3">
      <c r="B29" s="11" t="s">
        <v>65</v>
      </c>
      <c r="C29" s="12" t="s">
        <v>179</v>
      </c>
      <c r="D29" s="12" t="s">
        <v>180</v>
      </c>
      <c r="E29" s="13"/>
      <c r="F29" s="13"/>
      <c r="G29" s="13"/>
      <c r="H29" s="13"/>
      <c r="I29" s="14"/>
      <c r="J29" s="13"/>
      <c r="L29" s="25"/>
      <c r="N29" t="str">
        <f t="shared" si="0"/>
        <v/>
      </c>
    </row>
    <row r="30" spans="2:14" ht="9.75" customHeight="1" x14ac:dyDescent="0.3">
      <c r="L30" s="25"/>
      <c r="N30" t="str">
        <f t="shared" si="0"/>
        <v/>
      </c>
    </row>
    <row r="31" spans="2:14" ht="19.5" customHeight="1" x14ac:dyDescent="0.3">
      <c r="B31" s="17" t="s">
        <v>78</v>
      </c>
      <c r="D31" s="17" t="s">
        <v>2</v>
      </c>
      <c r="F31" s="17" t="s">
        <v>79</v>
      </c>
      <c r="H31" s="17" t="s">
        <v>2</v>
      </c>
      <c r="L31" s="25"/>
      <c r="N31" t="str">
        <f t="shared" si="0"/>
        <v/>
      </c>
    </row>
    <row r="32" spans="2:14" ht="27.75" customHeight="1" x14ac:dyDescent="0.3">
      <c r="B32" s="18"/>
      <c r="C32" s="18"/>
      <c r="D32" s="18"/>
      <c r="E32" s="18"/>
      <c r="F32" s="18"/>
      <c r="G32" s="18"/>
      <c r="H32" s="18"/>
      <c r="I32" s="18"/>
      <c r="L32" s="25"/>
      <c r="N32" t="str">
        <f t="shared" si="0"/>
        <v/>
      </c>
    </row>
    <row r="33" spans="12:14" x14ac:dyDescent="0.3">
      <c r="L33" s="25"/>
      <c r="N33" t="str">
        <f t="shared" si="0"/>
        <v/>
      </c>
    </row>
    <row r="34" spans="12:14" x14ac:dyDescent="0.3">
      <c r="L34" s="25"/>
      <c r="N34" t="str">
        <f t="shared" si="0"/>
        <v/>
      </c>
    </row>
    <row r="35" spans="12:14" x14ac:dyDescent="0.3">
      <c r="L35" s="25"/>
      <c r="N35" t="str">
        <f t="shared" si="0"/>
        <v/>
      </c>
    </row>
    <row r="36" spans="12:14" x14ac:dyDescent="0.3">
      <c r="L36" s="25"/>
      <c r="N36" t="str">
        <f t="shared" si="0"/>
        <v/>
      </c>
    </row>
    <row r="37" spans="12:14" x14ac:dyDescent="0.3">
      <c r="L37" s="25"/>
      <c r="N37" t="str">
        <f t="shared" si="0"/>
        <v/>
      </c>
    </row>
    <row r="38" spans="12:14" x14ac:dyDescent="0.3">
      <c r="L38" s="25"/>
      <c r="N38" t="str">
        <f t="shared" si="0"/>
        <v/>
      </c>
    </row>
    <row r="39" spans="12:14" x14ac:dyDescent="0.3">
      <c r="L39" s="25"/>
      <c r="N39" t="str">
        <f t="shared" si="0"/>
        <v/>
      </c>
    </row>
    <row r="40" spans="12:14" x14ac:dyDescent="0.3">
      <c r="L40" s="25"/>
      <c r="N40" t="str">
        <f t="shared" si="0"/>
        <v/>
      </c>
    </row>
    <row r="41" spans="12:14" x14ac:dyDescent="0.3">
      <c r="L41" s="25"/>
      <c r="N41" t="str">
        <f t="shared" si="0"/>
        <v/>
      </c>
    </row>
    <row r="42" spans="12:14" x14ac:dyDescent="0.3">
      <c r="L42" s="25"/>
      <c r="N42" t="str">
        <f t="shared" si="0"/>
        <v/>
      </c>
    </row>
    <row r="43" spans="12:14" x14ac:dyDescent="0.3">
      <c r="L43" s="25"/>
      <c r="N43" t="str">
        <f t="shared" si="0"/>
        <v/>
      </c>
    </row>
    <row r="44" spans="12:14" x14ac:dyDescent="0.3">
      <c r="L44" s="25"/>
      <c r="N44" t="str">
        <f t="shared" si="0"/>
        <v/>
      </c>
    </row>
    <row r="45" spans="12:14" x14ac:dyDescent="0.3">
      <c r="L45" s="25"/>
      <c r="N45" t="str">
        <f t="shared" si="0"/>
        <v/>
      </c>
    </row>
  </sheetData>
  <mergeCells count="10">
    <mergeCell ref="B18:J18"/>
    <mergeCell ref="B21:J21"/>
    <mergeCell ref="B24:J24"/>
    <mergeCell ref="B26:J26"/>
    <mergeCell ref="B28:J28"/>
    <mergeCell ref="B2:J2"/>
    <mergeCell ref="B3:I3"/>
    <mergeCell ref="B7:J7"/>
    <mergeCell ref="B11:J11"/>
    <mergeCell ref="B15:J15"/>
  </mergeCells>
  <conditionalFormatting sqref="N7:N45">
    <cfRule type="cellIs" dxfId="1" priority="5" operator="greaterThanOrEqual">
      <formula>15</formula>
    </cfRule>
  </conditionalFormatting>
  <dataValidations count="6">
    <dataValidation type="list" allowBlank="1" sqref="E7:E27" xr:uid="{00000000-0002-0000-0300-000000000000}">
      <formula1>"✓,✗,N/A"</formula1>
      <formula2>0</formula2>
    </dataValidation>
    <dataValidation type="list" allowBlank="1" sqref="H7:H27" xr:uid="{00000000-0002-0000-0300-000001000000}">
      <formula1>"Pass,Fail,N/A"</formula1>
      <formula2>0</formula2>
    </dataValidation>
    <dataValidation type="list" sqref="K7:K45" xr:uid="{00000000-0002-0000-0300-000002000000}">
      <formula1>"Critical,High,Medium,Low,Monitor"</formula1>
    </dataValidation>
    <dataValidation type="list" sqref="M7:M45" xr:uid="{00000000-0002-0000-0300-000003000000}">
      <formula1>"Open,In Progress,Complete,Overdue,Deferred,Verified"</formula1>
    </dataValidation>
    <dataValidation type="list" sqref="E7:E45" xr:uid="{00000000-0002-0000-0300-000004000000}">
      <formula1>"✓,✗,N/A,Monitor"</formula1>
    </dataValidation>
    <dataValidation type="list" sqref="H7:H45" xr:uid="{00000000-0002-0000-0300-000005000000}">
      <formula1>"Pass,Fail,N/A,Monitor"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workbookViewId="0"/>
  </sheetViews>
  <sheetFormatPr defaultRowHeight="14.4" x14ac:dyDescent="0.3"/>
  <cols>
    <col min="1" max="1" width="10" customWidth="1"/>
    <col min="2" max="2" width="26" customWidth="1"/>
    <col min="3" max="3" width="80" customWidth="1"/>
  </cols>
  <sheetData>
    <row r="1" spans="1:11" ht="24" customHeight="1" x14ac:dyDescent="0.3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187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9" t="s">
        <v>188</v>
      </c>
      <c r="B4" s="19" t="s">
        <v>189</v>
      </c>
      <c r="C4" s="19" t="s">
        <v>190</v>
      </c>
    </row>
    <row r="5" spans="1:11" x14ac:dyDescent="0.3">
      <c r="A5" s="20" t="s">
        <v>20</v>
      </c>
      <c r="B5" s="20" t="s">
        <v>191</v>
      </c>
      <c r="C5" s="20" t="s">
        <v>192</v>
      </c>
    </row>
    <row r="6" spans="1:11" x14ac:dyDescent="0.3">
      <c r="A6" s="20" t="s">
        <v>23</v>
      </c>
      <c r="B6" s="20" t="s">
        <v>193</v>
      </c>
      <c r="C6" s="20" t="s">
        <v>194</v>
      </c>
    </row>
    <row r="7" spans="1:11" ht="28.8" x14ac:dyDescent="0.3">
      <c r="A7" s="20" t="s">
        <v>26</v>
      </c>
      <c r="B7" s="20" t="s">
        <v>195</v>
      </c>
      <c r="C7" s="20" t="s">
        <v>196</v>
      </c>
    </row>
    <row r="8" spans="1:11" ht="28.8" x14ac:dyDescent="0.3">
      <c r="A8" s="20" t="s">
        <v>29</v>
      </c>
      <c r="B8" s="20" t="s">
        <v>197</v>
      </c>
      <c r="C8" s="20" t="s">
        <v>198</v>
      </c>
    </row>
    <row r="9" spans="1:11" ht="28.8" x14ac:dyDescent="0.3">
      <c r="A9" s="20" t="s">
        <v>32</v>
      </c>
      <c r="B9" s="20" t="s">
        <v>199</v>
      </c>
      <c r="C9" s="20" t="s">
        <v>200</v>
      </c>
    </row>
    <row r="12" spans="1:11" x14ac:dyDescent="0.3">
      <c r="A12" s="21" t="s">
        <v>201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</row>
    <row r="13" spans="1:11" x14ac:dyDescent="0.3">
      <c r="A13" s="1" t="s">
        <v>202</v>
      </c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 t="s">
        <v>203</v>
      </c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 t="s">
        <v>204</v>
      </c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 t="s">
        <v>205</v>
      </c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 t="s">
        <v>206</v>
      </c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7">
    <mergeCell ref="A16:K16"/>
    <mergeCell ref="A17:K17"/>
    <mergeCell ref="A1:K1"/>
    <mergeCell ref="A2:K2"/>
    <mergeCell ref="A13:K13"/>
    <mergeCell ref="A14:K14"/>
    <mergeCell ref="A15:K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"/>
  <sheetViews>
    <sheetView workbookViewId="0"/>
  </sheetViews>
  <sheetFormatPr defaultRowHeight="14.4" x14ac:dyDescent="0.3"/>
  <cols>
    <col min="1" max="1" width="59.44140625" customWidth="1"/>
    <col min="2" max="2" width="6.88671875" customWidth="1"/>
    <col min="3" max="3" width="6.6640625" customWidth="1"/>
    <col min="4" max="4" width="6.77734375" customWidth="1"/>
    <col min="5" max="5" width="12.6640625" customWidth="1"/>
    <col min="6" max="6" width="10.44140625" customWidth="1"/>
    <col min="7" max="7" width="4.6640625" customWidth="1"/>
    <col min="8" max="8" width="11" customWidth="1"/>
  </cols>
  <sheetData>
    <row r="1" spans="1:8" ht="24" customHeight="1" x14ac:dyDescent="0.3">
      <c r="A1" s="3" t="s">
        <v>207</v>
      </c>
      <c r="B1" s="3"/>
      <c r="C1" s="3"/>
      <c r="D1" s="3"/>
      <c r="E1" s="3"/>
      <c r="F1" s="3"/>
      <c r="G1" s="3"/>
      <c r="H1" s="3"/>
    </row>
    <row r="2" spans="1:8" ht="25.65" customHeight="1" x14ac:dyDescent="0.3">
      <c r="A2" s="2" t="s">
        <v>208</v>
      </c>
      <c r="B2" s="2"/>
      <c r="C2" s="2"/>
      <c r="D2" s="2"/>
      <c r="E2" s="2"/>
      <c r="F2" s="2"/>
      <c r="G2" s="2"/>
      <c r="H2" s="2"/>
    </row>
    <row r="4" spans="1:8" x14ac:dyDescent="0.3">
      <c r="A4" s="22" t="s">
        <v>209</v>
      </c>
      <c r="B4" s="22" t="s">
        <v>181</v>
      </c>
      <c r="C4" s="22" t="s">
        <v>210</v>
      </c>
      <c r="D4" s="22" t="s">
        <v>211</v>
      </c>
      <c r="E4" s="22" t="s">
        <v>212</v>
      </c>
      <c r="F4" s="22" t="s">
        <v>213</v>
      </c>
      <c r="G4" s="22" t="s">
        <v>214</v>
      </c>
      <c r="H4" s="22" t="s">
        <v>215</v>
      </c>
    </row>
    <row r="5" spans="1:8" x14ac:dyDescent="0.3">
      <c r="A5" t="s">
        <v>216</v>
      </c>
      <c r="B5" t="s">
        <v>217</v>
      </c>
      <c r="C5" t="s">
        <v>218</v>
      </c>
      <c r="D5">
        <v>1</v>
      </c>
      <c r="E5" t="s">
        <v>219</v>
      </c>
      <c r="F5" t="s">
        <v>220</v>
      </c>
      <c r="G5" t="s">
        <v>221</v>
      </c>
      <c r="H5" t="s">
        <v>222</v>
      </c>
    </row>
    <row r="6" spans="1:8" x14ac:dyDescent="0.3">
      <c r="A6" t="s">
        <v>223</v>
      </c>
      <c r="B6" t="s">
        <v>224</v>
      </c>
      <c r="C6" t="s">
        <v>225</v>
      </c>
      <c r="D6">
        <v>2</v>
      </c>
      <c r="E6" t="s">
        <v>226</v>
      </c>
      <c r="F6" t="s">
        <v>227</v>
      </c>
      <c r="G6" t="s">
        <v>228</v>
      </c>
      <c r="H6" t="s">
        <v>229</v>
      </c>
    </row>
    <row r="7" spans="1:8" x14ac:dyDescent="0.3">
      <c r="A7" t="s">
        <v>230</v>
      </c>
      <c r="B7" t="s">
        <v>231</v>
      </c>
      <c r="C7" t="s">
        <v>232</v>
      </c>
      <c r="D7">
        <v>3</v>
      </c>
      <c r="E7" t="s">
        <v>233</v>
      </c>
      <c r="F7" t="s">
        <v>234</v>
      </c>
      <c r="G7" t="s">
        <v>235</v>
      </c>
      <c r="H7" t="s">
        <v>236</v>
      </c>
    </row>
    <row r="8" spans="1:8" x14ac:dyDescent="0.3">
      <c r="A8" t="s">
        <v>237</v>
      </c>
      <c r="B8" t="s">
        <v>238</v>
      </c>
      <c r="C8" t="s">
        <v>239</v>
      </c>
      <c r="D8">
        <v>4</v>
      </c>
      <c r="E8" t="s">
        <v>240</v>
      </c>
      <c r="G8" t="s">
        <v>241</v>
      </c>
    </row>
    <row r="9" spans="1:8" x14ac:dyDescent="0.3">
      <c r="A9" t="s">
        <v>242</v>
      </c>
      <c r="B9" t="s">
        <v>239</v>
      </c>
      <c r="D9">
        <v>5</v>
      </c>
      <c r="E9" t="s">
        <v>243</v>
      </c>
      <c r="G9" t="s">
        <v>244</v>
      </c>
    </row>
    <row r="10" spans="1:8" x14ac:dyDescent="0.3">
      <c r="A10" t="s">
        <v>245</v>
      </c>
      <c r="E10" t="s">
        <v>246</v>
      </c>
      <c r="G10" t="s">
        <v>247</v>
      </c>
    </row>
    <row r="11" spans="1:8" x14ac:dyDescent="0.3">
      <c r="A11" t="s">
        <v>248</v>
      </c>
      <c r="E11" t="s">
        <v>249</v>
      </c>
    </row>
    <row r="12" spans="1:8" x14ac:dyDescent="0.3">
      <c r="E12" t="s">
        <v>250</v>
      </c>
    </row>
    <row r="13" spans="1:8" x14ac:dyDescent="0.3">
      <c r="E13" t="s">
        <v>251</v>
      </c>
    </row>
    <row r="14" spans="1:8" x14ac:dyDescent="0.3">
      <c r="E14" t="s">
        <v>252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4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34" customWidth="1"/>
    <col min="4" max="4" width="26" customWidth="1"/>
    <col min="5" max="5" width="13" customWidth="1"/>
    <col min="6" max="6" width="18" customWidth="1"/>
    <col min="7" max="7" width="13" customWidth="1"/>
    <col min="8" max="8" width="14" customWidth="1"/>
    <col min="9" max="9" width="13" customWidth="1"/>
    <col min="10" max="10" width="32" customWidth="1"/>
    <col min="11" max="11" width="12" customWidth="1"/>
  </cols>
  <sheetData>
    <row r="1" spans="1:11" ht="24" customHeight="1" x14ac:dyDescent="0.3">
      <c r="A1" s="3" t="s">
        <v>253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25.65" customHeight="1" x14ac:dyDescent="0.3">
      <c r="A2" s="2" t="s">
        <v>254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0.85" customHeight="1" x14ac:dyDescent="0.3">
      <c r="A4" s="19" t="s">
        <v>255</v>
      </c>
      <c r="B4" s="19" t="s">
        <v>256</v>
      </c>
      <c r="C4" s="19" t="s">
        <v>257</v>
      </c>
      <c r="D4" s="19" t="s">
        <v>258</v>
      </c>
      <c r="E4" s="19" t="s">
        <v>181</v>
      </c>
      <c r="F4" s="19" t="s">
        <v>259</v>
      </c>
      <c r="G4" s="19" t="s">
        <v>182</v>
      </c>
      <c r="H4" s="19" t="s">
        <v>209</v>
      </c>
      <c r="I4" s="19" t="s">
        <v>260</v>
      </c>
      <c r="J4" s="19" t="s">
        <v>261</v>
      </c>
      <c r="K4" s="19" t="s">
        <v>262</v>
      </c>
    </row>
    <row r="5" spans="1:11" x14ac:dyDescent="0.3">
      <c r="A5" s="20"/>
      <c r="B5" s="20"/>
      <c r="C5" s="20"/>
      <c r="D5" s="20"/>
      <c r="E5" s="20"/>
      <c r="F5" s="20"/>
      <c r="G5" s="23"/>
      <c r="H5" s="20" t="s">
        <v>216</v>
      </c>
      <c r="I5" s="23"/>
      <c r="J5" s="20"/>
      <c r="K5" s="20">
        <f t="shared" ref="K5:K34" ca="1" si="0">IF(AND(G5&lt;&gt;"",H5&lt;&gt;"Complete",H5&lt;&gt;"Verified"),MAX(0,TODAY()-G5),0)</f>
        <v>0</v>
      </c>
    </row>
    <row r="6" spans="1:11" x14ac:dyDescent="0.3">
      <c r="A6" s="20"/>
      <c r="B6" s="20"/>
      <c r="C6" s="20"/>
      <c r="D6" s="20"/>
      <c r="E6" s="20"/>
      <c r="F6" s="20"/>
      <c r="G6" s="23"/>
      <c r="H6" s="20" t="s">
        <v>216</v>
      </c>
      <c r="I6" s="23"/>
      <c r="J6" s="20"/>
      <c r="K6" s="20">
        <f t="shared" ca="1" si="0"/>
        <v>0</v>
      </c>
    </row>
    <row r="7" spans="1:11" x14ac:dyDescent="0.3">
      <c r="A7" s="20"/>
      <c r="B7" s="20"/>
      <c r="C7" s="20"/>
      <c r="D7" s="20"/>
      <c r="E7" s="20"/>
      <c r="F7" s="20"/>
      <c r="G7" s="23"/>
      <c r="H7" s="20" t="s">
        <v>216</v>
      </c>
      <c r="I7" s="23"/>
      <c r="J7" s="20"/>
      <c r="K7" s="20">
        <f t="shared" ca="1" si="0"/>
        <v>0</v>
      </c>
    </row>
    <row r="8" spans="1:11" x14ac:dyDescent="0.3">
      <c r="A8" s="20"/>
      <c r="B8" s="20"/>
      <c r="C8" s="20"/>
      <c r="D8" s="20"/>
      <c r="E8" s="20"/>
      <c r="F8" s="20"/>
      <c r="G8" s="23"/>
      <c r="H8" s="20" t="s">
        <v>216</v>
      </c>
      <c r="I8" s="23"/>
      <c r="J8" s="20"/>
      <c r="K8" s="20">
        <f t="shared" ca="1" si="0"/>
        <v>0</v>
      </c>
    </row>
    <row r="9" spans="1:11" x14ac:dyDescent="0.3">
      <c r="A9" s="20"/>
      <c r="B9" s="20"/>
      <c r="C9" s="20"/>
      <c r="D9" s="20"/>
      <c r="E9" s="20"/>
      <c r="F9" s="20"/>
      <c r="G9" s="23"/>
      <c r="H9" s="20" t="s">
        <v>216</v>
      </c>
      <c r="I9" s="23"/>
      <c r="J9" s="20"/>
      <c r="K9" s="20">
        <f t="shared" ca="1" si="0"/>
        <v>0</v>
      </c>
    </row>
    <row r="10" spans="1:11" x14ac:dyDescent="0.3">
      <c r="A10" s="20"/>
      <c r="B10" s="20"/>
      <c r="C10" s="20"/>
      <c r="D10" s="20"/>
      <c r="E10" s="20"/>
      <c r="F10" s="20"/>
      <c r="G10" s="23"/>
      <c r="H10" s="20" t="s">
        <v>216</v>
      </c>
      <c r="I10" s="23"/>
      <c r="J10" s="20"/>
      <c r="K10" s="20">
        <f t="shared" ca="1" si="0"/>
        <v>0</v>
      </c>
    </row>
    <row r="11" spans="1:11" x14ac:dyDescent="0.3">
      <c r="A11" s="20"/>
      <c r="B11" s="20"/>
      <c r="C11" s="20"/>
      <c r="D11" s="20"/>
      <c r="E11" s="20"/>
      <c r="F11" s="20"/>
      <c r="G11" s="23"/>
      <c r="H11" s="20" t="s">
        <v>216</v>
      </c>
      <c r="I11" s="23"/>
      <c r="J11" s="20"/>
      <c r="K11" s="20">
        <f t="shared" ca="1" si="0"/>
        <v>0</v>
      </c>
    </row>
    <row r="12" spans="1:11" x14ac:dyDescent="0.3">
      <c r="A12" s="20"/>
      <c r="B12" s="20"/>
      <c r="C12" s="20"/>
      <c r="D12" s="20"/>
      <c r="E12" s="20"/>
      <c r="F12" s="20"/>
      <c r="G12" s="23"/>
      <c r="H12" s="20" t="s">
        <v>216</v>
      </c>
      <c r="I12" s="23"/>
      <c r="J12" s="20"/>
      <c r="K12" s="20">
        <f t="shared" ca="1" si="0"/>
        <v>0</v>
      </c>
    </row>
    <row r="13" spans="1:11" x14ac:dyDescent="0.3">
      <c r="A13" s="20"/>
      <c r="B13" s="20"/>
      <c r="C13" s="20"/>
      <c r="D13" s="20"/>
      <c r="E13" s="20"/>
      <c r="F13" s="20"/>
      <c r="G13" s="23"/>
      <c r="H13" s="20" t="s">
        <v>216</v>
      </c>
      <c r="I13" s="23"/>
      <c r="J13" s="20"/>
      <c r="K13" s="20">
        <f t="shared" ca="1" si="0"/>
        <v>0</v>
      </c>
    </row>
    <row r="14" spans="1:11" x14ac:dyDescent="0.3">
      <c r="A14" s="20"/>
      <c r="B14" s="20"/>
      <c r="C14" s="20"/>
      <c r="D14" s="20"/>
      <c r="E14" s="20"/>
      <c r="F14" s="20"/>
      <c r="G14" s="23"/>
      <c r="H14" s="20" t="s">
        <v>216</v>
      </c>
      <c r="I14" s="23"/>
      <c r="J14" s="20"/>
      <c r="K14" s="20">
        <f t="shared" ca="1" si="0"/>
        <v>0</v>
      </c>
    </row>
    <row r="15" spans="1:11" x14ac:dyDescent="0.3">
      <c r="A15" s="20"/>
      <c r="B15" s="20"/>
      <c r="C15" s="20"/>
      <c r="D15" s="20"/>
      <c r="E15" s="20"/>
      <c r="F15" s="20"/>
      <c r="G15" s="23"/>
      <c r="H15" s="20" t="s">
        <v>216</v>
      </c>
      <c r="I15" s="23"/>
      <c r="J15" s="20"/>
      <c r="K15" s="20">
        <f t="shared" ca="1" si="0"/>
        <v>0</v>
      </c>
    </row>
    <row r="16" spans="1:11" x14ac:dyDescent="0.3">
      <c r="A16" s="20"/>
      <c r="B16" s="20"/>
      <c r="C16" s="20"/>
      <c r="D16" s="20"/>
      <c r="E16" s="20"/>
      <c r="F16" s="20"/>
      <c r="G16" s="23"/>
      <c r="H16" s="20" t="s">
        <v>216</v>
      </c>
      <c r="I16" s="23"/>
      <c r="J16" s="20"/>
      <c r="K16" s="20">
        <f t="shared" ca="1" si="0"/>
        <v>0</v>
      </c>
    </row>
    <row r="17" spans="1:11" x14ac:dyDescent="0.3">
      <c r="A17" s="20"/>
      <c r="B17" s="20"/>
      <c r="C17" s="20"/>
      <c r="D17" s="20"/>
      <c r="E17" s="20"/>
      <c r="F17" s="20"/>
      <c r="G17" s="23"/>
      <c r="H17" s="20" t="s">
        <v>216</v>
      </c>
      <c r="I17" s="23"/>
      <c r="J17" s="20"/>
      <c r="K17" s="20">
        <f t="shared" ca="1" si="0"/>
        <v>0</v>
      </c>
    </row>
    <row r="18" spans="1:11" x14ac:dyDescent="0.3">
      <c r="A18" s="20"/>
      <c r="B18" s="20"/>
      <c r="C18" s="20"/>
      <c r="D18" s="20"/>
      <c r="E18" s="20"/>
      <c r="F18" s="20"/>
      <c r="G18" s="23"/>
      <c r="H18" s="20" t="s">
        <v>216</v>
      </c>
      <c r="I18" s="23"/>
      <c r="J18" s="20"/>
      <c r="K18" s="20">
        <f t="shared" ca="1" si="0"/>
        <v>0</v>
      </c>
    </row>
    <row r="19" spans="1:11" x14ac:dyDescent="0.3">
      <c r="A19" s="20"/>
      <c r="B19" s="20"/>
      <c r="C19" s="20"/>
      <c r="D19" s="20"/>
      <c r="E19" s="20"/>
      <c r="F19" s="20"/>
      <c r="G19" s="23"/>
      <c r="H19" s="20" t="s">
        <v>216</v>
      </c>
      <c r="I19" s="23"/>
      <c r="J19" s="20"/>
      <c r="K19" s="20">
        <f t="shared" ca="1" si="0"/>
        <v>0</v>
      </c>
    </row>
    <row r="20" spans="1:11" x14ac:dyDescent="0.3">
      <c r="A20" s="20"/>
      <c r="B20" s="20"/>
      <c r="C20" s="20"/>
      <c r="D20" s="20"/>
      <c r="E20" s="20"/>
      <c r="F20" s="20"/>
      <c r="G20" s="23"/>
      <c r="H20" s="20" t="s">
        <v>216</v>
      </c>
      <c r="I20" s="23"/>
      <c r="J20" s="20"/>
      <c r="K20" s="20">
        <f t="shared" ca="1" si="0"/>
        <v>0</v>
      </c>
    </row>
    <row r="21" spans="1:11" x14ac:dyDescent="0.3">
      <c r="A21" s="20"/>
      <c r="B21" s="20"/>
      <c r="C21" s="20"/>
      <c r="D21" s="20"/>
      <c r="E21" s="20"/>
      <c r="F21" s="20"/>
      <c r="G21" s="23"/>
      <c r="H21" s="20" t="s">
        <v>216</v>
      </c>
      <c r="I21" s="23"/>
      <c r="J21" s="20"/>
      <c r="K21" s="20">
        <f t="shared" ca="1" si="0"/>
        <v>0</v>
      </c>
    </row>
    <row r="22" spans="1:11" x14ac:dyDescent="0.3">
      <c r="A22" s="20"/>
      <c r="B22" s="20"/>
      <c r="C22" s="20"/>
      <c r="D22" s="20"/>
      <c r="E22" s="20"/>
      <c r="F22" s="20"/>
      <c r="G22" s="23"/>
      <c r="H22" s="20" t="s">
        <v>216</v>
      </c>
      <c r="I22" s="23"/>
      <c r="J22" s="20"/>
      <c r="K22" s="20">
        <f t="shared" ca="1" si="0"/>
        <v>0</v>
      </c>
    </row>
    <row r="23" spans="1:11" x14ac:dyDescent="0.3">
      <c r="A23" s="20"/>
      <c r="B23" s="20"/>
      <c r="C23" s="20"/>
      <c r="D23" s="20"/>
      <c r="E23" s="20"/>
      <c r="F23" s="20"/>
      <c r="G23" s="23"/>
      <c r="H23" s="20" t="s">
        <v>216</v>
      </c>
      <c r="I23" s="23"/>
      <c r="J23" s="20"/>
      <c r="K23" s="20">
        <f t="shared" ca="1" si="0"/>
        <v>0</v>
      </c>
    </row>
    <row r="24" spans="1:11" x14ac:dyDescent="0.3">
      <c r="A24" s="20"/>
      <c r="B24" s="20"/>
      <c r="C24" s="20"/>
      <c r="D24" s="20"/>
      <c r="E24" s="20"/>
      <c r="F24" s="20"/>
      <c r="G24" s="23"/>
      <c r="H24" s="20" t="s">
        <v>216</v>
      </c>
      <c r="I24" s="23"/>
      <c r="J24" s="20"/>
      <c r="K24" s="20">
        <f t="shared" ca="1" si="0"/>
        <v>0</v>
      </c>
    </row>
    <row r="25" spans="1:11" x14ac:dyDescent="0.3">
      <c r="A25" s="20"/>
      <c r="B25" s="20"/>
      <c r="C25" s="20"/>
      <c r="D25" s="20"/>
      <c r="E25" s="20"/>
      <c r="F25" s="20"/>
      <c r="G25" s="23"/>
      <c r="H25" s="20" t="s">
        <v>216</v>
      </c>
      <c r="I25" s="23"/>
      <c r="J25" s="20"/>
      <c r="K25" s="20">
        <f t="shared" ca="1" si="0"/>
        <v>0</v>
      </c>
    </row>
    <row r="26" spans="1:11" x14ac:dyDescent="0.3">
      <c r="A26" s="20"/>
      <c r="B26" s="20"/>
      <c r="C26" s="20"/>
      <c r="D26" s="20"/>
      <c r="E26" s="20"/>
      <c r="F26" s="20"/>
      <c r="G26" s="23"/>
      <c r="H26" s="20" t="s">
        <v>216</v>
      </c>
      <c r="I26" s="23"/>
      <c r="J26" s="20"/>
      <c r="K26" s="20">
        <f t="shared" ca="1" si="0"/>
        <v>0</v>
      </c>
    </row>
    <row r="27" spans="1:11" x14ac:dyDescent="0.3">
      <c r="A27" s="20"/>
      <c r="B27" s="20"/>
      <c r="C27" s="20"/>
      <c r="D27" s="20"/>
      <c r="E27" s="20"/>
      <c r="F27" s="20"/>
      <c r="G27" s="23"/>
      <c r="H27" s="20" t="s">
        <v>216</v>
      </c>
      <c r="I27" s="23"/>
      <c r="J27" s="20"/>
      <c r="K27" s="20">
        <f t="shared" ca="1" si="0"/>
        <v>0</v>
      </c>
    </row>
    <row r="28" spans="1:11" x14ac:dyDescent="0.3">
      <c r="A28" s="20"/>
      <c r="B28" s="20"/>
      <c r="C28" s="20"/>
      <c r="D28" s="20"/>
      <c r="E28" s="20"/>
      <c r="F28" s="20"/>
      <c r="G28" s="23"/>
      <c r="H28" s="20" t="s">
        <v>216</v>
      </c>
      <c r="I28" s="23"/>
      <c r="J28" s="20"/>
      <c r="K28" s="20">
        <f t="shared" ca="1" si="0"/>
        <v>0</v>
      </c>
    </row>
    <row r="29" spans="1:11" x14ac:dyDescent="0.3">
      <c r="A29" s="20"/>
      <c r="B29" s="20"/>
      <c r="C29" s="20"/>
      <c r="D29" s="20"/>
      <c r="E29" s="20"/>
      <c r="F29" s="20"/>
      <c r="G29" s="23"/>
      <c r="H29" s="20" t="s">
        <v>216</v>
      </c>
      <c r="I29" s="23"/>
      <c r="J29" s="20"/>
      <c r="K29" s="20">
        <f t="shared" ca="1" si="0"/>
        <v>0</v>
      </c>
    </row>
    <row r="30" spans="1:11" x14ac:dyDescent="0.3">
      <c r="A30" s="20"/>
      <c r="B30" s="20"/>
      <c r="C30" s="20"/>
      <c r="D30" s="20"/>
      <c r="E30" s="20"/>
      <c r="F30" s="20"/>
      <c r="G30" s="23"/>
      <c r="H30" s="20" t="s">
        <v>216</v>
      </c>
      <c r="I30" s="23"/>
      <c r="J30" s="20"/>
      <c r="K30" s="20">
        <f t="shared" ca="1" si="0"/>
        <v>0</v>
      </c>
    </row>
    <row r="31" spans="1:11" x14ac:dyDescent="0.3">
      <c r="A31" s="20"/>
      <c r="B31" s="20"/>
      <c r="C31" s="20"/>
      <c r="D31" s="20"/>
      <c r="E31" s="20"/>
      <c r="F31" s="20"/>
      <c r="G31" s="23"/>
      <c r="H31" s="20" t="s">
        <v>216</v>
      </c>
      <c r="I31" s="23"/>
      <c r="J31" s="20"/>
      <c r="K31" s="20">
        <f t="shared" ca="1" si="0"/>
        <v>0</v>
      </c>
    </row>
    <row r="32" spans="1:11" x14ac:dyDescent="0.3">
      <c r="A32" s="20"/>
      <c r="B32" s="20"/>
      <c r="C32" s="20"/>
      <c r="D32" s="20"/>
      <c r="E32" s="20"/>
      <c r="F32" s="20"/>
      <c r="G32" s="23"/>
      <c r="H32" s="20" t="s">
        <v>216</v>
      </c>
      <c r="I32" s="23"/>
      <c r="J32" s="20"/>
      <c r="K32" s="20">
        <f t="shared" ca="1" si="0"/>
        <v>0</v>
      </c>
    </row>
    <row r="33" spans="1:11" x14ac:dyDescent="0.3">
      <c r="A33" s="20"/>
      <c r="B33" s="20"/>
      <c r="C33" s="20"/>
      <c r="D33" s="20"/>
      <c r="E33" s="20"/>
      <c r="F33" s="20"/>
      <c r="G33" s="23"/>
      <c r="H33" s="20" t="s">
        <v>216</v>
      </c>
      <c r="I33" s="23"/>
      <c r="J33" s="20"/>
      <c r="K33" s="20">
        <f t="shared" ca="1" si="0"/>
        <v>0</v>
      </c>
    </row>
    <row r="34" spans="1:11" x14ac:dyDescent="0.3">
      <c r="A34" s="20"/>
      <c r="B34" s="20"/>
      <c r="C34" s="20"/>
      <c r="D34" s="20"/>
      <c r="E34" s="20"/>
      <c r="F34" s="20"/>
      <c r="G34" s="23"/>
      <c r="H34" s="20" t="s">
        <v>216</v>
      </c>
      <c r="I34" s="23"/>
      <c r="J34" s="20"/>
      <c r="K34" s="20">
        <f t="shared" ca="1" si="0"/>
        <v>0</v>
      </c>
    </row>
  </sheetData>
  <mergeCells count="2">
    <mergeCell ref="A1:K1"/>
    <mergeCell ref="A2:K2"/>
  </mergeCells>
  <conditionalFormatting sqref="K5:K34">
    <cfRule type="cellIs" dxfId="0" priority="5" operator="greaterThan">
      <formula>0</formula>
    </cfRule>
  </conditionalFormatting>
  <dataValidations count="2">
    <dataValidation type="list" sqref="E5:E34" xr:uid="{00000000-0002-0000-0600-000000000000}">
      <formula1>"Critical,High,Medium,Low,Monitor"</formula1>
    </dataValidation>
    <dataValidation type="list" sqref="H5:H34" xr:uid="{00000000-0002-0000-0600-000001000000}">
      <formula1>"Open,In Progress,Complete,Overdue,Deferred,Cancelled,Verified"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4"/>
  <sheetViews>
    <sheetView workbookViewId="0"/>
  </sheetViews>
  <sheetFormatPr defaultRowHeight="14.4" x14ac:dyDescent="0.3"/>
  <cols>
    <col min="1" max="1" width="7.21875" customWidth="1"/>
    <col min="2" max="2" width="14.21875" customWidth="1"/>
    <col min="3" max="3" width="13.21875" customWidth="1"/>
    <col min="4" max="4" width="11.109375" customWidth="1"/>
    <col min="5" max="5" width="10.21875" customWidth="1"/>
    <col min="6" max="6" width="9.88671875" customWidth="1"/>
    <col min="7" max="7" width="9.44140625" customWidth="1"/>
    <col min="8" max="8" width="11.33203125" customWidth="1"/>
    <col min="9" max="9" width="9.6640625" customWidth="1"/>
    <col min="10" max="10" width="7.33203125" customWidth="1"/>
    <col min="11" max="11" width="13.109375" customWidth="1"/>
    <col min="12" max="12" width="17.33203125" customWidth="1"/>
    <col min="13" max="13" width="7.109375" customWidth="1"/>
  </cols>
  <sheetData>
    <row r="1" spans="1:13" ht="24" customHeight="1" x14ac:dyDescent="0.3">
      <c r="A1" s="3" t="s">
        <v>263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 ht="25.65" customHeight="1" x14ac:dyDescent="0.3">
      <c r="A2" s="2" t="s">
        <v>264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20.85" customHeight="1" x14ac:dyDescent="0.3">
      <c r="A4" s="19" t="s">
        <v>265</v>
      </c>
      <c r="B4" s="19" t="s">
        <v>266</v>
      </c>
      <c r="C4" s="19" t="s">
        <v>267</v>
      </c>
      <c r="D4" s="19" t="s">
        <v>268</v>
      </c>
      <c r="E4" s="19" t="s">
        <v>269</v>
      </c>
      <c r="F4" s="19" t="s">
        <v>270</v>
      </c>
      <c r="G4" s="19" t="s">
        <v>271</v>
      </c>
      <c r="H4" s="19" t="s">
        <v>272</v>
      </c>
      <c r="I4" s="19" t="s">
        <v>213</v>
      </c>
      <c r="J4" s="19" t="s">
        <v>209</v>
      </c>
      <c r="K4" s="19" t="s">
        <v>273</v>
      </c>
      <c r="L4" s="19" t="s">
        <v>274</v>
      </c>
      <c r="M4" s="19" t="s">
        <v>275</v>
      </c>
    </row>
    <row r="5" spans="1:13" ht="28.8" x14ac:dyDescent="0.3">
      <c r="A5" s="20" t="s">
        <v>276</v>
      </c>
      <c r="B5" s="20" t="s">
        <v>277</v>
      </c>
      <c r="C5" s="20"/>
      <c r="D5" s="20" t="s">
        <v>278</v>
      </c>
      <c r="E5" s="20" t="s">
        <v>247</v>
      </c>
      <c r="F5" s="23"/>
      <c r="G5" s="23" t="str">
        <f t="shared" ref="G5:G34" si="0">IF(F5="","",F5+IF(E5="D",1,IF(E5="W",7,IF(E5="M",30,IF(E5="Q",91,365)))))</f>
        <v/>
      </c>
      <c r="H5" s="20"/>
      <c r="I5" s="20" t="s">
        <v>220</v>
      </c>
      <c r="J5" s="20" t="s">
        <v>216</v>
      </c>
      <c r="K5" s="20"/>
      <c r="L5" s="20" t="str">
        <f t="shared" ref="L5:L34" si="1">IF(K5&gt;=2,"Yes","No")</f>
        <v>No</v>
      </c>
      <c r="M5" s="20"/>
    </row>
    <row r="6" spans="1:13" ht="28.8" x14ac:dyDescent="0.3">
      <c r="A6" s="20" t="s">
        <v>279</v>
      </c>
      <c r="B6" s="20"/>
      <c r="C6" s="20"/>
      <c r="D6" s="20"/>
      <c r="E6" s="20"/>
      <c r="F6" s="23"/>
      <c r="G6" s="23" t="str">
        <f t="shared" si="0"/>
        <v/>
      </c>
      <c r="H6" s="20"/>
      <c r="I6" s="20"/>
      <c r="J6" s="20" t="s">
        <v>216</v>
      </c>
      <c r="K6" s="20"/>
      <c r="L6" s="20" t="str">
        <f t="shared" si="1"/>
        <v>No</v>
      </c>
      <c r="M6" s="20"/>
    </row>
    <row r="7" spans="1:13" ht="28.8" x14ac:dyDescent="0.3">
      <c r="A7" s="20" t="s">
        <v>280</v>
      </c>
      <c r="B7" s="20"/>
      <c r="C7" s="20"/>
      <c r="D7" s="20"/>
      <c r="E7" s="20"/>
      <c r="F7" s="23"/>
      <c r="G7" s="23" t="str">
        <f t="shared" si="0"/>
        <v/>
      </c>
      <c r="H7" s="20"/>
      <c r="I7" s="20"/>
      <c r="J7" s="20" t="s">
        <v>216</v>
      </c>
      <c r="K7" s="20"/>
      <c r="L7" s="20" t="str">
        <f t="shared" si="1"/>
        <v>No</v>
      </c>
      <c r="M7" s="20"/>
    </row>
    <row r="8" spans="1:13" ht="28.8" x14ac:dyDescent="0.3">
      <c r="A8" s="20" t="s">
        <v>281</v>
      </c>
      <c r="B8" s="20"/>
      <c r="C8" s="20"/>
      <c r="D8" s="20"/>
      <c r="E8" s="20"/>
      <c r="F8" s="23"/>
      <c r="G8" s="23" t="str">
        <f t="shared" si="0"/>
        <v/>
      </c>
      <c r="H8" s="20"/>
      <c r="I8" s="20"/>
      <c r="J8" s="20" t="s">
        <v>216</v>
      </c>
      <c r="K8" s="20"/>
      <c r="L8" s="20" t="str">
        <f t="shared" si="1"/>
        <v>No</v>
      </c>
      <c r="M8" s="20"/>
    </row>
    <row r="9" spans="1:13" ht="28.8" x14ac:dyDescent="0.3">
      <c r="A9" s="20" t="s">
        <v>282</v>
      </c>
      <c r="B9" s="20"/>
      <c r="C9" s="20"/>
      <c r="D9" s="20"/>
      <c r="E9" s="20"/>
      <c r="F9" s="23"/>
      <c r="G9" s="23" t="str">
        <f t="shared" si="0"/>
        <v/>
      </c>
      <c r="H9" s="20"/>
      <c r="I9" s="20"/>
      <c r="J9" s="20" t="s">
        <v>216</v>
      </c>
      <c r="K9" s="20"/>
      <c r="L9" s="20" t="str">
        <f t="shared" si="1"/>
        <v>No</v>
      </c>
      <c r="M9" s="20"/>
    </row>
    <row r="10" spans="1:13" ht="28.8" x14ac:dyDescent="0.3">
      <c r="A10" s="20" t="s">
        <v>283</v>
      </c>
      <c r="B10" s="20"/>
      <c r="C10" s="20"/>
      <c r="D10" s="20"/>
      <c r="E10" s="20"/>
      <c r="F10" s="23"/>
      <c r="G10" s="23" t="str">
        <f t="shared" si="0"/>
        <v/>
      </c>
      <c r="H10" s="20"/>
      <c r="I10" s="20"/>
      <c r="J10" s="20" t="s">
        <v>216</v>
      </c>
      <c r="K10" s="20"/>
      <c r="L10" s="20" t="str">
        <f t="shared" si="1"/>
        <v>No</v>
      </c>
      <c r="M10" s="20"/>
    </row>
    <row r="11" spans="1:13" ht="28.8" x14ac:dyDescent="0.3">
      <c r="A11" s="20" t="s">
        <v>284</v>
      </c>
      <c r="B11" s="20"/>
      <c r="C11" s="20"/>
      <c r="D11" s="20"/>
      <c r="E11" s="20"/>
      <c r="F11" s="23"/>
      <c r="G11" s="23" t="str">
        <f t="shared" si="0"/>
        <v/>
      </c>
      <c r="H11" s="20"/>
      <c r="I11" s="20"/>
      <c r="J11" s="20" t="s">
        <v>216</v>
      </c>
      <c r="K11" s="20"/>
      <c r="L11" s="20" t="str">
        <f t="shared" si="1"/>
        <v>No</v>
      </c>
      <c r="M11" s="20"/>
    </row>
    <row r="12" spans="1:13" ht="28.8" x14ac:dyDescent="0.3">
      <c r="A12" s="20" t="s">
        <v>285</v>
      </c>
      <c r="B12" s="20"/>
      <c r="C12" s="20"/>
      <c r="D12" s="20"/>
      <c r="E12" s="20"/>
      <c r="F12" s="23"/>
      <c r="G12" s="23" t="str">
        <f t="shared" si="0"/>
        <v/>
      </c>
      <c r="H12" s="20"/>
      <c r="I12" s="20"/>
      <c r="J12" s="20" t="s">
        <v>216</v>
      </c>
      <c r="K12" s="20"/>
      <c r="L12" s="20" t="str">
        <f t="shared" si="1"/>
        <v>No</v>
      </c>
      <c r="M12" s="20"/>
    </row>
    <row r="13" spans="1:13" ht="28.8" x14ac:dyDescent="0.3">
      <c r="A13" s="20" t="s">
        <v>286</v>
      </c>
      <c r="B13" s="20"/>
      <c r="C13" s="20"/>
      <c r="D13" s="20"/>
      <c r="E13" s="20"/>
      <c r="F13" s="23"/>
      <c r="G13" s="23" t="str">
        <f t="shared" si="0"/>
        <v/>
      </c>
      <c r="H13" s="20"/>
      <c r="I13" s="20"/>
      <c r="J13" s="20" t="s">
        <v>216</v>
      </c>
      <c r="K13" s="20"/>
      <c r="L13" s="20" t="str">
        <f t="shared" si="1"/>
        <v>No</v>
      </c>
      <c r="M13" s="20"/>
    </row>
    <row r="14" spans="1:13" ht="28.8" x14ac:dyDescent="0.3">
      <c r="A14" s="20" t="s">
        <v>287</v>
      </c>
      <c r="B14" s="20"/>
      <c r="C14" s="20"/>
      <c r="D14" s="20"/>
      <c r="E14" s="20"/>
      <c r="F14" s="23"/>
      <c r="G14" s="23" t="str">
        <f t="shared" si="0"/>
        <v/>
      </c>
      <c r="H14" s="20"/>
      <c r="I14" s="20"/>
      <c r="J14" s="20" t="s">
        <v>216</v>
      </c>
      <c r="K14" s="20"/>
      <c r="L14" s="20" t="str">
        <f t="shared" si="1"/>
        <v>No</v>
      </c>
      <c r="M14" s="20"/>
    </row>
    <row r="15" spans="1:13" ht="28.8" x14ac:dyDescent="0.3">
      <c r="A15" s="20" t="s">
        <v>288</v>
      </c>
      <c r="B15" s="20"/>
      <c r="C15" s="20"/>
      <c r="D15" s="20"/>
      <c r="E15" s="20"/>
      <c r="F15" s="23"/>
      <c r="G15" s="23" t="str">
        <f t="shared" si="0"/>
        <v/>
      </c>
      <c r="H15" s="20"/>
      <c r="I15" s="20"/>
      <c r="J15" s="20" t="s">
        <v>216</v>
      </c>
      <c r="K15" s="20"/>
      <c r="L15" s="20" t="str">
        <f t="shared" si="1"/>
        <v>No</v>
      </c>
      <c r="M15" s="20"/>
    </row>
    <row r="16" spans="1:13" ht="28.8" x14ac:dyDescent="0.3">
      <c r="A16" s="20" t="s">
        <v>289</v>
      </c>
      <c r="B16" s="20"/>
      <c r="C16" s="20"/>
      <c r="D16" s="20"/>
      <c r="E16" s="20"/>
      <c r="F16" s="23"/>
      <c r="G16" s="23" t="str">
        <f t="shared" si="0"/>
        <v/>
      </c>
      <c r="H16" s="20"/>
      <c r="I16" s="20"/>
      <c r="J16" s="20" t="s">
        <v>216</v>
      </c>
      <c r="K16" s="20"/>
      <c r="L16" s="20" t="str">
        <f t="shared" si="1"/>
        <v>No</v>
      </c>
      <c r="M16" s="20"/>
    </row>
    <row r="17" spans="1:13" ht="28.8" x14ac:dyDescent="0.3">
      <c r="A17" s="20" t="s">
        <v>290</v>
      </c>
      <c r="B17" s="20"/>
      <c r="C17" s="20"/>
      <c r="D17" s="20"/>
      <c r="E17" s="20"/>
      <c r="F17" s="23"/>
      <c r="G17" s="23" t="str">
        <f t="shared" si="0"/>
        <v/>
      </c>
      <c r="H17" s="20"/>
      <c r="I17" s="20"/>
      <c r="J17" s="20" t="s">
        <v>216</v>
      </c>
      <c r="K17" s="20"/>
      <c r="L17" s="20" t="str">
        <f t="shared" si="1"/>
        <v>No</v>
      </c>
      <c r="M17" s="20"/>
    </row>
    <row r="18" spans="1:13" ht="28.8" x14ac:dyDescent="0.3">
      <c r="A18" s="20" t="s">
        <v>291</v>
      </c>
      <c r="B18" s="20"/>
      <c r="C18" s="20"/>
      <c r="D18" s="20"/>
      <c r="E18" s="20"/>
      <c r="F18" s="23"/>
      <c r="G18" s="23" t="str">
        <f t="shared" si="0"/>
        <v/>
      </c>
      <c r="H18" s="20"/>
      <c r="I18" s="20"/>
      <c r="J18" s="20" t="s">
        <v>216</v>
      </c>
      <c r="K18" s="20"/>
      <c r="L18" s="20" t="str">
        <f t="shared" si="1"/>
        <v>No</v>
      </c>
      <c r="M18" s="20"/>
    </row>
    <row r="19" spans="1:13" ht="28.8" x14ac:dyDescent="0.3">
      <c r="A19" s="20" t="s">
        <v>292</v>
      </c>
      <c r="B19" s="20"/>
      <c r="C19" s="20"/>
      <c r="D19" s="20"/>
      <c r="E19" s="20"/>
      <c r="F19" s="23"/>
      <c r="G19" s="23" t="str">
        <f t="shared" si="0"/>
        <v/>
      </c>
      <c r="H19" s="20"/>
      <c r="I19" s="20"/>
      <c r="J19" s="20" t="s">
        <v>216</v>
      </c>
      <c r="K19" s="20"/>
      <c r="L19" s="20" t="str">
        <f t="shared" si="1"/>
        <v>No</v>
      </c>
      <c r="M19" s="20"/>
    </row>
    <row r="20" spans="1:13" ht="28.8" x14ac:dyDescent="0.3">
      <c r="A20" s="20" t="s">
        <v>293</v>
      </c>
      <c r="B20" s="20"/>
      <c r="C20" s="20"/>
      <c r="D20" s="20"/>
      <c r="E20" s="20"/>
      <c r="F20" s="23"/>
      <c r="G20" s="23" t="str">
        <f t="shared" si="0"/>
        <v/>
      </c>
      <c r="H20" s="20"/>
      <c r="I20" s="20"/>
      <c r="J20" s="20" t="s">
        <v>216</v>
      </c>
      <c r="K20" s="20"/>
      <c r="L20" s="20" t="str">
        <f t="shared" si="1"/>
        <v>No</v>
      </c>
      <c r="M20" s="20"/>
    </row>
    <row r="21" spans="1:13" ht="28.8" x14ac:dyDescent="0.3">
      <c r="A21" s="20" t="s">
        <v>294</v>
      </c>
      <c r="B21" s="20"/>
      <c r="C21" s="20"/>
      <c r="D21" s="20"/>
      <c r="E21" s="20"/>
      <c r="F21" s="23"/>
      <c r="G21" s="23" t="str">
        <f t="shared" si="0"/>
        <v/>
      </c>
      <c r="H21" s="20"/>
      <c r="I21" s="20"/>
      <c r="J21" s="20" t="s">
        <v>216</v>
      </c>
      <c r="K21" s="20"/>
      <c r="L21" s="20" t="str">
        <f t="shared" si="1"/>
        <v>No</v>
      </c>
      <c r="M21" s="20"/>
    </row>
    <row r="22" spans="1:13" ht="28.8" x14ac:dyDescent="0.3">
      <c r="A22" s="20" t="s">
        <v>295</v>
      </c>
      <c r="B22" s="20"/>
      <c r="C22" s="20"/>
      <c r="D22" s="20"/>
      <c r="E22" s="20"/>
      <c r="F22" s="23"/>
      <c r="G22" s="23" t="str">
        <f t="shared" si="0"/>
        <v/>
      </c>
      <c r="H22" s="20"/>
      <c r="I22" s="20"/>
      <c r="J22" s="20" t="s">
        <v>216</v>
      </c>
      <c r="K22" s="20"/>
      <c r="L22" s="20" t="str">
        <f t="shared" si="1"/>
        <v>No</v>
      </c>
      <c r="M22" s="20"/>
    </row>
    <row r="23" spans="1:13" ht="28.8" x14ac:dyDescent="0.3">
      <c r="A23" s="20" t="s">
        <v>296</v>
      </c>
      <c r="B23" s="20"/>
      <c r="C23" s="20"/>
      <c r="D23" s="20"/>
      <c r="E23" s="20"/>
      <c r="F23" s="23"/>
      <c r="G23" s="23" t="str">
        <f t="shared" si="0"/>
        <v/>
      </c>
      <c r="H23" s="20"/>
      <c r="I23" s="20"/>
      <c r="J23" s="20" t="s">
        <v>216</v>
      </c>
      <c r="K23" s="20"/>
      <c r="L23" s="20" t="str">
        <f t="shared" si="1"/>
        <v>No</v>
      </c>
      <c r="M23" s="20"/>
    </row>
    <row r="24" spans="1:13" ht="28.8" x14ac:dyDescent="0.3">
      <c r="A24" s="20" t="s">
        <v>297</v>
      </c>
      <c r="B24" s="20"/>
      <c r="C24" s="20"/>
      <c r="D24" s="20"/>
      <c r="E24" s="20"/>
      <c r="F24" s="23"/>
      <c r="G24" s="23" t="str">
        <f t="shared" si="0"/>
        <v/>
      </c>
      <c r="H24" s="20"/>
      <c r="I24" s="20"/>
      <c r="J24" s="20" t="s">
        <v>216</v>
      </c>
      <c r="K24" s="20"/>
      <c r="L24" s="20" t="str">
        <f t="shared" si="1"/>
        <v>No</v>
      </c>
      <c r="M24" s="20"/>
    </row>
    <row r="25" spans="1:13" ht="28.8" x14ac:dyDescent="0.3">
      <c r="A25" s="20" t="s">
        <v>298</v>
      </c>
      <c r="B25" s="20"/>
      <c r="C25" s="20"/>
      <c r="D25" s="20"/>
      <c r="E25" s="20"/>
      <c r="F25" s="23"/>
      <c r="G25" s="23" t="str">
        <f t="shared" si="0"/>
        <v/>
      </c>
      <c r="H25" s="20"/>
      <c r="I25" s="20"/>
      <c r="J25" s="20" t="s">
        <v>216</v>
      </c>
      <c r="K25" s="20"/>
      <c r="L25" s="20" t="str">
        <f t="shared" si="1"/>
        <v>No</v>
      </c>
      <c r="M25" s="20"/>
    </row>
    <row r="26" spans="1:13" ht="28.8" x14ac:dyDescent="0.3">
      <c r="A26" s="20" t="s">
        <v>299</v>
      </c>
      <c r="B26" s="20"/>
      <c r="C26" s="20"/>
      <c r="D26" s="20"/>
      <c r="E26" s="20"/>
      <c r="F26" s="23"/>
      <c r="G26" s="23" t="str">
        <f t="shared" si="0"/>
        <v/>
      </c>
      <c r="H26" s="20"/>
      <c r="I26" s="20"/>
      <c r="J26" s="20" t="s">
        <v>216</v>
      </c>
      <c r="K26" s="20"/>
      <c r="L26" s="20" t="str">
        <f t="shared" si="1"/>
        <v>No</v>
      </c>
      <c r="M26" s="20"/>
    </row>
    <row r="27" spans="1:13" ht="28.8" x14ac:dyDescent="0.3">
      <c r="A27" s="20" t="s">
        <v>300</v>
      </c>
      <c r="B27" s="20"/>
      <c r="C27" s="20"/>
      <c r="D27" s="20"/>
      <c r="E27" s="20"/>
      <c r="F27" s="23"/>
      <c r="G27" s="23" t="str">
        <f t="shared" si="0"/>
        <v/>
      </c>
      <c r="H27" s="20"/>
      <c r="I27" s="20"/>
      <c r="J27" s="20" t="s">
        <v>216</v>
      </c>
      <c r="K27" s="20"/>
      <c r="L27" s="20" t="str">
        <f t="shared" si="1"/>
        <v>No</v>
      </c>
      <c r="M27" s="20"/>
    </row>
    <row r="28" spans="1:13" ht="28.8" x14ac:dyDescent="0.3">
      <c r="A28" s="20" t="s">
        <v>301</v>
      </c>
      <c r="B28" s="20"/>
      <c r="C28" s="20"/>
      <c r="D28" s="20"/>
      <c r="E28" s="20"/>
      <c r="F28" s="23"/>
      <c r="G28" s="23" t="str">
        <f t="shared" si="0"/>
        <v/>
      </c>
      <c r="H28" s="20"/>
      <c r="I28" s="20"/>
      <c r="J28" s="20" t="s">
        <v>216</v>
      </c>
      <c r="K28" s="20"/>
      <c r="L28" s="20" t="str">
        <f t="shared" si="1"/>
        <v>No</v>
      </c>
      <c r="M28" s="20"/>
    </row>
    <row r="29" spans="1:13" ht="28.8" x14ac:dyDescent="0.3">
      <c r="A29" s="20" t="s">
        <v>302</v>
      </c>
      <c r="B29" s="20"/>
      <c r="C29" s="20"/>
      <c r="D29" s="20"/>
      <c r="E29" s="20"/>
      <c r="F29" s="23"/>
      <c r="G29" s="23" t="str">
        <f t="shared" si="0"/>
        <v/>
      </c>
      <c r="H29" s="20"/>
      <c r="I29" s="20"/>
      <c r="J29" s="20" t="s">
        <v>216</v>
      </c>
      <c r="K29" s="20"/>
      <c r="L29" s="20" t="str">
        <f t="shared" si="1"/>
        <v>No</v>
      </c>
      <c r="M29" s="20"/>
    </row>
    <row r="30" spans="1:13" ht="28.8" x14ac:dyDescent="0.3">
      <c r="A30" s="20" t="s">
        <v>303</v>
      </c>
      <c r="B30" s="20"/>
      <c r="C30" s="20"/>
      <c r="D30" s="20"/>
      <c r="E30" s="20"/>
      <c r="F30" s="23"/>
      <c r="G30" s="23" t="str">
        <f t="shared" si="0"/>
        <v/>
      </c>
      <c r="H30" s="20"/>
      <c r="I30" s="20"/>
      <c r="J30" s="20" t="s">
        <v>216</v>
      </c>
      <c r="K30" s="20"/>
      <c r="L30" s="20" t="str">
        <f t="shared" si="1"/>
        <v>No</v>
      </c>
      <c r="M30" s="20"/>
    </row>
    <row r="31" spans="1:13" ht="28.8" x14ac:dyDescent="0.3">
      <c r="A31" s="20" t="s">
        <v>304</v>
      </c>
      <c r="B31" s="20"/>
      <c r="C31" s="20"/>
      <c r="D31" s="20"/>
      <c r="E31" s="20"/>
      <c r="F31" s="23"/>
      <c r="G31" s="23" t="str">
        <f t="shared" si="0"/>
        <v/>
      </c>
      <c r="H31" s="20"/>
      <c r="I31" s="20"/>
      <c r="J31" s="20" t="s">
        <v>216</v>
      </c>
      <c r="K31" s="20"/>
      <c r="L31" s="20" t="str">
        <f t="shared" si="1"/>
        <v>No</v>
      </c>
      <c r="M31" s="20"/>
    </row>
    <row r="32" spans="1:13" ht="28.8" x14ac:dyDescent="0.3">
      <c r="A32" s="20" t="s">
        <v>305</v>
      </c>
      <c r="B32" s="20"/>
      <c r="C32" s="20"/>
      <c r="D32" s="20"/>
      <c r="E32" s="20"/>
      <c r="F32" s="23"/>
      <c r="G32" s="23" t="str">
        <f t="shared" si="0"/>
        <v/>
      </c>
      <c r="H32" s="20"/>
      <c r="I32" s="20"/>
      <c r="J32" s="20" t="s">
        <v>216</v>
      </c>
      <c r="K32" s="20"/>
      <c r="L32" s="20" t="str">
        <f t="shared" si="1"/>
        <v>No</v>
      </c>
      <c r="M32" s="20"/>
    </row>
    <row r="33" spans="1:13" ht="28.8" x14ac:dyDescent="0.3">
      <c r="A33" s="20" t="s">
        <v>306</v>
      </c>
      <c r="B33" s="20"/>
      <c r="C33" s="20"/>
      <c r="D33" s="20"/>
      <c r="E33" s="20"/>
      <c r="F33" s="23"/>
      <c r="G33" s="23" t="str">
        <f t="shared" si="0"/>
        <v/>
      </c>
      <c r="H33" s="20"/>
      <c r="I33" s="20"/>
      <c r="J33" s="20" t="s">
        <v>216</v>
      </c>
      <c r="K33" s="20"/>
      <c r="L33" s="20" t="str">
        <f t="shared" si="1"/>
        <v>No</v>
      </c>
      <c r="M33" s="20"/>
    </row>
    <row r="34" spans="1:13" ht="28.8" x14ac:dyDescent="0.3">
      <c r="A34" s="20" t="s">
        <v>307</v>
      </c>
      <c r="B34" s="20"/>
      <c r="C34" s="20"/>
      <c r="D34" s="20"/>
      <c r="E34" s="20"/>
      <c r="F34" s="23"/>
      <c r="G34" s="23" t="str">
        <f t="shared" si="0"/>
        <v/>
      </c>
      <c r="H34" s="20"/>
      <c r="I34" s="20"/>
      <c r="J34" s="20" t="s">
        <v>216</v>
      </c>
      <c r="K34" s="20"/>
      <c r="L34" s="20" t="str">
        <f t="shared" si="1"/>
        <v>No</v>
      </c>
      <c r="M34" s="20"/>
    </row>
  </sheetData>
  <mergeCells count="2">
    <mergeCell ref="A1:M1"/>
    <mergeCell ref="A2:M2"/>
  </mergeCells>
  <dataValidations count="5">
    <dataValidation type="list" sqref="B5:B34" xr:uid="{00000000-0002-0000-0700-000000000000}">
      <formula1>"Pump,Conveyor,Gearbox,Motor,Compressor,Fan,Crusher,Screen,Other"</formula1>
    </dataValidation>
    <dataValidation type="list" sqref="E5:E34" xr:uid="{00000000-0002-0000-0700-000001000000}">
      <formula1>"D,W,M,Q,6M,A"</formula1>
    </dataValidation>
    <dataValidation type="list" sqref="I5:I34" xr:uid="{00000000-0002-0000-0700-000002000000}">
      <formula1>"A - Critical,B - Important,C - General"</formula1>
    </dataValidation>
    <dataValidation type="list" sqref="J5:J34" xr:uid="{00000000-0002-0000-0700-000003000000}">
      <formula1>"Open,Planned,Complete,Overdue,Deferred"</formula1>
    </dataValidation>
    <dataValidation type="list" sqref="L5:L34" xr:uid="{00000000-0002-0000-0700-000004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"/>
  <sheetViews>
    <sheetView workbookViewId="0"/>
  </sheetViews>
  <sheetFormatPr defaultRowHeight="14.4" x14ac:dyDescent="0.3"/>
  <cols>
    <col min="1" max="1" width="18" customWidth="1"/>
    <col min="2" max="2" width="100" customWidth="1"/>
  </cols>
  <sheetData>
    <row r="1" spans="1:6" ht="24" customHeight="1" x14ac:dyDescent="0.3">
      <c r="A1" s="3" t="s">
        <v>308</v>
      </c>
      <c r="B1" s="3"/>
      <c r="C1" s="3"/>
      <c r="D1" s="3"/>
      <c r="E1" s="3"/>
      <c r="F1" s="3"/>
    </row>
    <row r="2" spans="1:6" ht="25.65" customHeight="1" x14ac:dyDescent="0.3">
      <c r="A2" s="2" t="s">
        <v>309</v>
      </c>
      <c r="B2" s="2"/>
      <c r="C2" s="2"/>
      <c r="D2" s="2"/>
      <c r="E2" s="2"/>
      <c r="F2" s="2"/>
    </row>
    <row r="4" spans="1:6" ht="20.85" customHeight="1" x14ac:dyDescent="0.3">
      <c r="A4" s="19" t="s">
        <v>266</v>
      </c>
      <c r="B4" s="19" t="s">
        <v>310</v>
      </c>
    </row>
    <row r="5" spans="1:6" x14ac:dyDescent="0.3">
      <c r="A5" s="20" t="s">
        <v>277</v>
      </c>
      <c r="B5" s="20" t="s">
        <v>311</v>
      </c>
    </row>
    <row r="6" spans="1:6" x14ac:dyDescent="0.3">
      <c r="A6" s="20" t="s">
        <v>312</v>
      </c>
      <c r="B6" s="20" t="s">
        <v>313</v>
      </c>
    </row>
    <row r="7" spans="1:6" x14ac:dyDescent="0.3">
      <c r="A7" s="20" t="s">
        <v>314</v>
      </c>
      <c r="B7" s="20" t="s">
        <v>315</v>
      </c>
    </row>
    <row r="8" spans="1:6" x14ac:dyDescent="0.3">
      <c r="A8" s="20" t="s">
        <v>316</v>
      </c>
      <c r="B8" s="20" t="s">
        <v>317</v>
      </c>
    </row>
    <row r="9" spans="1:6" x14ac:dyDescent="0.3">
      <c r="A9" s="20" t="s">
        <v>318</v>
      </c>
      <c r="B9" s="20" t="s">
        <v>319</v>
      </c>
    </row>
    <row r="10" spans="1:6" x14ac:dyDescent="0.3">
      <c r="A10" s="20" t="s">
        <v>320</v>
      </c>
      <c r="B10" s="20" t="s">
        <v>321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2"/>
  <sheetViews>
    <sheetView workbookViewId="0"/>
  </sheetViews>
  <sheetFormatPr defaultRowHeight="14.4" x14ac:dyDescent="0.3"/>
  <cols>
    <col min="1" max="1" width="30" customWidth="1"/>
    <col min="2" max="2" width="18" customWidth="1"/>
    <col min="3" max="3" width="58" customWidth="1"/>
  </cols>
  <sheetData>
    <row r="1" spans="1:10" ht="24" customHeight="1" x14ac:dyDescent="0.3">
      <c r="A1" s="3" t="s">
        <v>322</v>
      </c>
      <c r="B1" s="3"/>
      <c r="C1" s="3"/>
      <c r="D1" s="3"/>
      <c r="E1" s="3"/>
      <c r="F1" s="3"/>
      <c r="G1" s="3"/>
      <c r="H1" s="3"/>
      <c r="I1" s="3"/>
      <c r="J1" s="3"/>
    </row>
    <row r="2" spans="1:10" ht="25.65" customHeight="1" x14ac:dyDescent="0.3">
      <c r="A2" s="2" t="s">
        <v>323</v>
      </c>
      <c r="B2" s="2"/>
      <c r="C2" s="2"/>
      <c r="D2" s="2"/>
      <c r="E2" s="2"/>
      <c r="F2" s="2"/>
      <c r="G2" s="2"/>
      <c r="H2" s="2"/>
      <c r="I2" s="2"/>
      <c r="J2" s="2"/>
    </row>
    <row r="4" spans="1:10" x14ac:dyDescent="0.3">
      <c r="A4" s="22" t="s">
        <v>324</v>
      </c>
      <c r="B4" s="22" t="s">
        <v>325</v>
      </c>
      <c r="C4" s="22" t="s">
        <v>326</v>
      </c>
    </row>
    <row r="5" spans="1:10" x14ac:dyDescent="0.3">
      <c r="A5" s="26" t="s">
        <v>327</v>
      </c>
      <c r="B5">
        <f>COUNTA('Master PM Register'!A5:A34)</f>
        <v>30</v>
      </c>
      <c r="C5" t="s">
        <v>328</v>
      </c>
    </row>
    <row r="6" spans="1:10" x14ac:dyDescent="0.3">
      <c r="A6" s="26" t="s">
        <v>329</v>
      </c>
      <c r="B6">
        <f ca="1">COUNTIF('Master PM Register'!G5:G34,"&lt;"&amp;TODAY())</f>
        <v>0</v>
      </c>
      <c r="C6" t="s">
        <v>330</v>
      </c>
    </row>
    <row r="7" spans="1:10" x14ac:dyDescent="0.3">
      <c r="A7" s="26" t="s">
        <v>331</v>
      </c>
      <c r="B7">
        <f>COUNTIF('📋 Daily PM'!E:E,"✗")</f>
        <v>0</v>
      </c>
      <c r="C7" t="s">
        <v>332</v>
      </c>
    </row>
    <row r="8" spans="1:10" x14ac:dyDescent="0.3">
      <c r="A8" s="26" t="s">
        <v>333</v>
      </c>
      <c r="B8">
        <f>COUNTIF('📋 Weekly PM'!E:E,"✗")</f>
        <v>0</v>
      </c>
      <c r="C8" t="s">
        <v>334</v>
      </c>
    </row>
    <row r="9" spans="1:10" x14ac:dyDescent="0.3">
      <c r="A9" s="26" t="s">
        <v>335</v>
      </c>
      <c r="B9">
        <f>COUNTIF('📋 Monthly PM'!E:E,"✗")</f>
        <v>0</v>
      </c>
      <c r="C9" t="s">
        <v>336</v>
      </c>
    </row>
    <row r="10" spans="1:10" x14ac:dyDescent="0.3">
      <c r="A10" s="26" t="s">
        <v>337</v>
      </c>
      <c r="B10">
        <f>COUNTIF('📋 Quarterly PM'!E:E,"✗")</f>
        <v>0</v>
      </c>
      <c r="C10" t="s">
        <v>338</v>
      </c>
    </row>
    <row r="11" spans="1:10" x14ac:dyDescent="0.3">
      <c r="A11" s="26" t="s">
        <v>339</v>
      </c>
      <c r="B11">
        <f>COUNTIFS('Action Tracker'!H:H,"&lt;&gt;Complete",'Action Tracker'!H:H,"&lt;&gt;Verified",'Action Tracker'!A:A,"&lt;&gt;")</f>
        <v>3</v>
      </c>
      <c r="C11" t="s">
        <v>340</v>
      </c>
    </row>
    <row r="12" spans="1:10" x14ac:dyDescent="0.3">
      <c r="A12" s="26" t="s">
        <v>341</v>
      </c>
      <c r="B12" t="str">
        <f>IF(B5&gt;0,"OVERDUE PM",IF(SUM(B6:B9)&gt;0,"PM DEFECTS","CONTROLLED"))</f>
        <v>OVERDUE PM</v>
      </c>
      <c r="C12" t="s">
        <v>342</v>
      </c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📋 Daily PM</vt:lpstr>
      <vt:lpstr>📋 Weekly PM</vt:lpstr>
      <vt:lpstr>📋 Monthly PM</vt:lpstr>
      <vt:lpstr>📋 Quarterly PM</vt:lpstr>
      <vt:lpstr>Premium Guide</vt:lpstr>
      <vt:lpstr>Lists</vt:lpstr>
      <vt:lpstr>Action Tracker</vt:lpstr>
      <vt:lpstr>Master PM Register</vt:lpstr>
      <vt:lpstr>Equipment PM Templates</vt:lpstr>
      <vt:lpstr>Compliance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2 11</dc:creator>
  <cp:lastModifiedBy>2 11</cp:lastModifiedBy>
  <dcterms:created xsi:type="dcterms:W3CDTF">2026-06-26T00:58:45Z</dcterms:created>
  <dcterms:modified xsi:type="dcterms:W3CDTF">2026-06-26T00:58:48Z</dcterms:modified>
</cp:coreProperties>
</file>