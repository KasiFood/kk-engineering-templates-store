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094599025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📋 Daily PM" sheetId="1" r:id="R264f27681ecd45b3"/>
    <x:sheet xmlns:r="http://schemas.openxmlformats.org/officeDocument/2006/relationships" name="📋 Weekly PM" sheetId="2" r:id="Re6a5b2452de94407"/>
    <x:sheet xmlns:r="http://schemas.openxmlformats.org/officeDocument/2006/relationships" name="📋 Monthly PM" sheetId="3" r:id="R6ac1d58b6bc04680"/>
    <x:sheet xmlns:r="http://schemas.openxmlformats.org/officeDocument/2006/relationships" name="📋 Quarterly PM" sheetId="4" r:id="Rc18916d690a44586"/>
    <x:sheet xmlns:r="http://schemas.openxmlformats.org/officeDocument/2006/relationships" name="Premium Guide" sheetId="5" r:id="Ra5111d291d174f61"/>
    <x:sheet xmlns:r="http://schemas.openxmlformats.org/officeDocument/2006/relationships" name="Lists" sheetId="6" r:id="Rc9882668776c41ba"/>
    <x:sheet xmlns:r="http://schemas.openxmlformats.org/officeDocument/2006/relationships" name="Action Tracker" sheetId="7" r:id="Rf8a4ddf640be4113"/>
    <x:sheet xmlns:r="http://schemas.openxmlformats.org/officeDocument/2006/relationships" name="Master PM Register" sheetId="8" r:id="R7a9f6ffd0824494e"/>
    <x:sheet xmlns:r="http://schemas.openxmlformats.org/officeDocument/2006/relationships" name="Equipment PM Templates" sheetId="9" r:id="Rbede71f3d1cf4ee6"/>
    <x:sheet xmlns:r="http://schemas.openxmlformats.org/officeDocument/2006/relationships" name="Compliance Dashboard" sheetId="10" r:id="Rc2f72e3dd04d4064"/>
  </x:sheets>
</x:workbook>
</file>

<file path=xl/sharedStrings.xml><?xml version="1.0" encoding="utf-8"?>
<x:sst xmlns:x="http://schemas.openxmlformats.org/spreadsheetml/2006/main">
  <x:si>
    <x:t xml:space="preserve">PREVENTIVE MAINTENANCE CHECKLIST — Daily — Each Shift/Day</x:t>
  </x:si>
  <x:si>
    <x:t xml:space="preserve">► Complete ALL items. Mark: ✓ Pass  ✗ Fail  N/A = Not Applicable  |  Yellow = input required</x:t>
  </x:si>
  <x:si>
    <x:t xml:space="preserve">Date:</x:t>
  </x:si>
  <x:si>
    <x:t xml:space="preserve">Equipment:</x:t>
  </x:si>
  <x:si>
    <x:t xml:space="preserve">Area:</x:t>
  </x:si>
  <x:si>
    <x:t xml:space="preserve">Technician:</x:t>
  </x:si>
  <x:si>
    <x:t xml:space="preserve">WO #:</x:t>
  </x:si>
  <x:si>
    <x:t xml:space="preserve">Shift:</x:t>
  </x:si>
  <x:si>
    <x:t xml:space="preserve">Plant:</x:t>
  </x:si>
  <x:si>
    <x:t xml:space="preserve">Supervisor:</x:t>
  </x:si>
  <x:si>
    <x:t xml:space="preserve">#</x:t>
  </x:si>
  <x:si>
    <x:t xml:space="preserve">Inspection Item</x:t>
  </x:si>
  <x:si>
    <x:t xml:space="preserve">Method / Standard</x:t>
  </x:si>
  <x:si>
    <x:t xml:space="preserve">Result
✓/✗/N/A</x:t>
  </x:si>
  <x:si>
    <x:t xml:space="preserve">Reading
(if applicable)</x:t>
  </x:si>
  <x:si>
    <x:t xml:space="preserve">Limit / Spec</x:t>
  </x:si>
  <x:si>
    <x:t xml:space="preserve">Pass/Fail</x:t>
  </x:si>
  <x:si>
    <x:t xml:space="preserve">Action Required</x:t>
  </x:si>
  <x:si>
    <x:t xml:space="preserve">Initials</x:t>
  </x:si>
  <x:si>
    <x:t xml:space="preserve">  PUMPS</x:t>
  </x:si>
  <x:si>
    <x:t xml:space="preserve">1</x:t>
  </x:si>
  <x:si>
    <x:t xml:space="preserve">Check oil level — sight glass</x:t>
  </x:si>
  <x:si>
    <x:t xml:space="preserve">Visual: within min/max marks</x:t>
  </x:si>
  <x:si>
    <x:t xml:space="preserve">2</x:t>
  </x:si>
  <x:si>
    <x:t xml:space="preserve">Check for seal leaks / drips</x:t>
  </x:si>
  <x:si>
    <x:t xml:space="preserve">Visual: no leakage at gland</x:t>
  </x:si>
  <x:si>
    <x:t xml:space="preserve">3</x:t>
  </x:si>
  <x:si>
    <x:t xml:space="preserve">Check bearing temperature</x:t>
  </x:si>
  <x:si>
    <x:t xml:space="preserve">Infrared / touch: ≤ 80°C</x:t>
  </x:si>
  <x:si>
    <x:t xml:space="preserve">4</x:t>
  </x:si>
  <x:si>
    <x:t xml:space="preserve">Check discharge pressure</x:t>
  </x:si>
  <x:si>
    <x:t xml:space="preserve">Gauge: per process spec</x:t>
  </x:si>
  <x:si>
    <x:t xml:space="preserve">5</x:t>
  </x:si>
  <x:si>
    <x:t xml:space="preserve">Listen for unusual noise / vibration</x:t>
  </x:si>
  <x:si>
    <x:t xml:space="preserve">Audible: no knocking/grinding</x:t>
  </x:si>
  <x:si>
    <x:t xml:space="preserve">  CONVEYORS</x:t>
  </x:si>
  <x:si>
    <x:t xml:space="preserve">6</x:t>
  </x:si>
  <x:si>
    <x:t xml:space="preserve">Inspect belt tracking — centre alignment</x:t>
  </x:si>
  <x:si>
    <x:t xml:space="preserve">Visual: belt centred</x:t>
  </x:si>
  <x:si>
    <x:t xml:space="preserve">7</x:t>
  </x:si>
  <x:si>
    <x:t xml:space="preserve">Check belt tension</x:t>
  </x:si>
  <x:si>
    <x:t xml:space="preserve">Visual: no sagging</x:t>
  </x:si>
  <x:si>
    <x:t xml:space="preserve">8</x:t>
  </x:si>
  <x:si>
    <x:t xml:space="preserve">Inspect idlers — rotation / condition</x:t>
  </x:si>
  <x:si>
    <x:t xml:space="preserve">Visual/Audible: all rotating</x:t>
  </x:si>
  <x:si>
    <x:t xml:space="preserve">9</x:t>
  </x:si>
  <x:si>
    <x:t xml:space="preserve">Check emergency stops functional</x:t>
  </x:si>
  <x:si>
    <x:t xml:space="preserve">Test each E-stop: actuates</x:t>
  </x:si>
  <x:si>
    <x:t xml:space="preserve">10</x:t>
  </x:si>
  <x:si>
    <x:t xml:space="preserve">Inspect skirts / scrapers</x:t>
  </x:si>
  <x:si>
    <x:t xml:space="preserve">Visual: contact maintained</x:t>
  </x:si>
  <x:si>
    <x:t xml:space="preserve">  DRIVES</x:t>
  </x:si>
  <x:si>
    <x:t xml:space="preserve">11</x:t>
  </x:si>
  <x:si>
    <x:t xml:space="preserve">Check motor temperature</x:t>
  </x:si>
  <x:si>
    <x:t xml:space="preserve">Infrared: ≤ nameplate rating</x:t>
  </x:si>
  <x:si>
    <x:t xml:space="preserve">12</x:t>
  </x:si>
  <x:si>
    <x:t xml:space="preserve">Inspect coupling guards in place</x:t>
  </x:si>
  <x:si>
    <x:t xml:space="preserve">Visual: guarding intact</x:t>
  </x:si>
  <x:si>
    <x:t xml:space="preserve">13</x:t>
  </x:si>
  <x:si>
    <x:t xml:space="preserve">Check gearbox oil level</x:t>
  </x:si>
  <x:si>
    <x:t xml:space="preserve">Sight glass: within marks</x:t>
  </x:si>
  <x:si>
    <x:t xml:space="preserve">  ELECTRICAL</x:t>
  </x:si>
  <x:si>
    <x:t xml:space="preserve">14</x:t>
  </x:si>
  <x:si>
    <x:t xml:space="preserve">Check panel door seals intact</x:t>
  </x:si>
  <x:si>
    <x:t xml:space="preserve">Visual: no gaps</x:t>
  </x:si>
  <x:si>
    <x:t xml:space="preserve">15</x:t>
  </x:si>
  <x:si>
    <x:t xml:space="preserve">Inspect cable routing — no damage</x:t>
  </x:si>
  <x:si>
    <x:t xml:space="preserve">Visual: no chafing/exposure</x:t>
  </x:si>
  <x:si>
    <x:t xml:space="preserve">  GENERAL</x:t>
  </x:si>
  <x:si>
    <x:t xml:space="preserve">16</x:t>
  </x:si>
  <x:si>
    <x:t xml:space="preserve">Inspect for fluid spills on floor</x:t>
  </x:si>
  <x:si>
    <x:t xml:space="preserve">Visual: clean/dry</x:t>
  </x:si>
  <x:si>
    <x:t xml:space="preserve">17</x:t>
  </x:si>
  <x:si>
    <x:t xml:space="preserve">Check fire extinguisher in place</x:t>
  </x:si>
  <x:si>
    <x:t xml:space="preserve">Visual: mounted/accessible</x:t>
  </x:si>
  <x:si>
    <x:t xml:space="preserve">18</x:t>
  </x:si>
  <x:si>
    <x:t xml:space="preserve">Inspect housekeeping of work area</x:t>
  </x:si>
  <x:si>
    <x:t xml:space="preserve">Visual: clear of debris</x:t>
  </x:si>
  <x:si>
    <x:t xml:space="preserve">Technician Signature:</x:t>
  </x:si>
  <x:si>
    <x:t xml:space="preserve">Supervisor Sign-off:</x:t>
  </x:si>
  <x:si>
    <x:t xml:space="preserve">PREVENTIVE MAINTENANCE CHECKLIST — Weekly — Every 7 Days</x:t>
  </x:si>
  <x:si>
    <x:t xml:space="preserve">Grease bearings — per lubrication schedule</x:t>
  </x:si>
  <x:si>
    <x:t xml:space="preserve">Grease gun: as per spec</x:t>
  </x:si>
  <x:si>
    <x:t xml:space="preserve">Check mechanical seal condition</x:t>
  </x:si>
  <x:si>
    <x:t xml:space="preserve">Visual: no scoring/leakage</x:t>
  </x:si>
  <x:si>
    <x:t xml:space="preserve">Check suction strainer — clean if needed</x:t>
  </x:si>
  <x:si>
    <x:t xml:space="preserve">Visual/Pressure: dp &lt; 0.05 bar</x:t>
  </x:si>
  <x:si>
    <x:t xml:space="preserve">Inspect belt for cuts / tears / splices</x:t>
  </x:si>
  <x:si>
    <x:t xml:space="preserve">Visual: no damage</x:t>
  </x:si>
  <x:si>
    <x:t xml:space="preserve">Check head &amp; tail pulley lagging</x:t>
  </x:si>
  <x:si>
    <x:t xml:space="preserve">Visual: lagging intact</x:t>
  </x:si>
  <x:si>
    <x:t xml:space="preserve">Inspect belt wiper / scraper blade</x:t>
  </x:si>
  <x:si>
    <x:t xml:space="preserve">Visual: blade not worn out</x:t>
  </x:si>
  <x:si>
    <x:t xml:space="preserve">Check structure bolts — tighten loose</x:t>
  </x:si>
  <x:si>
    <x:t xml:space="preserve">Spanner: all tight</x:t>
  </x:si>
  <x:si>
    <x:t xml:space="preserve">  GEARBOXES</x:t>
  </x:si>
  <x:si>
    <x:t xml:space="preserve">Check oil level — top up if needed</x:t>
  </x:si>
  <x:si>
    <x:t xml:space="preserve">Sight glass: full mark</x:t>
  </x:si>
  <x:si>
    <x:t xml:space="preserve">Inspect vent cap — clean if blocked</x:t>
  </x:si>
  <x:si>
    <x:t xml:space="preserve">Visual: vent clear</x:t>
  </x:si>
  <x:si>
    <x:t xml:space="preserve">Check for oil leaks at seals</x:t>
  </x:si>
  <x:si>
    <x:t xml:space="preserve">Visual: no wet staining</x:t>
  </x:si>
  <x:si>
    <x:t xml:space="preserve">Test earth leakage / RCD devices</x:t>
  </x:si>
  <x:si>
    <x:t xml:space="preserve">Test button: trips correctly</x:t>
  </x:si>
  <x:si>
    <x:t xml:space="preserve">Clean panel cooling fans / filters</x:t>
  </x:si>
  <x:si>
    <x:t xml:space="preserve">Visual: no dust buildup</x:t>
  </x:si>
  <x:si>
    <x:t xml:space="preserve">Check V-belt / chain tension</x:t>
  </x:si>
  <x:si>
    <x:t xml:space="preserve">Manual: correct deflection</x:t>
  </x:si>
  <x:si>
    <x:t xml:space="preserve">Inspect shaft alignment — check for movement</x:t>
  </x:si>
  <x:si>
    <x:t xml:space="preserve">Dial gauge or visual</x:t>
  </x:si>
  <x:si>
    <x:t xml:space="preserve">  SAFETY</x:t>
  </x:si>
  <x:si>
    <x:t xml:space="preserve">Test emergency stops — all zones</x:t>
  </x:si>
  <x:si>
    <x:t xml:space="preserve">Function test: each stops</x:t>
  </x:si>
  <x:si>
    <x:t xml:space="preserve">Check safety signage in place</x:t>
  </x:si>
  <x:si>
    <x:t xml:space="preserve">Visual: all signs legible</x:t>
  </x:si>
  <x:si>
    <x:t xml:space="preserve">PREVENTIVE MAINTENANCE CHECKLIST — Monthly — Every 30 Days</x:t>
  </x:si>
  <x:si>
    <x:t xml:space="preserve">Full oil analysis — take sample</x:t>
  </x:si>
  <x:si>
    <x:t xml:space="preserve">Sample bottle: send to lab</x:t>
  </x:si>
  <x:si>
    <x:t xml:space="preserve">Measure flow rate vs baseline</x:t>
  </x:si>
  <x:si>
    <x:t xml:space="preserve">Flow meter: ±5% of design</x:t>
  </x:si>
  <x:si>
    <x:t xml:space="preserve">Inspect impeller for cavitation damage</x:t>
  </x:si>
  <x:si>
    <x:t xml:space="preserve">Visual after opening</x:t>
  </x:si>
  <x:si>
    <x:t xml:space="preserve">Oil drain and refill if due</x:t>
  </x:si>
  <x:si>
    <x:t xml:space="preserve">Litres: per OEM schedule</x:t>
  </x:si>
  <x:si>
    <x:t xml:space="preserve">Vibration measurement — bearing housings</x:t>
  </x:si>
  <x:si>
    <x:t xml:space="preserve">Vibration analyser: mm/s</x:t>
  </x:si>
  <x:si>
    <x:t xml:space="preserve">Thermographic scan</x:t>
  </x:si>
  <x:si>
    <x:t xml:space="preserve">IR camera: no hot spots</x:t>
  </x:si>
  <x:si>
    <x:t xml:space="preserve">Full structural inspection — walkdown</x:t>
  </x:si>
  <x:si>
    <x:t xml:space="preserve">Visual: all bolts, frames</x:t>
  </x:si>
  <x:si>
    <x:t xml:space="preserve">Measure belt wear — thickness</x:t>
  </x:si>
  <x:si>
    <x:t xml:space="preserve">Callipers: per spec</x:t>
  </x:si>
  <x:si>
    <x:t xml:space="preserve">Motor insulation resistance (Megger)</x:t>
  </x:si>
  <x:si>
    <x:t xml:space="preserve">Megger: ≥ 1 MΩ at 500V</x:t>
  </x:si>
  <x:si>
    <x:t xml:space="preserve">Check motor earthing continuity</x:t>
  </x:si>
  <x:si>
    <x:t xml:space="preserve">Continuity tester: &lt; 1 Ω</x:t>
  </x:si>
  <x:si>
    <x:t xml:space="preserve">Thermal imaging of MCC panels</x:t>
  </x:si>
  <x:si>
    <x:t xml:space="preserve">IR camera: no hot connections</x:t>
  </x:si>
  <x:si>
    <x:t xml:space="preserve">Check cable terminations — tighten</x:t>
  </x:si>
  <x:si>
    <x:t xml:space="preserve">Torque wrench: per spec</x:t>
  </x:si>
  <x:si>
    <x:t xml:space="preserve">  CONTROL</x:t>
  </x:si>
  <x:si>
    <x:t xml:space="preserve">Calibrate sensors — pressure/temp/flow</x:t>
  </x:si>
  <x:si>
    <x:t xml:space="preserve">Calibrator: ±0.5%</x:t>
  </x:si>
  <x:si>
    <x:t xml:space="preserve">Full emergency shutdown test</x:t>
  </x:si>
  <x:si>
    <x:t xml:space="preserve">Procedure: system shuts down</x:t>
  </x:si>
  <x:si>
    <x:t xml:space="preserve">Review and update risk assessment</x:t>
  </x:si>
  <x:si>
    <x:t xml:space="preserve">Document: signed off</x:t>
  </x:si>
  <x:si>
    <x:t xml:space="preserve">PREVENTIVE MAINTENANCE CHECKLIST — Quarterly — Every 90 Days</x:t>
  </x:si>
  <x:si>
    <x:t xml:space="preserve">Complete overhaul inspection — strip &amp; inspect</x:t>
  </x:si>
  <x:si>
    <x:t xml:space="preserve">As per OEM procedure</x:t>
  </x:si>
  <x:si>
    <x:t xml:space="preserve">Replace mechanical seal if hours exceeded</x:t>
  </x:si>
  <x:si>
    <x:t xml:space="preserve">OEM: hours per spec</x:t>
  </x:si>
  <x:si>
    <x:t xml:space="preserve">Replace bearings — inspect races</x:t>
  </x:si>
  <x:si>
    <x:t xml:space="preserve">Visual/Measurement</x:t>
  </x:si>
  <x:si>
    <x:t xml:space="preserve">Magnetic drain plug inspection — debris check</x:t>
  </x:si>
  <x:si>
    <x:t xml:space="preserve">Visual: metallic content</x:t>
  </x:si>
  <x:si>
    <x:t xml:space="preserve">Full oil change — all gearboxes</x:t>
  </x:si>
  <x:si>
    <x:t xml:space="preserve">Litres: per nameplate</x:t>
  </x:si>
  <x:si>
    <x:t xml:space="preserve">Gear tooth inspection — pitting/wear</x:t>
  </x:si>
  <x:si>
    <x:t xml:space="preserve">Visual/Borescope</x:t>
  </x:si>
  <x:si>
    <x:t xml:space="preserve">Alignment measurement — all coupled equipment</x:t>
  </x:si>
  <x:si>
    <x:t xml:space="preserve">Dial gauge: ≤ 0.05mm</x:t>
  </x:si>
  <x:si>
    <x:t xml:space="preserve">Balance check — rotating equipment</x:t>
  </x:si>
  <x:si>
    <x:t xml:space="preserve">Vibration: ISO 1940 G6.3</x:t>
  </x:si>
  <x:si>
    <x:t xml:space="preserve">Full thermal imaging survey — all panels</x:t>
  </x:si>
  <x:si>
    <x:t xml:space="preserve">IR camera: report issued</x:t>
  </x:si>
  <x:si>
    <x:t xml:space="preserve">Earth continuity test — all equipment</x:t>
  </x:si>
  <x:si>
    <x:t xml:space="preserve">&lt; 1 Ω to earth</x:t>
  </x:si>
  <x:si>
    <x:t xml:space="preserve">Full LOTO procedure audit</x:t>
  </x:si>
  <x:si>
    <x:t xml:space="preserve">Compliance: 100% correct</x:t>
  </x:si>
  <x:si>
    <x:t xml:space="preserve">Emergency response drill</x:t>
  </x:si>
  <x:si>
    <x:t xml:space="preserve">Drill time: &lt; 10 min response</x:t>
  </x:si>
  <x:si>
    <x:t xml:space="preserve">  INSTRUMENTATION</x:t>
  </x:si>
  <x:si>
    <x:t xml:space="preserve">Full calibration — all critical instruments</x:t>
  </x:si>
  <x:si>
    <x:t xml:space="preserve">Calibration certs issued</x:t>
  </x:si>
  <x:si>
    <x:t xml:space="preserve">  STRUCTURAL</x:t>
  </x:si>
  <x:si>
    <x:t xml:space="preserve">Inspect foundations — cracks/settlement</x:t>
  </x:si>
  <x:si>
    <x:t xml:space="preserve">Civil: no movement</x:t>
  </x:si>
  <x:si>
    <x:t xml:space="preserve">  DOCUMENTATION</x:t>
  </x:si>
  <x:si>
    <x:t xml:space="preserve">Update equipment history cards</x:t>
  </x:si>
  <x:si>
    <x:t xml:space="preserve">All WOs captured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</x:si>
</x:sst>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yyyy-mm-dd"/>
  </x:numFmts>
  <x:fonts count="1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E8A020"/>
      <x:name val="Arial"/>
    </x:font>
    <x:font>
      <x:i/>
      <x:sz val="8"/>
      <x:color rgb="FF717D7E"/>
      <x:name val="Arial"/>
    </x:font>
    <x:font>
      <x:b/>
      <x:sz val="9"/>
      <x:color rgb="FFFFFFFF"/>
      <x:name val="Arial"/>
    </x:font>
    <x:font>
      <x:sz val="9"/>
      <x:color rgb="FF1A1A2E"/>
      <x:name val="Arial"/>
    </x:font>
    <x:font>
      <x:b/>
      <x:sz val="16"/>
      <x:color rgb="FFFFFFFF"/>
      <x:name val="Calibri"/>
    </x:font>
    <x:font>
      <x:i/>
      <x:sz val="10"/>
      <x:color rgb="FF1F2937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FFF9E6"/>
      </x:patternFill>
    </x:fill>
    <x:fill>
      <x:patternFill patternType="solid">
        <x:fgColor rgb="FF16213E"/>
      </x:patternFill>
    </x:fill>
    <x:fill>
      <x:patternFill patternType="solid">
        <x:fgColor rgb="FFF2F3F4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6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8">
    <x:xf numFmtId="164" fontId="0" fillId="0" borderId="0" xfId="0" applyFont="0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3" borderId="0" xfId="0" applyFont="1" applyBorder="1" applyAlignment="1">
      <x:alignment horizontal="left" vertical="center" wrapText="0"/>
    </x:xf>
    <x:xf numFmtId="164" fontId="6" fillId="4" borderId="1" xfId="0" applyFont="1" applyBorder="1" applyAlignment="1">
      <x:alignment horizontal="right" vertical="center" wrapText="0"/>
    </x:xf>
    <x:xf numFmtId="164" fontId="7" fillId="3" borderId="1" xfId="0" applyFont="1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6" fillId="4" borderId="2" xfId="0" applyFont="1" applyBorder="1" applyAlignment="1">
      <x:alignment horizontal="left" vertical="center" wrapText="0"/>
    </x:xf>
    <x:xf numFmtId="164" fontId="7" fillId="5" borderId="1" xfId="0" applyFont="1" applyBorder="1" applyAlignment="1">
      <x:alignment horizontal="center" vertical="center" wrapText="0"/>
    </x:xf>
    <x:xf numFmtId="164" fontId="7" fillId="5" borderId="1" xfId="0" applyFont="1" applyBorder="1" applyAlignment="1">
      <x:alignment horizontal="left" vertical="center" wrapText="0"/>
    </x:xf>
    <x:xf numFmtId="164" fontId="7" fillId="3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left" vertical="center" wrapText="0"/>
    </x:xf>
    <x:xf numFmtId="164" fontId="7" fillId="6" borderId="1" xfId="0" applyFont="1" applyBorder="1" applyAlignment="1">
      <x:alignment horizontal="center" vertical="center" wrapText="0"/>
    </x:xf>
    <x:xf numFmtId="164" fontId="7" fillId="6" borderId="1" xfId="0" applyFont="1" applyBorder="1" applyAlignment="1">
      <x:alignment horizontal="left" vertical="center" wrapText="0"/>
    </x:xf>
    <x:xf numFmtId="164" fontId="6" fillId="4" borderId="1" xfId="0" applyFont="1" applyBorder="1" applyAlignment="1">
      <x:alignment horizontal="center" vertical="center" wrapText="1"/>
    </x:xf>
    <x:xf numFmtId="164" fontId="0" fillId="3" borderId="1" xfId="0" applyFont="0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0" fillId="2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0"/>
    </x:xf>
    <x:xf numFmtId="164" fontId="5" fillId="3" borderId="3" xfId="0" applyNumberFormat="1" applyFont="1" applyFill="1" applyBorder="1" applyAlignment="1">
      <x:alignment horizontal="left" vertical="center" wrapText="0"/>
    </x:xf>
    <x:xf numFmtId="164" fontId="6" fillId="4" borderId="4" xfId="0" applyNumberFormat="1" applyFont="1" applyFill="1" applyBorder="1" applyAlignment="1">
      <x:alignment horizontal="right" vertical="center" wrapText="0"/>
    </x:xf>
    <x:xf numFmtId="164" fontId="7" fillId="3" borderId="4" xfId="0" applyNumberFormat="1" applyFont="1" applyFill="1" applyBorder="1" applyAlignment="1">
      <x:alignment horizontal="general" vertical="bottom" wrapText="0"/>
    </x:xf>
    <x:xf numFmtId="164" fontId="6" fillId="2" borderId="4" xfId="0" applyNumberFormat="1" applyFont="1" applyFill="1" applyBorder="1" applyAlignment="1">
      <x:alignment horizontal="center" vertical="center" wrapText="1"/>
    </x:xf>
    <x:xf numFmtId="164" fontId="6" fillId="4" borderId="5" xfId="0" applyNumberFormat="1" applyFont="1" applyFill="1" applyBorder="1" applyAlignment="1">
      <x:alignment horizontal="left" vertical="center" wrapText="0"/>
    </x:xf>
    <x:xf numFmtId="164" fontId="7" fillId="5" borderId="4" xfId="0" applyNumberFormat="1" applyFont="1" applyFill="1" applyBorder="1" applyAlignment="1">
      <x:alignment horizontal="center" vertical="center" wrapText="0"/>
    </x:xf>
    <x:xf numFmtId="164" fontId="7" fillId="5" borderId="4" xfId="0" applyNumberFormat="1" applyFont="1" applyFill="1" applyBorder="1" applyAlignment="1">
      <x:alignment horizontal="left" vertical="center" wrapText="0"/>
    </x:xf>
    <x:xf numFmtId="164" fontId="7" fillId="3" borderId="4" xfId="0" applyNumberFormat="1" applyFont="1" applyFill="1" applyBorder="1" applyAlignment="1">
      <x:alignment horizontal="center" vertical="center" wrapText="0"/>
    </x:xf>
    <x:xf numFmtId="164" fontId="7" fillId="3" borderId="4" xfId="0" applyNumberFormat="1" applyFont="1" applyFill="1" applyBorder="1" applyAlignment="1">
      <x:alignment horizontal="left" vertical="center" wrapText="0"/>
    </x:xf>
    <x:xf numFmtId="164" fontId="7" fillId="6" borderId="4" xfId="0" applyNumberFormat="1" applyFont="1" applyFill="1" applyBorder="1" applyAlignment="1">
      <x:alignment horizontal="center" vertical="center" wrapText="0"/>
    </x:xf>
    <x:xf numFmtId="164" fontId="7" fillId="6" borderId="4" xfId="0" applyNumberFormat="1" applyFont="1" applyFill="1" applyBorder="1" applyAlignment="1">
      <x:alignment horizontal="left" vertical="center" wrapText="0"/>
    </x:xf>
    <x:xf numFmtId="164" fontId="6" fillId="4" borderId="4" xfId="0" applyNumberFormat="1" applyFont="1" applyFill="1" applyBorder="1" applyAlignment="1">
      <x:alignment horizontal="center" vertical="center" wrapText="1"/>
    </x:xf>
    <x:xf numFmtId="164" fontId="0" fillId="3" borderId="4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8" fillId="7" borderId="0" xfId="0" applyNumberFormat="1" applyFont="1" applyFill="1" applyBorder="1" applyAlignment="1">
      <x:alignment horizontal="general" vertical="bottom" wrapText="0"/>
    </x:xf>
    <x:xf numFmtId="164" fontId="8" fillId="7" borderId="0" xfId="0" applyNumberFormat="1" applyFont="1" applyFill="1" applyBorder="1" applyAlignment="1">
      <x:alignment horizontal="left" vertical="bottom" wrapText="0"/>
    </x:xf>
    <x:xf numFmtId="164" fontId="8" fillId="7" borderId="0" xfId="0" applyNumberFormat="1" applyFont="1" applyFill="1" applyBorder="1" applyAlignment="1">
      <x:alignment horizontal="left" vertical="center" wrapText="0"/>
    </x:xf>
    <x:xf numFmtId="164" fontId="0" fillId="7" borderId="3" xfId="0" applyNumberFormat="1" applyFont="1" applyFill="1" applyBorder="1" applyAlignment="1">
      <x:alignment horizontal="general" vertical="bottom" wrapText="0"/>
    </x:xf>
    <x:xf numFmtId="164" fontId="8" fillId="7" borderId="3" xfId="0" applyNumberFormat="1" applyFont="1" applyFill="1" applyBorder="1" applyAlignment="1">
      <x:alignment horizontal="general" vertical="bottom" wrapText="0"/>
    </x:xf>
    <x:xf numFmtId="164" fontId="8" fillId="7" borderId="3" xfId="0" applyNumberFormat="1" applyFont="1" applyFill="1" applyBorder="1" applyAlignment="1">
      <x:alignment horizontal="left" vertical="bottom" wrapText="0"/>
    </x:xf>
    <x:xf numFmtId="164" fontId="8" fillId="7" borderId="3" xfId="0" applyNumberFormat="1" applyFont="1" applyFill="1" applyBorder="1" applyAlignment="1">
      <x:alignment horizontal="left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9" fillId="8" borderId="0" xfId="0" applyNumberFormat="1" applyFont="1" applyFill="1" applyBorder="1" applyAlignment="1">
      <x:alignment horizontal="general" vertical="bottom" wrapText="0"/>
    </x:xf>
    <x:xf numFmtId="164" fontId="9" fillId="8" borderId="0" xfId="0" applyNumberFormat="1" applyFont="1" applyFill="1" applyBorder="1" applyAlignment="1">
      <x:alignment horizontal="general" vertical="bottom" wrapText="1"/>
    </x:xf>
    <x:xf numFmtId="164" fontId="0" fillId="8" borderId="3" xfId="0" applyNumberFormat="1" applyFont="1" applyFill="1" applyBorder="1" applyAlignment="1">
      <x:alignment horizontal="general" vertical="bottom" wrapText="0"/>
    </x:xf>
    <x:xf numFmtId="164" fontId="9" fillId="8" borderId="3" xfId="0" applyNumberFormat="1" applyFont="1" applyFill="1" applyBorder="1" applyAlignment="1">
      <x:alignment horizontal="general" vertical="bottom" wrapText="0"/>
    </x:xf>
    <x:xf numFmtId="164" fontId="9" fillId="8" borderId="3" xfId="0" applyNumberFormat="1" applyFont="1" applyFill="1" applyBorder="1" applyAlignment="1">
      <x:alignment horizontal="general" vertical="bottom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0" fillId="9" borderId="0" xfId="0" applyNumberFormat="1" applyFont="1" applyFill="1" applyBorder="1" applyAlignment="1">
      <x:alignment horizontal="general" vertical="bottom" wrapText="0"/>
    </x:xf>
    <x:xf numFmtId="164" fontId="10" fillId="9" borderId="0" xfId="0" applyNumberFormat="1" applyFont="1" applyFill="1" applyBorder="1" applyAlignment="1">
      <x:alignment horizontal="general" vertical="bottom" wrapText="1"/>
    </x:xf>
    <x:xf numFmtId="164" fontId="10" fillId="9" borderId="0" xfId="0" applyNumberFormat="1" applyFont="1" applyFill="1" applyBorder="1" applyAlignment="1">
      <x:alignment horizontal="center" vertical="bottom" wrapText="1"/>
    </x:xf>
    <x:xf numFmtId="164" fontId="10" fillId="9" borderId="0" xfId="0" applyNumberFormat="1" applyFont="1" applyFill="1" applyBorder="1" applyAlignment="1">
      <x:alignment horizontal="center" vertical="center" wrapText="1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0" fillId="9" borderId="3" xfId="0" applyNumberFormat="1" applyFont="1" applyFill="1" applyBorder="1" applyAlignment="1">
      <x:alignment horizontal="general" vertical="bottom" wrapText="0"/>
    </x:xf>
    <x:xf numFmtId="164" fontId="10" fillId="9" borderId="3" xfId="0" applyNumberFormat="1" applyFont="1" applyFill="1" applyBorder="1" applyAlignment="1">
      <x:alignment horizontal="general" vertical="bottom" wrapText="1"/>
    </x:xf>
    <x:xf numFmtId="164" fontId="10" fillId="9" borderId="3" xfId="0" applyNumberFormat="1" applyFont="1" applyFill="1" applyBorder="1" applyAlignment="1">
      <x:alignment horizontal="center" vertical="bottom" wrapText="1"/>
    </x:xf>
    <x:xf numFmtId="164" fontId="10" fillId="9" borderId="3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1" fillId="10" borderId="0" xfId="0" applyNumberFormat="1" applyFont="1" applyFill="1" applyBorder="1" applyAlignment="1">
      <x:alignment horizontal="general" vertical="bottom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1" fillId="1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1"/>
    </x:xf>
    <x:xf numFmtId="164" fontId="0" fillId="11" borderId="3" xfId="0" applyNumberFormat="1" applyFont="1" applyFill="1" applyBorder="1" applyAlignment="1">
      <x:alignment horizontal="general" vertical="bottom" wrapText="0"/>
    </x:xf>
    <x:xf numFmtId="164" fontId="0" fillId="11" borderId="3" xfId="0" applyNumberFormat="1" applyFont="1" applyFill="1" applyBorder="1" applyAlignment="1">
      <x:alignment horizontal="general" vertical="bottom" wrapText="1"/>
    </x:xf>
    <x:xf numFmtId="164" fontId="11" fillId="9" borderId="0" xfId="0" applyNumberFormat="1" applyFont="1" applyFill="1" applyBorder="1" applyAlignment="1">
      <x:alignment horizontal="general" vertical="bottom" wrapText="0"/>
    </x:xf>
    <x:xf numFmtId="164" fontId="11" fillId="9" borderId="3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top" wrapText="1"/>
    </x:xf>
    <x:xf numFmtId="200" fontId="0" fillId="0" borderId="3" xfId="0" applyNumberFormat="1" applyFont="1" applyFill="1" applyBorder="1" applyAlignment="1">
      <x:alignment horizontal="general" vertical="top" wrapText="1"/>
    </x:xf>
    <x:xf numFmtId="164" fontId="11" fillId="10" borderId="0" xfId="0" applyNumberFormat="1" applyFont="1" applyFill="1" applyBorder="1" applyAlignment="1">
      <x:alignment horizontal="general" vertical="bottom" wrapText="1"/>
    </x:xf>
    <x:xf numFmtId="164" fontId="11" fillId="10" borderId="3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3" xfId="0" applyNumberFormat="1" applyFont="1" applyFill="1" applyBorder="1" applyAlignment="1">
      <x:alignment horizontal="general" vertical="bottom" wrapText="0"/>
    </x:xf>
    <x:xf numFmtId="164" fontId="12" fillId="8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5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717D7E"/>
      <x:rgbColor rgb="FF9999FF"/>
      <x:rgbColor rgb="FF993366"/>
      <x:rgbColor rgb="FFFFF9E6"/>
      <x:rgbColor rgb="FFF2F3F4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E8A020"/>
      <x:rgbColor rgb="FFFF6600"/>
      <x:rgbColor rgb="FF666699"/>
      <x:rgbColor rgb="FF969696"/>
      <x:rgbColor rgb="FF003366"/>
      <x:rgbColor rgb="FF339966"/>
      <x:rgbColor rgb="FF003300"/>
      <x:rgbColor rgb="FF1A1A2E"/>
      <x:rgbColor rgb="FF993300"/>
      <x:rgbColor rgb="FF993366"/>
      <x:rgbColor rgb="FF333399"/>
      <x:rgbColor rgb="FF16213E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860d81ffb413e" /><Relationship Type="http://schemas.openxmlformats.org/officeDocument/2006/relationships/theme" Target="/xl/theme/theme1.xml" Id="R2a29866b6c8f46d4" /><Relationship Type="http://schemas.openxmlformats.org/officeDocument/2006/relationships/sharedStrings" Target="/xl/sharedStrings.xml" Id="R49ed3ad854824741" /><Relationship Type="http://schemas.openxmlformats.org/officeDocument/2006/relationships/worksheet" Target="/xl/worksheets/sheet1.xml" Id="R264f27681ecd45b3" /><Relationship Type="http://schemas.openxmlformats.org/officeDocument/2006/relationships/worksheet" Target="/xl/worksheets/sheet2.xml" Id="Re6a5b2452de94407" /><Relationship Type="http://schemas.openxmlformats.org/officeDocument/2006/relationships/worksheet" Target="/xl/worksheets/sheet3.xml" Id="R6ac1d58b6bc04680" /><Relationship Type="http://schemas.openxmlformats.org/officeDocument/2006/relationships/worksheet" Target="/xl/worksheets/sheet4.xml" Id="Rc18916d690a44586" /><Relationship Type="http://schemas.openxmlformats.org/officeDocument/2006/relationships/worksheet" Target="/xl/worksheets/sheet5.xml" Id="Ra5111d291d174f61" /><Relationship Type="http://schemas.openxmlformats.org/officeDocument/2006/relationships/worksheet" Target="/xl/worksheets/sheet6.xml" Id="Rc9882668776c41ba" /><Relationship Type="http://schemas.openxmlformats.org/officeDocument/2006/relationships/worksheet" Target="/xl/worksheets/sheet7.xml" Id="Rf8a4ddf640be4113" /><Relationship Type="http://schemas.openxmlformats.org/officeDocument/2006/relationships/worksheet" Target="/xl/worksheets/sheet8.xml" Id="R7a9f6ffd0824494e" /><Relationship Type="http://schemas.openxmlformats.org/officeDocument/2006/relationships/worksheet" Target="/xl/worksheets/sheet9.xml" Id="Rbede71f3d1cf4ee6" /><Relationship Type="http://schemas.openxmlformats.org/officeDocument/2006/relationships/worksheet" Target="/xl/worksheets/sheet10.xml" Id="Rc2f72e3dd04d4064" /></Relationships>
</file>

<file path=xl/tables/table1.xml><?xml version="1.0" encoding="utf-8"?>
<x:table xmlns:x="http://schemas.openxmlformats.org/spreadsheetml/2006/main" id="1" name="PMActionTracker" displayName="PMActionTracker" ref="A4:K34" headerRowCount="1">
  <x:tableColumns count="11">
    <x:tableColumn id="1" name="Source/Sheet"/>
    <x:tableColumn id="2" name="Asset / Equipment"/>
    <x:tableColumn id="3" name="Finding / Defect"/>
    <x:tableColumn id="4" name="Risk / Impact"/>
    <x:tableColumn id="5" name="Priority"/>
    <x:tableColumn id="6" name="Responsible Person"/>
    <x:tableColumn id="7" name="Due Date"/>
    <x:tableColumn id="8" name="Status"/>
    <x:tableColumn id="9" name="Close-out Date"/>
    <x:tableColumn id="10" name="Verification / Evidence"/>
    <x:tableColumn id="11" name="Days Overdue"/>
  </x:tableColumns>
  <x:tableStyleInfo name="TableStyleMedium2" showRowStripes="1"/>
</x:table>
</file>

<file path=xl/tables/table2.xml><?xml version="1.0" encoding="utf-8"?>
<x:table xmlns:x="http://schemas.openxmlformats.org/spreadsheetml/2006/main" id="2" name="MasterPMRegister" displayName="MasterPMRegister" ref="A4:M34" headerRowCount="1">
  <x:tableColumns count="13">
    <x:tableColumn id="1" name="PM ID"/>
    <x:tableColumn id="2" name="Equipment Type"/>
    <x:tableColumn id="3" name="Equipment Tag"/>
    <x:tableColumn id="4" name="PM Task"/>
    <x:tableColumn id="5" name="Frequency"/>
    <x:tableColumn id="6" name="Last Done"/>
    <x:tableColumn id="7" name="Next Due"/>
    <x:tableColumn id="8" name="Responsible"/>
    <x:tableColumn id="9" name="Criticality"/>
    <x:tableColumn id="10" name="Status"/>
    <x:tableColumn id="11" name="Failed Repeats"/>
    <x:tableColumn id="12" name="Escalation Required?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quipmentPMTemplates" displayName="EquipmentPMTemplates" ref="A4:B10" headerRowCount="1">
  <x:tableColumns count="2">
    <x:tableColumn id="1" name="Equipment Type"/>
    <x:tableColumn id="2" name="Recommended PM Focus Area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3cfc5d9c55334f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af92076c92a846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9bd4ea811d7d4d90" /></Relationships>
</file>

<file path=xl/worksheets/sheet1.xml><?xml version="1.0" encoding="utf-8"?>
<x:worksheet xmlns:x="http://schemas.openxmlformats.org/spreadsheetml/2006/main">
  <x:sheetPr>
    <x:tabColor rgb="FFE8A020"/>
  </x:sheetPr>
  <x:sheetViews>
    <x:sheetView showGridLines="0" workbookViewId="0"/>
  </x:sheetViews>
  <x:sheetFormatPr defaultColWidth="8.6796875" defaultRowHeight="15"/>
  <x:cols>
    <x:col min="1" max="1" width="2" hidden="0" customWidth="1"/>
    <x:col min="2" max="2" width="8" hidden="0" customWidth="1"/>
    <x:col min="3" max="4" width="28" hidden="0" customWidth="1"/>
    <x:col min="5" max="5" width="14" hidden="0" customWidth="1"/>
    <x:col min="6" max="8" width="10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  <x:col min="13" max="13" width="14" hidden="0" customWidth="1"/>
    <x:col min="14" max="14" width="11" hidden="0" customWidth="1"/>
    <x:col min="15" max="15" width="16" hidden="0" customWidth="1"/>
  </x:cols>
  <x:sheetData>
    <x:row r="1" ht="7.5" hidden="0" customHeight="1"/>
    <x:row r="2" ht="36" hidden="0" customHeight="1">
      <x:c r="A2" s="1"/>
      <x:c r="B2" s="2" t="s">
        <x:v>0</x:v>
      </x:c>
      <x:c r="C2" s="2"/>
      <x:c r="D2" s="2"/>
      <x:c r="E2" s="2"/>
      <x:c r="F2" s="2"/>
      <x:c r="G2" s="2"/>
      <x:c r="H2" s="2"/>
      <x:c r="I2" s="2"/>
      <x:c r="J2" s="2"/>
    </x:row>
    <x:row r="3" ht="18" hidden="0" customHeight="1">
      <x:c r="B3" s="3" t="s">
        <x:v>1</x:v>
      </x:c>
      <x:c r="C3" s="3"/>
      <x:c r="D3" s="3"/>
      <x:c r="E3" s="3"/>
      <x:c r="F3" s="3"/>
      <x:c r="G3" s="3"/>
      <x:c r="H3" s="3"/>
      <x:c r="I3" s="3"/>
    </x:row>
    <x:row r="4" ht="19.5" hidden="0" customHeight="1">
      <x:c r="B4" s="4" t="s">
        <x:v>2</x:v>
      </x:c>
      <x:c r="C4" s="5"/>
      <x:c r="D4" s="4" t="s">
        <x:v>3</x:v>
      </x:c>
      <x:c r="E4" s="5"/>
      <x:c r="F4" s="4" t="s">
        <x:v>4</x:v>
      </x:c>
      <x:c r="G4" s="5"/>
      <x:c r="H4" s="4" t="s">
        <x:v>5</x:v>
      </x:c>
      <x:c r="I4" s="5"/>
    </x:row>
    <x:row r="5" ht="19.5" hidden="0" customHeight="1">
      <x:c r="B5" s="4" t="s">
        <x:v>6</x:v>
      </x:c>
      <x:c r="C5" s="5"/>
      <x:c r="D5" s="4" t="s">
        <x:v>7</x:v>
      </x:c>
      <x:c r="E5" s="5"/>
      <x:c r="F5" s="4" t="s">
        <x:v>8</x:v>
      </x:c>
      <x:c r="G5" s="5"/>
      <x:c r="H5" s="4" t="s">
        <x:v>9</x:v>
      </x:c>
      <x:c r="I5" s="5"/>
    </x:row>
    <x:row r="6" ht="21.75" hidden="0" customHeight="1">
      <x:c r="B6" s="6" t="s">
        <x:v>10</x:v>
      </x:c>
      <x:c r="C6" s="6" t="s">
        <x:v>11</x:v>
      </x:c>
      <x:c r="D6" s="6" t="s">
        <x:v>12</x:v>
      </x:c>
      <x:c r="E6" s="6" t="s">
        <x:v>13</x:v>
      </x:c>
      <x:c r="F6" s="6" t="s">
        <x:v>14</x:v>
      </x:c>
      <x:c r="G6" s="6" t="s">
        <x:v>15</x:v>
      </x:c>
      <x:c r="H6" s="6" t="s">
        <x:v>16</x:v>
      </x:c>
      <x:c r="I6" s="6" t="s">
        <x:v>17</x:v>
      </x:c>
      <x:c r="J6" s="6" t="s">
        <x:v>18</x:v>
      </x:c>
      <x:c r="K6" s="73" t="str">
        <x:v>Priority</x:v>
      </x:c>
      <x:c r="L6" s="73" t="str">
        <x:v>Due Date</x:v>
      </x:c>
      <x:c r="M6" s="73" t="str">
        <x:v>Action Status</x:v>
      </x:c>
      <x:c r="N6" s="73" t="str">
        <x:v>Risk Score</x:v>
      </x:c>
      <x:c r="O6" s="73" t="str">
        <x:v>Evidence Ref</x:v>
      </x:c>
    </x:row>
    <x:row r="7" ht="18" hidden="0" customHeight="1">
      <x:c r="B7" s="7" t="s">
        <x:v>19</x:v>
      </x:c>
      <x:c r="C7" s="7"/>
      <x:c r="D7" s="7"/>
      <x:c r="E7" s="7"/>
      <x:c r="F7" s="7"/>
      <x:c r="G7" s="7"/>
      <x:c r="H7" s="7"/>
      <x:c r="I7" s="7"/>
      <x:c r="J7" s="7"/>
      <x:c r="L7" s="75"/>
      <x:c r="N7" t="str">
        <x:f>IF($E7="✗",IF(K7="Critical",25,IF(K7="High",15,IF(K7="Medium",8,IF(K7="Low",4,1)))),"")</x:f>
      </x:c>
    </x:row>
    <x:row r="8" ht="18" hidden="0" customHeight="1">
      <x:c r="B8" s="8" t="s">
        <x:v>20</x:v>
      </x:c>
      <x:c r="C8" s="9" t="s">
        <x:v>21</x:v>
      </x:c>
      <x:c r="D8" s="9" t="s">
        <x:v>22</x:v>
      </x:c>
      <x:c r="E8" s="10"/>
      <x:c r="F8" s="10"/>
      <x:c r="G8" s="10"/>
      <x:c r="H8" s="10"/>
      <x:c r="I8" s="11"/>
      <x:c r="J8" s="10"/>
      <x:c r="L8" s="75"/>
      <x:c r="N8" t="str">
        <x:f>IF($E8="✗",IF(K8="Critical",25,IF(K8="High",15,IF(K8="Medium",8,IF(K8="Low",4,1)))),"")</x:f>
      </x:c>
    </x:row>
    <x:row r="9" ht="18" hidden="0" customHeight="1">
      <x:c r="B9" s="12" t="s">
        <x:v>23</x:v>
      </x:c>
      <x:c r="C9" s="13" t="s">
        <x:v>24</x:v>
      </x:c>
      <x:c r="D9" s="13" t="s">
        <x:v>25</x:v>
      </x:c>
      <x:c r="E9" s="10"/>
      <x:c r="F9" s="10"/>
      <x:c r="G9" s="10"/>
      <x:c r="H9" s="10"/>
      <x:c r="I9" s="11"/>
      <x:c r="J9" s="10"/>
      <x:c r="L9" s="75"/>
      <x:c r="N9" t="str">
        <x:f>IF($E9="✗",IF(K9="Critical",25,IF(K9="High",15,IF(K9="Medium",8,IF(K9="Low",4,1)))),"")</x:f>
      </x:c>
    </x:row>
    <x:row r="10" ht="18" hidden="0" customHeight="1">
      <x:c r="B10" s="8" t="s">
        <x:v>26</x:v>
      </x:c>
      <x:c r="C10" s="9" t="s">
        <x:v>27</x:v>
      </x:c>
      <x:c r="D10" s="9" t="s">
        <x:v>28</x:v>
      </x:c>
      <x:c r="E10" s="10"/>
      <x:c r="F10" s="10"/>
      <x:c r="G10" s="10"/>
      <x:c r="H10" s="10"/>
      <x:c r="I10" s="11"/>
      <x:c r="J10" s="10"/>
      <x:c r="L10" s="75"/>
      <x:c r="N10" t="str">
        <x:f>IF($E10="✗",IF(K10="Critical",25,IF(K10="High",15,IF(K10="Medium",8,IF(K10="Low",4,1)))),"")</x:f>
      </x:c>
    </x:row>
    <x:row r="11" ht="18" hidden="0" customHeight="1">
      <x:c r="B11" s="12" t="s">
        <x:v>29</x:v>
      </x:c>
      <x:c r="C11" s="13" t="s">
        <x:v>30</x:v>
      </x:c>
      <x:c r="D11" s="13" t="s">
        <x:v>31</x:v>
      </x:c>
      <x:c r="E11" s="10"/>
      <x:c r="F11" s="10"/>
      <x:c r="G11" s="10"/>
      <x:c r="H11" s="10"/>
      <x:c r="I11" s="11"/>
      <x:c r="J11" s="10"/>
      <x:c r="L11" s="75"/>
      <x:c r="N11" t="str">
        <x:f>IF($E11="✗",IF(K11="Critical",25,IF(K11="High",15,IF(K11="Medium",8,IF(K11="Low",4,1)))),"")</x:f>
      </x:c>
    </x:row>
    <x:row r="12" ht="18" hidden="0" customHeight="1">
      <x:c r="B12" s="8" t="s">
        <x:v>32</x:v>
      </x:c>
      <x:c r="C12" s="9" t="s">
        <x:v>33</x:v>
      </x:c>
      <x:c r="D12" s="9" t="s">
        <x:v>34</x:v>
      </x:c>
      <x:c r="E12" s="10"/>
      <x:c r="F12" s="10"/>
      <x:c r="G12" s="10"/>
      <x:c r="H12" s="10"/>
      <x:c r="I12" s="11"/>
      <x:c r="J12" s="10"/>
      <x:c r="L12" s="75"/>
      <x:c r="N12" t="str">
        <x:f>IF($E12="✗",IF(K12="Critical",25,IF(K12="High",15,IF(K12="Medium",8,IF(K12="Low",4,1)))),"")</x:f>
      </x:c>
    </x:row>
    <x:row r="13" ht="18" hidden="0" customHeight="1">
      <x:c r="B13" s="7" t="s">
        <x:v>35</x:v>
      </x:c>
      <x:c r="C13" s="7"/>
      <x:c r="D13" s="7"/>
      <x:c r="E13" s="7"/>
      <x:c r="F13" s="7"/>
      <x:c r="G13" s="7"/>
      <x:c r="H13" s="7"/>
      <x:c r="I13" s="7"/>
      <x:c r="J13" s="7"/>
      <x:c r="L13" s="75"/>
      <x:c r="N13" t="str">
        <x:f>IF($E13="✗",IF(K13="Critical",25,IF(K13="High",15,IF(K13="Medium",8,IF(K13="Low",4,1)))),"")</x:f>
      </x:c>
    </x:row>
    <x:row r="14" ht="18" hidden="0" customHeight="1">
      <x:c r="B14" s="12" t="s">
        <x:v>36</x:v>
      </x:c>
      <x:c r="C14" s="13" t="s">
        <x:v>37</x:v>
      </x:c>
      <x:c r="D14" s="13" t="s">
        <x:v>38</x:v>
      </x:c>
      <x:c r="E14" s="10"/>
      <x:c r="F14" s="10"/>
      <x:c r="G14" s="10"/>
      <x:c r="H14" s="10"/>
      <x:c r="I14" s="11"/>
      <x:c r="J14" s="10"/>
      <x:c r="L14" s="75"/>
      <x:c r="N14" t="str">
        <x:f>IF($E14="✗",IF(K14="Critical",25,IF(K14="High",15,IF(K14="Medium",8,IF(K14="Low",4,1)))),"")</x:f>
      </x:c>
    </x:row>
    <x:row r="15" ht="18" hidden="0" customHeight="1">
      <x:c r="B15" s="8" t="s">
        <x:v>39</x:v>
      </x:c>
      <x:c r="C15" s="9" t="s">
        <x:v>40</x:v>
      </x:c>
      <x:c r="D15" s="9" t="s">
        <x:v>41</x:v>
      </x:c>
      <x:c r="E15" s="10"/>
      <x:c r="F15" s="10"/>
      <x:c r="G15" s="10"/>
      <x:c r="H15" s="10"/>
      <x:c r="I15" s="11"/>
      <x:c r="J15" s="10"/>
      <x:c r="L15" s="75"/>
      <x:c r="N15" t="str">
        <x:f>IF($E15="✗",IF(K15="Critical",25,IF(K15="High",15,IF(K15="Medium",8,IF(K15="Low",4,1)))),"")</x:f>
      </x:c>
    </x:row>
    <x:row r="16" ht="18" hidden="0" customHeight="1">
      <x:c r="B16" s="12" t="s">
        <x:v>42</x:v>
      </x:c>
      <x:c r="C16" s="13" t="s">
        <x:v>43</x:v>
      </x:c>
      <x:c r="D16" s="13" t="s">
        <x:v>44</x:v>
      </x:c>
      <x:c r="E16" s="10"/>
      <x:c r="F16" s="10"/>
      <x:c r="G16" s="10"/>
      <x:c r="H16" s="10"/>
      <x:c r="I16" s="11"/>
      <x:c r="J16" s="10"/>
      <x:c r="L16" s="75"/>
      <x:c r="N16" t="str">
        <x:f>IF($E16="✗",IF(K16="Critical",25,IF(K16="High",15,IF(K16="Medium",8,IF(K16="Low",4,1)))),"")</x:f>
      </x:c>
    </x:row>
    <x:row r="17" ht="18" hidden="0" customHeight="1">
      <x:c r="B17" s="8" t="s">
        <x:v>45</x:v>
      </x:c>
      <x:c r="C17" s="9" t="s">
        <x:v>46</x:v>
      </x:c>
      <x:c r="D17" s="9" t="s">
        <x:v>47</x:v>
      </x:c>
      <x:c r="E17" s="10"/>
      <x:c r="F17" s="10"/>
      <x:c r="G17" s="10"/>
      <x:c r="H17" s="10"/>
      <x:c r="I17" s="11"/>
      <x:c r="J17" s="10"/>
      <x:c r="L17" s="75"/>
      <x:c r="N17" t="str">
        <x:f>IF($E17="✗",IF(K17="Critical",25,IF(K17="High",15,IF(K17="Medium",8,IF(K17="Low",4,1)))),"")</x:f>
      </x:c>
    </x:row>
    <x:row r="18" ht="18" hidden="0" customHeight="1">
      <x:c r="B18" s="12" t="s">
        <x:v>48</x:v>
      </x:c>
      <x:c r="C18" s="13" t="s">
        <x:v>49</x:v>
      </x:c>
      <x:c r="D18" s="13" t="s">
        <x:v>50</x:v>
      </x:c>
      <x:c r="E18" s="10"/>
      <x:c r="F18" s="10"/>
      <x:c r="G18" s="10"/>
      <x:c r="H18" s="10"/>
      <x:c r="I18" s="11"/>
      <x:c r="J18" s="10"/>
      <x:c r="L18" s="75"/>
      <x:c r="N18" t="str">
        <x:f>IF($E18="✗",IF(K18="Critical",25,IF(K18="High",15,IF(K18="Medium",8,IF(K18="Low",4,1)))),"")</x:f>
      </x:c>
    </x:row>
    <x:row r="19" ht="18" hidden="0" customHeight="1">
      <x:c r="B19" s="7" t="s">
        <x:v>51</x:v>
      </x:c>
      <x:c r="C19" s="7"/>
      <x:c r="D19" s="7"/>
      <x:c r="E19" s="7"/>
      <x:c r="F19" s="7"/>
      <x:c r="G19" s="7"/>
      <x:c r="H19" s="7"/>
      <x:c r="I19" s="7"/>
      <x:c r="J19" s="7"/>
      <x:c r="L19" s="75"/>
      <x:c r="N19" t="str">
        <x:f>IF($E19="✗",IF(K19="Critical",25,IF(K19="High",15,IF(K19="Medium",8,IF(K19="Low",4,1)))),"")</x:f>
      </x:c>
    </x:row>
    <x:row r="20" ht="18" hidden="0" customHeight="1">
      <x:c r="B20" s="8" t="s">
        <x:v>52</x:v>
      </x:c>
      <x:c r="C20" s="9" t="s">
        <x:v>53</x:v>
      </x:c>
      <x:c r="D20" s="9" t="s">
        <x:v>54</x:v>
      </x:c>
      <x:c r="E20" s="10"/>
      <x:c r="F20" s="10"/>
      <x:c r="G20" s="10"/>
      <x:c r="H20" s="10"/>
      <x:c r="I20" s="11"/>
      <x:c r="J20" s="10"/>
      <x:c r="L20" s="75"/>
      <x:c r="N20" t="str">
        <x:f>IF($E20="✗",IF(K20="Critical",25,IF(K20="High",15,IF(K20="Medium",8,IF(K20="Low",4,1)))),"")</x:f>
      </x:c>
    </x:row>
    <x:row r="21" ht="18" hidden="0" customHeight="1">
      <x:c r="B21" s="12" t="s">
        <x:v>55</x:v>
      </x:c>
      <x:c r="C21" s="13" t="s">
        <x:v>56</x:v>
      </x:c>
      <x:c r="D21" s="13" t="s">
        <x:v>57</x:v>
      </x:c>
      <x:c r="E21" s="10"/>
      <x:c r="F21" s="10"/>
      <x:c r="G21" s="10"/>
      <x:c r="H21" s="10"/>
      <x:c r="I21" s="11"/>
      <x:c r="J21" s="10"/>
      <x:c r="L21" s="75"/>
      <x:c r="N21" t="str">
        <x:f>IF($E21="✗",IF(K21="Critical",25,IF(K21="High",15,IF(K21="Medium",8,IF(K21="Low",4,1)))),"")</x:f>
      </x:c>
    </x:row>
    <x:row r="22" ht="18" hidden="0" customHeight="1">
      <x:c r="B22" s="8" t="s">
        <x:v>58</x:v>
      </x:c>
      <x:c r="C22" s="9" t="s">
        <x:v>59</x:v>
      </x:c>
      <x:c r="D22" s="9" t="s">
        <x:v>60</x:v>
      </x:c>
      <x:c r="E22" s="10"/>
      <x:c r="F22" s="10"/>
      <x:c r="G22" s="10"/>
      <x:c r="H22" s="10"/>
      <x:c r="I22" s="11"/>
      <x:c r="J22" s="10"/>
      <x:c r="L22" s="75"/>
      <x:c r="N22" t="str">
        <x:f>IF($E22="✗",IF(K22="Critical",25,IF(K22="High",15,IF(K22="Medium",8,IF(K22="Low",4,1)))),"")</x:f>
      </x:c>
    </x:row>
    <x:row r="23" ht="18" hidden="0" customHeight="1">
      <x:c r="B23" s="7" t="s">
        <x:v>61</x:v>
      </x:c>
      <x:c r="C23" s="7"/>
      <x:c r="D23" s="7"/>
      <x:c r="E23" s="7"/>
      <x:c r="F23" s="7"/>
      <x:c r="G23" s="7"/>
      <x:c r="H23" s="7"/>
      <x:c r="I23" s="7"/>
      <x:c r="J23" s="7"/>
      <x:c r="L23" s="75"/>
      <x:c r="N23" t="str">
        <x:f>IF($E23="✗",IF(K23="Critical",25,IF(K23="High",15,IF(K23="Medium",8,IF(K23="Low",4,1)))),"")</x:f>
      </x:c>
    </x:row>
    <x:row r="24" ht="18" hidden="0" customHeight="1">
      <x:c r="B24" s="12" t="s">
        <x:v>62</x:v>
      </x:c>
      <x:c r="C24" s="13" t="s">
        <x:v>63</x:v>
      </x:c>
      <x:c r="D24" s="13" t="s">
        <x:v>64</x:v>
      </x:c>
      <x:c r="E24" s="10"/>
      <x:c r="F24" s="10"/>
      <x:c r="G24" s="10"/>
      <x:c r="H24" s="10"/>
      <x:c r="I24" s="11"/>
      <x:c r="J24" s="10"/>
      <x:c r="L24" s="75"/>
      <x:c r="N24" t="str">
        <x:f>IF($E24="✗",IF(K24="Critical",25,IF(K24="High",15,IF(K24="Medium",8,IF(K24="Low",4,1)))),"")</x:f>
      </x:c>
    </x:row>
    <x:row r="25" ht="18" hidden="0" customHeight="1">
      <x:c r="B25" s="8" t="s">
        <x:v>65</x:v>
      </x:c>
      <x:c r="C25" s="9" t="s">
        <x:v>66</x:v>
      </x:c>
      <x:c r="D25" s="9" t="s">
        <x:v>67</x:v>
      </x:c>
      <x:c r="E25" s="10"/>
      <x:c r="F25" s="10"/>
      <x:c r="G25" s="10"/>
      <x:c r="H25" s="10"/>
      <x:c r="I25" s="11"/>
      <x:c r="J25" s="10"/>
      <x:c r="L25" s="75"/>
      <x:c r="N25" t="str">
        <x:f>IF($E25="✗",IF(K25="Critical",25,IF(K25="High",15,IF(K25="Medium",8,IF(K25="Low",4,1)))),"")</x:f>
      </x:c>
    </x:row>
    <x:row r="26" ht="18" hidden="0" customHeight="1">
      <x:c r="B26" s="7" t="s">
        <x:v>68</x:v>
      </x:c>
      <x:c r="C26" s="7"/>
      <x:c r="D26" s="7"/>
      <x:c r="E26" s="7"/>
      <x:c r="F26" s="7"/>
      <x:c r="G26" s="7"/>
      <x:c r="H26" s="7"/>
      <x:c r="I26" s="7"/>
      <x:c r="J26" s="7"/>
      <x:c r="L26" s="75"/>
      <x:c r="N26" t="str">
        <x:f>IF($E26="✗",IF(K26="Critical",25,IF(K26="High",15,IF(K26="Medium",8,IF(K26="Low",4,1)))),"")</x:f>
      </x:c>
    </x:row>
    <x:row r="27" ht="18" hidden="0" customHeight="1">
      <x:c r="B27" s="12" t="s">
        <x:v>69</x:v>
      </x:c>
      <x:c r="C27" s="13" t="s">
        <x:v>70</x:v>
      </x:c>
      <x:c r="D27" s="13" t="s">
        <x:v>71</x:v>
      </x:c>
      <x:c r="E27" s="10"/>
      <x:c r="F27" s="10"/>
      <x:c r="G27" s="10"/>
      <x:c r="H27" s="10"/>
      <x:c r="I27" s="11"/>
      <x:c r="J27" s="10"/>
      <x:c r="L27" s="75"/>
      <x:c r="N27" t="str">
        <x:f>IF($E27="✗",IF(K27="Critical",25,IF(K27="High",15,IF(K27="Medium",8,IF(K27="Low",4,1)))),"")</x:f>
      </x:c>
    </x:row>
    <x:row r="28" ht="18" hidden="0" customHeight="1">
      <x:c r="B28" s="8" t="s">
        <x:v>72</x:v>
      </x:c>
      <x:c r="C28" s="9" t="s">
        <x:v>73</x:v>
      </x:c>
      <x:c r="D28" s="9" t="s">
        <x:v>74</x:v>
      </x:c>
      <x:c r="E28" s="10"/>
      <x:c r="F28" s="10"/>
      <x:c r="G28" s="10"/>
      <x:c r="H28" s="10"/>
      <x:c r="I28" s="11"/>
      <x:c r="J28" s="10"/>
      <x:c r="L28" s="75"/>
      <x:c r="N28" t="str">
        <x:f>IF($E28="✗",IF(K28="Critical",25,IF(K28="High",15,IF(K28="Medium",8,IF(K28="Low",4,1)))),"")</x:f>
      </x:c>
    </x:row>
    <x:row r="29" ht="18" hidden="0" customHeight="1">
      <x:c r="B29" s="12" t="s">
        <x:v>75</x:v>
      </x:c>
      <x:c r="C29" s="13" t="s">
        <x:v>76</x:v>
      </x:c>
      <x:c r="D29" s="13" t="s">
        <x:v>77</x:v>
      </x:c>
      <x:c r="E29" s="10"/>
      <x:c r="F29" s="10"/>
      <x:c r="G29" s="10"/>
      <x:c r="H29" s="10"/>
      <x:c r="I29" s="11"/>
      <x:c r="J29" s="10"/>
      <x:c r="L29" s="75"/>
      <x:c r="N29" t="str">
        <x:f>IF($E29="✗",IF(K29="Critical",25,IF(K29="High",15,IF(K29="Medium",8,IF(K29="Low",4,1)))),"")</x:f>
      </x:c>
    </x:row>
    <x:row r="30" ht="9.75" hidden="0" customHeight="1">
      <x:c r="L30" s="75"/>
      <x:c r="N30" t="str">
        <x:f>IF($E30="✗",IF(K30="Critical",25,IF(K30="High",15,IF(K30="Medium",8,IF(K30="Low",4,1)))),"")</x:f>
      </x:c>
    </x:row>
    <x:row r="31" ht="19.5" hidden="0" customHeight="1">
      <x:c r="B31" s="14" t="s">
        <x:v>78</x:v>
      </x:c>
      <x:c r="D31" s="14" t="s">
        <x:v>2</x:v>
      </x:c>
      <x:c r="F31" s="14" t="s">
        <x:v>79</x:v>
      </x:c>
      <x:c r="H31" s="14" t="s">
        <x:v>2</x:v>
      </x:c>
      <x:c r="L31" s="75"/>
      <x:c r="N31" t="str">
        <x:f>IF($E31="✗",IF(K31="Critical",25,IF(K31="High",15,IF(K31="Medium",8,IF(K31="Low",4,1)))),"")</x:f>
      </x:c>
    </x:row>
    <x:row r="32" ht="27.75" hidden="0" customHeight="1">
      <x:c r="B32" s="15"/>
      <x:c r="C32" s="15"/>
      <x:c r="D32" s="15"/>
      <x:c r="E32" s="15"/>
      <x:c r="F32" s="15"/>
      <x:c r="G32" s="15"/>
      <x:c r="H32" s="15"/>
      <x:c r="I32" s="15"/>
      <x:c r="L32" s="75"/>
      <x:c r="N32" t="str">
        <x:f>IF($E32="✗",IF(K32="Critical",25,IF(K32="High",15,IF(K32="Medium",8,IF(K32="Low",4,1)))),"")</x:f>
      </x:c>
    </x:row>
    <x:row r="33">
      <x:c r="L33" s="75"/>
      <x:c r="N33" t="str">
        <x:f>IF($E33="✗",IF(K33="Critical",25,IF(K33="High",15,IF(K33="Medium",8,IF(K33="Low",4,1)))),"")</x:f>
      </x:c>
    </x:row>
    <x:row r="34">
      <x:c r="L34" s="75"/>
      <x:c r="N34" t="str">
        <x:f>IF($E34="✗",IF(K34="Critical",25,IF(K34="High",15,IF(K34="Medium",8,IF(K34="Low",4,1)))),"")</x:f>
      </x:c>
    </x:row>
    <x:row r="35">
      <x:c r="L35" s="75"/>
      <x:c r="N35" t="str">
        <x:f>IF($E35="✗",IF(K35="Critical",25,IF(K35="High",15,IF(K35="Medium",8,IF(K35="Low",4,1)))),"")</x:f>
      </x:c>
    </x:row>
    <x:row r="36">
      <x:c r="L36" s="75"/>
      <x:c r="N36" t="str">
        <x:f>IF($E36="✗",IF(K36="Critical",25,IF(K36="High",15,IF(K36="Medium",8,IF(K36="Low",4,1)))),"")</x:f>
      </x:c>
    </x:row>
    <x:row r="37">
      <x:c r="L37" s="75"/>
      <x:c r="N37" t="str">
        <x:f>IF($E37="✗",IF(K37="Critical",25,IF(K37="High",15,IF(K37="Medium",8,IF(K37="Low",4,1)))),"")</x:f>
      </x:c>
    </x:row>
    <x:row r="38">
      <x:c r="L38" s="75"/>
      <x:c r="N38" t="str">
        <x:f>IF($E38="✗",IF(K38="Critical",25,IF(K38="High",15,IF(K38="Medium",8,IF(K38="Low",4,1)))),"")</x:f>
      </x:c>
    </x:row>
    <x:row r="39">
      <x:c r="L39" s="75"/>
      <x:c r="N39" t="str">
        <x:f>IF($E39="✗",IF(K39="Critical",25,IF(K39="High",15,IF(K39="Medium",8,IF(K39="Low",4,1)))),"")</x:f>
      </x:c>
    </x:row>
    <x:row r="40">
      <x:c r="L40" s="75"/>
      <x:c r="N40" t="str">
        <x:f>IF($E40="✗",IF(K40="Critical",25,IF(K40="High",15,IF(K40="Medium",8,IF(K40="Low",4,1)))),"")</x:f>
      </x:c>
    </x:row>
    <x:row r="41">
      <x:c r="L41" s="75"/>
      <x:c r="N41" t="str">
        <x:f>IF($E41="✗",IF(K41="Critical",25,IF(K41="High",15,IF(K41="Medium",8,IF(K41="Low",4,1)))),"")</x:f>
      </x:c>
    </x:row>
    <x:row r="42">
      <x:c r="L42" s="75"/>
      <x:c r="N42" t="str">
        <x:f>IF($E42="✗",IF(K42="Critical",25,IF(K42="High",15,IF(K42="Medium",8,IF(K42="Low",4,1)))),"")</x:f>
      </x:c>
    </x:row>
    <x:row r="43">
      <x:c r="L43" s="75"/>
      <x:c r="N43" t="str">
        <x:f>IF($E43="✗",IF(K43="Critical",25,IF(K43="High",15,IF(K43="Medium",8,IF(K43="Low",4,1)))),"")</x:f>
      </x:c>
    </x:row>
    <x:row r="44">
      <x:c r="L44" s="75"/>
      <x:c r="N44" t="str">
        <x:f>IF($E44="✗",IF(K44="Critical",25,IF(K44="High",15,IF(K44="Medium",8,IF(K44="Low",4,1)))),"")</x:f>
      </x:c>
    </x:row>
    <x:row r="45">
      <x:c r="L45" s="75"/>
      <x:c r="N45" t="str">
        <x:f>IF($E45="✗",IF(K45="Critical",25,IF(K45="High",15,IF(K45="Medium",8,IF(K45="Low",4,1)))),"")</x:f>
      </x:c>
    </x:row>
  </x:sheetData>
  <x:mergeCells>
    <x:mergeCell ref="B2:J2"/>
    <x:mergeCell ref="B3:I3"/>
    <x:mergeCell ref="B7:J7"/>
    <x:mergeCell ref="B13:J13"/>
    <x:mergeCell ref="B19:J19"/>
    <x:mergeCell ref="B23:J23"/>
    <x:mergeCell ref="B26:J26"/>
  </x:mergeCells>
  <x:conditionalFormatting sqref="M7:M45">
    <x:cfRule type="cellIs" dxfId="5" priority="1">
      <x:formula>"Complete"</x:formula>
    </x:cfRule>
    <x:cfRule type="cellIs" dxfId="6" priority="2">
      <x:formula>"Verified"</x:formula>
    </x:cfRule>
    <x:cfRule type="cellIs" dxfId="7" priority="3">
      <x:formula>"Overdue"</x:formula>
    </x:cfRule>
    <x:cfRule type="cellIs" dxfId="8" priority="4">
      <x:formula>"Open"</x:formula>
    </x:cfRule>
  </x:conditionalFormatting>
  <x:conditionalFormatting sqref="N7:N45">
    <x:cfRule type="cellIs" dxfId="9" priority="5" operator="greaterThanOrEqual">
      <x:formula>15</x:formula>
    </x:cfRule>
  </x:conditionalFormatting>
  <x:dataValidations count="6">
    <x:dataValidation type="list" errorStyle="stop" operator="between" allowBlank="1" showDropDown="0" showInputMessage="0" showErrorMessage="0" sqref="E7:E30">
      <x:formula1>"✓,✗,N/A"</x:formula1>
      <x:formula2>0</x:formula2>
    </x:dataValidation>
    <x:dataValidation type="list" errorStyle="stop" operator="between" allowBlank="1" showDropDown="0" showInputMessage="0" showErrorMessage="0" sqref="H7:H30">
      <x:formula1>"Pass,Fail,N/A"</x:formula1>
      <x:formula2>0</x:formula2>
    </x:dataValidation>
    <x:dataValidation type="list" sqref="K7:K45">
      <x:formula1>"Critical,High,Medium,Low,Monitor"</x:formula1>
    </x:dataValidation>
    <x:dataValidation type="list" sqref="M7:M45">
      <x:formula1>"Open,In Progress,Complete,Overdue,Deferred,Verified"</x:formula1>
    </x:dataValidation>
    <x:dataValidation type="list" sqref="E7:E45">
      <x:formula1>"✓,✗,N/A,Monitor"</x:formula1>
    </x:dataValidation>
    <x:dataValidation type="list" sqref="H7:H45">
      <x:formula1>"Pass,Fail,N/A,Monitor"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8A020"/>
  </x:sheetPr>
  <x:sheetViews>
    <x:sheetView showGridLines="0" workbookViewId="0"/>
  </x:sheetViews>
  <x:sheetFormatPr defaultColWidth="8.6796875" defaultRowHeight="15"/>
  <x:cols>
    <x:col min="1" max="1" width="2" hidden="0" customWidth="1"/>
    <x:col min="2" max="2" width="8" hidden="0" customWidth="1"/>
    <x:col min="3" max="4" width="28" hidden="0" customWidth="1"/>
    <x:col min="5" max="5" width="14" hidden="0" customWidth="1"/>
    <x:col min="6" max="8" width="10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  <x:col min="13" max="13" width="14" hidden="0" customWidth="1"/>
    <x:col min="14" max="14" width="11" hidden="0" customWidth="1"/>
    <x:col min="15" max="15" width="16" hidden="0" customWidth="1"/>
  </x:cols>
  <x:sheetData>
    <x:row r="1" ht="7.5" hidden="0" customHeight="1"/>
    <x:row r="2" ht="36" hidden="0" customHeight="1">
      <x:c r="A2" s="1"/>
      <x:c r="B2" s="2" t="s">
        <x:v>80</x:v>
      </x:c>
      <x:c r="C2" s="2"/>
      <x:c r="D2" s="2"/>
      <x:c r="E2" s="2"/>
      <x:c r="F2" s="2"/>
      <x:c r="G2" s="2"/>
      <x:c r="H2" s="2"/>
      <x:c r="I2" s="2"/>
      <x:c r="J2" s="2"/>
    </x:row>
    <x:row r="3" ht="18" hidden="0" customHeight="1">
      <x:c r="B3" s="3" t="s">
        <x:v>1</x:v>
      </x:c>
      <x:c r="C3" s="3"/>
      <x:c r="D3" s="3"/>
      <x:c r="E3" s="3"/>
      <x:c r="F3" s="3"/>
      <x:c r="G3" s="3"/>
      <x:c r="H3" s="3"/>
      <x:c r="I3" s="3"/>
    </x:row>
    <x:row r="4" ht="19.5" hidden="0" customHeight="1">
      <x:c r="B4" s="4" t="s">
        <x:v>2</x:v>
      </x:c>
      <x:c r="C4" s="5"/>
      <x:c r="D4" s="4" t="s">
        <x:v>3</x:v>
      </x:c>
      <x:c r="E4" s="5"/>
      <x:c r="F4" s="4" t="s">
        <x:v>4</x:v>
      </x:c>
      <x:c r="G4" s="5"/>
      <x:c r="H4" s="4" t="s">
        <x:v>5</x:v>
      </x:c>
      <x:c r="I4" s="5"/>
    </x:row>
    <x:row r="5" ht="19.5" hidden="0" customHeight="1">
      <x:c r="B5" s="4" t="s">
        <x:v>6</x:v>
      </x:c>
      <x:c r="C5" s="5"/>
      <x:c r="D5" s="4" t="s">
        <x:v>7</x:v>
      </x:c>
      <x:c r="E5" s="5"/>
      <x:c r="F5" s="4" t="s">
        <x:v>8</x:v>
      </x:c>
      <x:c r="G5" s="5"/>
      <x:c r="H5" s="4" t="s">
        <x:v>9</x:v>
      </x:c>
      <x:c r="I5" s="5"/>
    </x:row>
    <x:row r="6" ht="21.75" hidden="0" customHeight="1">
      <x:c r="B6" s="6" t="s">
        <x:v>10</x:v>
      </x:c>
      <x:c r="C6" s="6" t="s">
        <x:v>11</x:v>
      </x:c>
      <x:c r="D6" s="6" t="s">
        <x:v>12</x:v>
      </x:c>
      <x:c r="E6" s="6" t="s">
        <x:v>13</x:v>
      </x:c>
      <x:c r="F6" s="6" t="s">
        <x:v>14</x:v>
      </x:c>
      <x:c r="G6" s="6" t="s">
        <x:v>15</x:v>
      </x:c>
      <x:c r="H6" s="6" t="s">
        <x:v>16</x:v>
      </x:c>
      <x:c r="I6" s="6" t="s">
        <x:v>17</x:v>
      </x:c>
      <x:c r="J6" s="6" t="s">
        <x:v>18</x:v>
      </x:c>
      <x:c r="K6" s="73" t="str">
        <x:v>Priority</x:v>
      </x:c>
      <x:c r="L6" s="73" t="str">
        <x:v>Due Date</x:v>
      </x:c>
      <x:c r="M6" s="73" t="str">
        <x:v>Action Status</x:v>
      </x:c>
      <x:c r="N6" s="73" t="str">
        <x:v>Risk Score</x:v>
      </x:c>
      <x:c r="O6" s="73" t="str">
        <x:v>Evidence Ref</x:v>
      </x:c>
    </x:row>
    <x:row r="7" ht="18" hidden="0" customHeight="1">
      <x:c r="B7" s="7" t="s">
        <x:v>19</x:v>
      </x:c>
      <x:c r="C7" s="7"/>
      <x:c r="D7" s="7"/>
      <x:c r="E7" s="7"/>
      <x:c r="F7" s="7"/>
      <x:c r="G7" s="7"/>
      <x:c r="H7" s="7"/>
      <x:c r="I7" s="7"/>
      <x:c r="J7" s="7"/>
      <x:c r="L7" s="75"/>
      <x:c r="N7" t="str">
        <x:f>IF($E7="✗",IF(K7="Critical",25,IF(K7="High",15,IF(K7="Medium",8,IF(K7="Low",4,1)))),"")</x:f>
      </x:c>
    </x:row>
    <x:row r="8" ht="18" hidden="0" customHeight="1">
      <x:c r="B8" s="8" t="s">
        <x:v>20</x:v>
      </x:c>
      <x:c r="C8" s="9" t="s">
        <x:v>81</x:v>
      </x:c>
      <x:c r="D8" s="9" t="s">
        <x:v>82</x:v>
      </x:c>
      <x:c r="E8" s="10"/>
      <x:c r="F8" s="10"/>
      <x:c r="G8" s="10"/>
      <x:c r="H8" s="10"/>
      <x:c r="I8" s="11"/>
      <x:c r="J8" s="10"/>
      <x:c r="L8" s="75"/>
      <x:c r="N8" t="str">
        <x:f>IF($E8="✗",IF(K8="Critical",25,IF(K8="High",15,IF(K8="Medium",8,IF(K8="Low",4,1)))),"")</x:f>
      </x:c>
    </x:row>
    <x:row r="9" ht="18" hidden="0" customHeight="1">
      <x:c r="B9" s="12" t="s">
        <x:v>23</x:v>
      </x:c>
      <x:c r="C9" s="13" t="s">
        <x:v>83</x:v>
      </x:c>
      <x:c r="D9" s="13" t="s">
        <x:v>84</x:v>
      </x:c>
      <x:c r="E9" s="10"/>
      <x:c r="F9" s="10"/>
      <x:c r="G9" s="10"/>
      <x:c r="H9" s="10"/>
      <x:c r="I9" s="11"/>
      <x:c r="J9" s="10"/>
      <x:c r="L9" s="75"/>
      <x:c r="N9" t="str">
        <x:f>IF($E9="✗",IF(K9="Critical",25,IF(K9="High",15,IF(K9="Medium",8,IF(K9="Low",4,1)))),"")</x:f>
      </x:c>
    </x:row>
    <x:row r="10" ht="18" hidden="0" customHeight="1">
      <x:c r="B10" s="8" t="s">
        <x:v>26</x:v>
      </x:c>
      <x:c r="C10" s="9" t="s">
        <x:v>85</x:v>
      </x:c>
      <x:c r="D10" s="9" t="s">
        <x:v>86</x:v>
      </x:c>
      <x:c r="E10" s="10"/>
      <x:c r="F10" s="10"/>
      <x:c r="G10" s="10"/>
      <x:c r="H10" s="10"/>
      <x:c r="I10" s="11"/>
      <x:c r="J10" s="10"/>
      <x:c r="L10" s="75"/>
      <x:c r="N10" t="str">
        <x:f>IF($E10="✗",IF(K10="Critical",25,IF(K10="High",15,IF(K10="Medium",8,IF(K10="Low",4,1)))),"")</x:f>
      </x:c>
    </x:row>
    <x:row r="11" ht="18" hidden="0" customHeight="1">
      <x:c r="B11" s="7" t="s">
        <x:v>35</x:v>
      </x:c>
      <x:c r="C11" s="7"/>
      <x:c r="D11" s="7"/>
      <x:c r="E11" s="7"/>
      <x:c r="F11" s="7"/>
      <x:c r="G11" s="7"/>
      <x:c r="H11" s="7"/>
      <x:c r="I11" s="7"/>
      <x:c r="J11" s="7"/>
      <x:c r="L11" s="75"/>
      <x:c r="N11" t="str">
        <x:f>IF($E11="✗",IF(K11="Critical",25,IF(K11="High",15,IF(K11="Medium",8,IF(K11="Low",4,1)))),"")</x:f>
      </x:c>
    </x:row>
    <x:row r="12" ht="18" hidden="0" customHeight="1">
      <x:c r="B12" s="12" t="s">
        <x:v>29</x:v>
      </x:c>
      <x:c r="C12" s="13" t="s">
        <x:v>87</x:v>
      </x:c>
      <x:c r="D12" s="13" t="s">
        <x:v>88</x:v>
      </x:c>
      <x:c r="E12" s="10"/>
      <x:c r="F12" s="10"/>
      <x:c r="G12" s="10"/>
      <x:c r="H12" s="10"/>
      <x:c r="I12" s="11"/>
      <x:c r="J12" s="10"/>
      <x:c r="L12" s="75"/>
      <x:c r="N12" t="str">
        <x:f>IF($E12="✗",IF(K12="Critical",25,IF(K12="High",15,IF(K12="Medium",8,IF(K12="Low",4,1)))),"")</x:f>
      </x:c>
    </x:row>
    <x:row r="13" ht="18" hidden="0" customHeight="1">
      <x:c r="B13" s="8" t="s">
        <x:v>32</x:v>
      </x:c>
      <x:c r="C13" s="9" t="s">
        <x:v>89</x:v>
      </x:c>
      <x:c r="D13" s="9" t="s">
        <x:v>90</x:v>
      </x:c>
      <x:c r="E13" s="10"/>
      <x:c r="F13" s="10"/>
      <x:c r="G13" s="10"/>
      <x:c r="H13" s="10"/>
      <x:c r="I13" s="11"/>
      <x:c r="J13" s="10"/>
      <x:c r="L13" s="75"/>
      <x:c r="N13" t="str">
        <x:f>IF($E13="✗",IF(K13="Critical",25,IF(K13="High",15,IF(K13="Medium",8,IF(K13="Low",4,1)))),"")</x:f>
      </x:c>
    </x:row>
    <x:row r="14" ht="18" hidden="0" customHeight="1">
      <x:c r="B14" s="12" t="s">
        <x:v>36</x:v>
      </x:c>
      <x:c r="C14" s="13" t="s">
        <x:v>91</x:v>
      </x:c>
      <x:c r="D14" s="13" t="s">
        <x:v>92</x:v>
      </x:c>
      <x:c r="E14" s="10"/>
      <x:c r="F14" s="10"/>
      <x:c r="G14" s="10"/>
      <x:c r="H14" s="10"/>
      <x:c r="I14" s="11"/>
      <x:c r="J14" s="10"/>
      <x:c r="L14" s="75"/>
      <x:c r="N14" t="str">
        <x:f>IF($E14="✗",IF(K14="Critical",25,IF(K14="High",15,IF(K14="Medium",8,IF(K14="Low",4,1)))),"")</x:f>
      </x:c>
    </x:row>
    <x:row r="15" ht="18" hidden="0" customHeight="1">
      <x:c r="B15" s="8" t="s">
        <x:v>39</x:v>
      </x:c>
      <x:c r="C15" s="9" t="s">
        <x:v>93</x:v>
      </x:c>
      <x:c r="D15" s="9" t="s">
        <x:v>94</x:v>
      </x:c>
      <x:c r="E15" s="10"/>
      <x:c r="F15" s="10"/>
      <x:c r="G15" s="10"/>
      <x:c r="H15" s="10"/>
      <x:c r="I15" s="11"/>
      <x:c r="J15" s="10"/>
      <x:c r="L15" s="75"/>
      <x:c r="N15" t="str">
        <x:f>IF($E15="✗",IF(K15="Critical",25,IF(K15="High",15,IF(K15="Medium",8,IF(K15="Low",4,1)))),"")</x:f>
      </x:c>
    </x:row>
    <x:row r="16" ht="18" hidden="0" customHeight="1">
      <x:c r="B16" s="7" t="s">
        <x:v>95</x:v>
      </x:c>
      <x:c r="C16" s="7"/>
      <x:c r="D16" s="7"/>
      <x:c r="E16" s="7"/>
      <x:c r="F16" s="7"/>
      <x:c r="G16" s="7"/>
      <x:c r="H16" s="7"/>
      <x:c r="I16" s="7"/>
      <x:c r="J16" s="7"/>
      <x:c r="L16" s="75"/>
      <x:c r="N16" t="str">
        <x:f>IF($E16="✗",IF(K16="Critical",25,IF(K16="High",15,IF(K16="Medium",8,IF(K16="Low",4,1)))),"")</x:f>
      </x:c>
    </x:row>
    <x:row r="17" ht="18" hidden="0" customHeight="1">
      <x:c r="B17" s="12" t="s">
        <x:v>42</x:v>
      </x:c>
      <x:c r="C17" s="13" t="s">
        <x:v>96</x:v>
      </x:c>
      <x:c r="D17" s="13" t="s">
        <x:v>97</x:v>
      </x:c>
      <x:c r="E17" s="10"/>
      <x:c r="F17" s="10"/>
      <x:c r="G17" s="10"/>
      <x:c r="H17" s="10"/>
      <x:c r="I17" s="11"/>
      <x:c r="J17" s="10"/>
      <x:c r="L17" s="75"/>
      <x:c r="N17" t="str">
        <x:f>IF($E17="✗",IF(K17="Critical",25,IF(K17="High",15,IF(K17="Medium",8,IF(K17="Low",4,1)))),"")</x:f>
      </x:c>
    </x:row>
    <x:row r="18" ht="18" hidden="0" customHeight="1">
      <x:c r="B18" s="8" t="s">
        <x:v>45</x:v>
      </x:c>
      <x:c r="C18" s="9" t="s">
        <x:v>98</x:v>
      </x:c>
      <x:c r="D18" s="9" t="s">
        <x:v>99</x:v>
      </x:c>
      <x:c r="E18" s="10"/>
      <x:c r="F18" s="10"/>
      <x:c r="G18" s="10"/>
      <x:c r="H18" s="10"/>
      <x:c r="I18" s="11"/>
      <x:c r="J18" s="10"/>
      <x:c r="L18" s="75"/>
      <x:c r="N18" t="str">
        <x:f>IF($E18="✗",IF(K18="Critical",25,IF(K18="High",15,IF(K18="Medium",8,IF(K18="Low",4,1)))),"")</x:f>
      </x:c>
    </x:row>
    <x:row r="19" ht="18" hidden="0" customHeight="1">
      <x:c r="B19" s="12" t="s">
        <x:v>48</x:v>
      </x:c>
      <x:c r="C19" s="13" t="s">
        <x:v>100</x:v>
      </x:c>
      <x:c r="D19" s="13" t="s">
        <x:v>101</x:v>
      </x:c>
      <x:c r="E19" s="10"/>
      <x:c r="F19" s="10"/>
      <x:c r="G19" s="10"/>
      <x:c r="H19" s="10"/>
      <x:c r="I19" s="11"/>
      <x:c r="J19" s="10"/>
      <x:c r="L19" s="75"/>
      <x:c r="N19" t="str">
        <x:f>IF($E19="✗",IF(K19="Critical",25,IF(K19="High",15,IF(K19="Medium",8,IF(K19="Low",4,1)))),"")</x:f>
      </x:c>
    </x:row>
    <x:row r="20" ht="18" hidden="0" customHeight="1">
      <x:c r="B20" s="7" t="s">
        <x:v>61</x:v>
      </x:c>
      <x:c r="C20" s="7"/>
      <x:c r="D20" s="7"/>
      <x:c r="E20" s="7"/>
      <x:c r="F20" s="7"/>
      <x:c r="G20" s="7"/>
      <x:c r="H20" s="7"/>
      <x:c r="I20" s="7"/>
      <x:c r="J20" s="7"/>
      <x:c r="L20" s="75"/>
      <x:c r="N20" t="str">
        <x:f>IF($E20="✗",IF(K20="Critical",25,IF(K20="High",15,IF(K20="Medium",8,IF(K20="Low",4,1)))),"")</x:f>
      </x:c>
    </x:row>
    <x:row r="21" ht="18" hidden="0" customHeight="1">
      <x:c r="B21" s="8" t="s">
        <x:v>52</x:v>
      </x:c>
      <x:c r="C21" s="9" t="s">
        <x:v>102</x:v>
      </x:c>
      <x:c r="D21" s="9" t="s">
        <x:v>103</x:v>
      </x:c>
      <x:c r="E21" s="10"/>
      <x:c r="F21" s="10"/>
      <x:c r="G21" s="10"/>
      <x:c r="H21" s="10"/>
      <x:c r="I21" s="11"/>
      <x:c r="J21" s="10"/>
      <x:c r="L21" s="75"/>
      <x:c r="N21" t="str">
        <x:f>IF($E21="✗",IF(K21="Critical",25,IF(K21="High",15,IF(K21="Medium",8,IF(K21="Low",4,1)))),"")</x:f>
      </x:c>
    </x:row>
    <x:row r="22" ht="18" hidden="0" customHeight="1">
      <x:c r="B22" s="12" t="s">
        <x:v>55</x:v>
      </x:c>
      <x:c r="C22" s="13" t="s">
        <x:v>104</x:v>
      </x:c>
      <x:c r="D22" s="13" t="s">
        <x:v>105</x:v>
      </x:c>
      <x:c r="E22" s="10"/>
      <x:c r="F22" s="10"/>
      <x:c r="G22" s="10"/>
      <x:c r="H22" s="10"/>
      <x:c r="I22" s="11"/>
      <x:c r="J22" s="10"/>
      <x:c r="L22" s="75"/>
      <x:c r="N22" t="str">
        <x:f>IF($E22="✗",IF(K22="Critical",25,IF(K22="High",15,IF(K22="Medium",8,IF(K22="Low",4,1)))),"")</x:f>
      </x:c>
    </x:row>
    <x:row r="23" ht="18" hidden="0" customHeight="1">
      <x:c r="B23" s="7" t="s">
        <x:v>51</x:v>
      </x:c>
      <x:c r="C23" s="7"/>
      <x:c r="D23" s="7"/>
      <x:c r="E23" s="7"/>
      <x:c r="F23" s="7"/>
      <x:c r="G23" s="7"/>
      <x:c r="H23" s="7"/>
      <x:c r="I23" s="7"/>
      <x:c r="J23" s="7"/>
      <x:c r="L23" s="75"/>
      <x:c r="N23" t="str">
        <x:f>IF($E23="✗",IF(K23="Critical",25,IF(K23="High",15,IF(K23="Medium",8,IF(K23="Low",4,1)))),"")</x:f>
      </x:c>
    </x:row>
    <x:row r="24" ht="18" hidden="0" customHeight="1">
      <x:c r="B24" s="8" t="s">
        <x:v>58</x:v>
      </x:c>
      <x:c r="C24" s="9" t="s">
        <x:v>106</x:v>
      </x:c>
      <x:c r="D24" s="9" t="s">
        <x:v>107</x:v>
      </x:c>
      <x:c r="E24" s="10"/>
      <x:c r="F24" s="10"/>
      <x:c r="G24" s="10"/>
      <x:c r="H24" s="10"/>
      <x:c r="I24" s="11"/>
      <x:c r="J24" s="10"/>
      <x:c r="L24" s="75"/>
      <x:c r="N24" t="str">
        <x:f>IF($E24="✗",IF(K24="Critical",25,IF(K24="High",15,IF(K24="Medium",8,IF(K24="Low",4,1)))),"")</x:f>
      </x:c>
    </x:row>
    <x:row r="25" ht="18" hidden="0" customHeight="1">
      <x:c r="B25" s="12" t="s">
        <x:v>62</x:v>
      </x:c>
      <x:c r="C25" s="13" t="s">
        <x:v>108</x:v>
      </x:c>
      <x:c r="D25" s="13" t="s">
        <x:v>109</x:v>
      </x:c>
      <x:c r="E25" s="10"/>
      <x:c r="F25" s="10"/>
      <x:c r="G25" s="10"/>
      <x:c r="H25" s="10"/>
      <x:c r="I25" s="11"/>
      <x:c r="J25" s="10"/>
      <x:c r="L25" s="75"/>
      <x:c r="N25" t="str">
        <x:f>IF($E25="✗",IF(K25="Critical",25,IF(K25="High",15,IF(K25="Medium",8,IF(K25="Low",4,1)))),"")</x:f>
      </x:c>
    </x:row>
    <x:row r="26" ht="18" hidden="0" customHeight="1">
      <x:c r="B26" s="7" t="s">
        <x:v>110</x:v>
      </x:c>
      <x:c r="C26" s="7"/>
      <x:c r="D26" s="7"/>
      <x:c r="E26" s="7"/>
      <x:c r="F26" s="7"/>
      <x:c r="G26" s="7"/>
      <x:c r="H26" s="7"/>
      <x:c r="I26" s="7"/>
      <x:c r="J26" s="7"/>
      <x:c r="L26" s="75"/>
      <x:c r="N26" t="str">
        <x:f>IF($E26="✗",IF(K26="Critical",25,IF(K26="High",15,IF(K26="Medium",8,IF(K26="Low",4,1)))),"")</x:f>
      </x:c>
    </x:row>
    <x:row r="27" ht="18" hidden="0" customHeight="1">
      <x:c r="B27" s="8" t="s">
        <x:v>65</x:v>
      </x:c>
      <x:c r="C27" s="9" t="s">
        <x:v>111</x:v>
      </x:c>
      <x:c r="D27" s="9" t="s">
        <x:v>112</x:v>
      </x:c>
      <x:c r="E27" s="10"/>
      <x:c r="F27" s="10"/>
      <x:c r="G27" s="10"/>
      <x:c r="H27" s="10"/>
      <x:c r="I27" s="11"/>
      <x:c r="J27" s="10"/>
      <x:c r="L27" s="75"/>
      <x:c r="N27" t="str">
        <x:f>IF($E27="✗",IF(K27="Critical",25,IF(K27="High",15,IF(K27="Medium",8,IF(K27="Low",4,1)))),"")</x:f>
      </x:c>
    </x:row>
    <x:row r="28" ht="18" hidden="0" customHeight="1">
      <x:c r="B28" s="12" t="s">
        <x:v>69</x:v>
      </x:c>
      <x:c r="C28" s="13" t="s">
        <x:v>113</x:v>
      </x:c>
      <x:c r="D28" s="13" t="s">
        <x:v>114</x:v>
      </x:c>
      <x:c r="E28" s="10"/>
      <x:c r="F28" s="10"/>
      <x:c r="G28" s="10"/>
      <x:c r="H28" s="10"/>
      <x:c r="I28" s="11"/>
      <x:c r="J28" s="10"/>
      <x:c r="L28" s="75"/>
      <x:c r="N28" t="str">
        <x:f>IF($E28="✗",IF(K28="Critical",25,IF(K28="High",15,IF(K28="Medium",8,IF(K28="Low",4,1)))),"")</x:f>
      </x:c>
    </x:row>
    <x:row r="29" ht="9.75" hidden="0" customHeight="1">
      <x:c r="L29" s="75"/>
      <x:c r="N29" t="str">
        <x:f>IF($E29="✗",IF(K29="Critical",25,IF(K29="High",15,IF(K29="Medium",8,IF(K29="Low",4,1)))),"")</x:f>
      </x:c>
    </x:row>
    <x:row r="30" ht="19.5" hidden="0" customHeight="1">
      <x:c r="B30" s="14" t="s">
        <x:v>78</x:v>
      </x:c>
      <x:c r="D30" s="14" t="s">
        <x:v>2</x:v>
      </x:c>
      <x:c r="F30" s="14" t="s">
        <x:v>79</x:v>
      </x:c>
      <x:c r="H30" s="14" t="s">
        <x:v>2</x:v>
      </x:c>
      <x:c r="L30" s="75"/>
      <x:c r="N30" t="str">
        <x:f>IF($E30="✗",IF(K30="Critical",25,IF(K30="High",15,IF(K30="Medium",8,IF(K30="Low",4,1)))),"")</x:f>
      </x:c>
    </x:row>
    <x:row r="31" ht="27.75" hidden="0" customHeight="1">
      <x:c r="B31" s="15"/>
      <x:c r="C31" s="15"/>
      <x:c r="D31" s="15"/>
      <x:c r="E31" s="15"/>
      <x:c r="F31" s="15"/>
      <x:c r="G31" s="15"/>
      <x:c r="H31" s="15"/>
      <x:c r="I31" s="15"/>
      <x:c r="L31" s="75"/>
      <x:c r="N31" t="str">
        <x:f>IF($E31="✗",IF(K31="Critical",25,IF(K31="High",15,IF(K31="Medium",8,IF(K31="Low",4,1)))),"")</x:f>
      </x:c>
    </x:row>
    <x:row r="32">
      <x:c r="L32" s="75"/>
      <x:c r="N32" t="str">
        <x:f>IF($E32="✗",IF(K32="Critical",25,IF(K32="High",15,IF(K32="Medium",8,IF(K32="Low",4,1)))),"")</x:f>
      </x:c>
    </x:row>
    <x:row r="33">
      <x:c r="L33" s="75"/>
      <x:c r="N33" t="str">
        <x:f>IF($E33="✗",IF(K33="Critical",25,IF(K33="High",15,IF(K33="Medium",8,IF(K33="Low",4,1)))),"")</x:f>
      </x:c>
    </x:row>
    <x:row r="34">
      <x:c r="L34" s="75"/>
      <x:c r="N34" t="str">
        <x:f>IF($E34="✗",IF(K34="Critical",25,IF(K34="High",15,IF(K34="Medium",8,IF(K34="Low",4,1)))),"")</x:f>
      </x:c>
    </x:row>
    <x:row r="35">
      <x:c r="L35" s="75"/>
      <x:c r="N35" t="str">
        <x:f>IF($E35="✗",IF(K35="Critical",25,IF(K35="High",15,IF(K35="Medium",8,IF(K35="Low",4,1)))),"")</x:f>
      </x:c>
    </x:row>
    <x:row r="36">
      <x:c r="L36" s="75"/>
      <x:c r="N36" t="str">
        <x:f>IF($E36="✗",IF(K36="Critical",25,IF(K36="High",15,IF(K36="Medium",8,IF(K36="Low",4,1)))),"")</x:f>
      </x:c>
    </x:row>
    <x:row r="37">
      <x:c r="L37" s="75"/>
      <x:c r="N37" t="str">
        <x:f>IF($E37="✗",IF(K37="Critical",25,IF(K37="High",15,IF(K37="Medium",8,IF(K37="Low",4,1)))),"")</x:f>
      </x:c>
    </x:row>
    <x:row r="38">
      <x:c r="L38" s="75"/>
      <x:c r="N38" t="str">
        <x:f>IF($E38="✗",IF(K38="Critical",25,IF(K38="High",15,IF(K38="Medium",8,IF(K38="Low",4,1)))),"")</x:f>
      </x:c>
    </x:row>
    <x:row r="39">
      <x:c r="L39" s="75"/>
      <x:c r="N39" t="str">
        <x:f>IF($E39="✗",IF(K39="Critical",25,IF(K39="High",15,IF(K39="Medium",8,IF(K39="Low",4,1)))),"")</x:f>
      </x:c>
    </x:row>
    <x:row r="40">
      <x:c r="L40" s="75"/>
      <x:c r="N40" t="str">
        <x:f>IF($E40="✗",IF(K40="Critical",25,IF(K40="High",15,IF(K40="Medium",8,IF(K40="Low",4,1)))),"")</x:f>
      </x:c>
    </x:row>
    <x:row r="41">
      <x:c r="L41" s="75"/>
      <x:c r="N41" t="str">
        <x:f>IF($E41="✗",IF(K41="Critical",25,IF(K41="High",15,IF(K41="Medium",8,IF(K41="Low",4,1)))),"")</x:f>
      </x:c>
    </x:row>
    <x:row r="42">
      <x:c r="L42" s="75"/>
      <x:c r="N42" t="str">
        <x:f>IF($E42="✗",IF(K42="Critical",25,IF(K42="High",15,IF(K42="Medium",8,IF(K42="Low",4,1)))),"")</x:f>
      </x:c>
    </x:row>
    <x:row r="43">
      <x:c r="L43" s="75"/>
      <x:c r="N43" t="str">
        <x:f>IF($E43="✗",IF(K43="Critical",25,IF(K43="High",15,IF(K43="Medium",8,IF(K43="Low",4,1)))),"")</x:f>
      </x:c>
    </x:row>
    <x:row r="44">
      <x:c r="L44" s="75"/>
      <x:c r="N44" t="str">
        <x:f>IF($E44="✗",IF(K44="Critical",25,IF(K44="High",15,IF(K44="Medium",8,IF(K44="Low",4,1)))),"")</x:f>
      </x:c>
    </x:row>
    <x:row r="45">
      <x:c r="L45" s="75"/>
      <x:c r="N45" t="str">
        <x:f>IF($E45="✗",IF(K45="Critical",25,IF(K45="High",15,IF(K45="Medium",8,IF(K45="Low",4,1)))),"")</x:f>
      </x:c>
    </x:row>
  </x:sheetData>
  <x:mergeCells>
    <x:mergeCell ref="B2:J2"/>
    <x:mergeCell ref="B3:I3"/>
    <x:mergeCell ref="B7:J7"/>
    <x:mergeCell ref="B11:J11"/>
    <x:mergeCell ref="B16:J16"/>
    <x:mergeCell ref="B20:J20"/>
    <x:mergeCell ref="B23:J23"/>
    <x:mergeCell ref="B26:J26"/>
  </x:mergeCells>
  <x:conditionalFormatting sqref="M7:M45">
    <x:cfRule type="cellIs" dxfId="10" priority="1">
      <x:formula>"Complete"</x:formula>
    </x:cfRule>
    <x:cfRule type="cellIs" dxfId="11" priority="2">
      <x:formula>"Verified"</x:formula>
    </x:cfRule>
    <x:cfRule type="cellIs" dxfId="12" priority="3">
      <x:formula>"Overdue"</x:formula>
    </x:cfRule>
    <x:cfRule type="cellIs" dxfId="13" priority="4">
      <x:formula>"Open"</x:formula>
    </x:cfRule>
  </x:conditionalFormatting>
  <x:conditionalFormatting sqref="N7:N45">
    <x:cfRule type="cellIs" dxfId="14" priority="5" operator="greaterThanOrEqual">
      <x:formula>15</x:formula>
    </x:cfRule>
  </x:conditionalFormatting>
  <x:dataValidations count="6">
    <x:dataValidation type="list" errorStyle="stop" operator="between" allowBlank="1" showDropDown="0" showInputMessage="0" showErrorMessage="0" sqref="E7:E28">
      <x:formula1>"✓,✗,N/A"</x:formula1>
      <x:formula2>0</x:formula2>
    </x:dataValidation>
    <x:dataValidation type="list" errorStyle="stop" operator="between" allowBlank="1" showDropDown="0" showInputMessage="0" showErrorMessage="0" sqref="H7:H28">
      <x:formula1>"Pass,Fail,N/A"</x:formula1>
      <x:formula2>0</x:formula2>
    </x:dataValidation>
    <x:dataValidation type="list" sqref="K7:K45">
      <x:formula1>"Critical,High,Medium,Low,Monitor"</x:formula1>
    </x:dataValidation>
    <x:dataValidation type="list" sqref="M7:M45">
      <x:formula1>"Open,In Progress,Complete,Overdue,Deferred,Verified"</x:formula1>
    </x:dataValidation>
    <x:dataValidation type="list" sqref="E7:E45">
      <x:formula1>"✓,✗,N/A,Monitor"</x:formula1>
    </x:dataValidation>
    <x:dataValidation type="list" sqref="H7:H45">
      <x:formula1>"Pass,Fail,N/A,Monitor"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8A020"/>
  </x:sheetPr>
  <x:sheetViews>
    <x:sheetView showGridLines="0" workbookViewId="0"/>
  </x:sheetViews>
  <x:sheetFormatPr defaultColWidth="8.6796875" defaultRowHeight="15"/>
  <x:cols>
    <x:col min="1" max="1" width="2" hidden="0" customWidth="1"/>
    <x:col min="2" max="2" width="8" hidden="0" customWidth="1"/>
    <x:col min="3" max="4" width="28" hidden="0" customWidth="1"/>
    <x:col min="5" max="5" width="14" hidden="0" customWidth="1"/>
    <x:col min="6" max="8" width="10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  <x:col min="13" max="13" width="14" hidden="0" customWidth="1"/>
    <x:col min="14" max="14" width="11" hidden="0" customWidth="1"/>
    <x:col min="15" max="15" width="16" hidden="0" customWidth="1"/>
  </x:cols>
  <x:sheetData>
    <x:row r="1" ht="7.5" hidden="0" customHeight="1"/>
    <x:row r="2" ht="36" hidden="0" customHeight="1">
      <x:c r="A2" s="1"/>
      <x:c r="B2" s="2" t="s">
        <x:v>115</x:v>
      </x:c>
      <x:c r="C2" s="2"/>
      <x:c r="D2" s="2"/>
      <x:c r="E2" s="2"/>
      <x:c r="F2" s="2"/>
      <x:c r="G2" s="2"/>
      <x:c r="H2" s="2"/>
      <x:c r="I2" s="2"/>
      <x:c r="J2" s="2"/>
    </x:row>
    <x:row r="3" ht="18" hidden="0" customHeight="1">
      <x:c r="B3" s="3" t="s">
        <x:v>1</x:v>
      </x:c>
      <x:c r="C3" s="3"/>
      <x:c r="D3" s="3"/>
      <x:c r="E3" s="3"/>
      <x:c r="F3" s="3"/>
      <x:c r="G3" s="3"/>
      <x:c r="H3" s="3"/>
      <x:c r="I3" s="3"/>
    </x:row>
    <x:row r="4" ht="19.5" hidden="0" customHeight="1">
      <x:c r="B4" s="4" t="s">
        <x:v>2</x:v>
      </x:c>
      <x:c r="C4" s="5"/>
      <x:c r="D4" s="4" t="s">
        <x:v>3</x:v>
      </x:c>
      <x:c r="E4" s="5"/>
      <x:c r="F4" s="4" t="s">
        <x:v>4</x:v>
      </x:c>
      <x:c r="G4" s="5"/>
      <x:c r="H4" s="4" t="s">
        <x:v>5</x:v>
      </x:c>
      <x:c r="I4" s="5"/>
    </x:row>
    <x:row r="5" ht="19.5" hidden="0" customHeight="1">
      <x:c r="B5" s="4" t="s">
        <x:v>6</x:v>
      </x:c>
      <x:c r="C5" s="5"/>
      <x:c r="D5" s="4" t="s">
        <x:v>7</x:v>
      </x:c>
      <x:c r="E5" s="5"/>
      <x:c r="F5" s="4" t="s">
        <x:v>8</x:v>
      </x:c>
      <x:c r="G5" s="5"/>
      <x:c r="H5" s="4" t="s">
        <x:v>9</x:v>
      </x:c>
      <x:c r="I5" s="5"/>
    </x:row>
    <x:row r="6" ht="21.75" hidden="0" customHeight="1">
      <x:c r="B6" s="6" t="s">
        <x:v>10</x:v>
      </x:c>
      <x:c r="C6" s="6" t="s">
        <x:v>11</x:v>
      </x:c>
      <x:c r="D6" s="6" t="s">
        <x:v>12</x:v>
      </x:c>
      <x:c r="E6" s="6" t="s">
        <x:v>13</x:v>
      </x:c>
      <x:c r="F6" s="6" t="s">
        <x:v>14</x:v>
      </x:c>
      <x:c r="G6" s="6" t="s">
        <x:v>15</x:v>
      </x:c>
      <x:c r="H6" s="6" t="s">
        <x:v>16</x:v>
      </x:c>
      <x:c r="I6" s="6" t="s">
        <x:v>17</x:v>
      </x:c>
      <x:c r="J6" s="6" t="s">
        <x:v>18</x:v>
      </x:c>
      <x:c r="K6" s="73" t="str">
        <x:v>Priority</x:v>
      </x:c>
      <x:c r="L6" s="73" t="str">
        <x:v>Due Date</x:v>
      </x:c>
      <x:c r="M6" s="73" t="str">
        <x:v>Action Status</x:v>
      </x:c>
      <x:c r="N6" s="73" t="str">
        <x:v>Risk Score</x:v>
      </x:c>
      <x:c r="O6" s="73" t="str">
        <x:v>Evidence Ref</x:v>
      </x:c>
    </x:row>
    <x:row r="7" ht="18" hidden="0" customHeight="1">
      <x:c r="B7" s="7" t="s">
        <x:v>19</x:v>
      </x:c>
      <x:c r="C7" s="7"/>
      <x:c r="D7" s="7"/>
      <x:c r="E7" s="7"/>
      <x:c r="F7" s="7"/>
      <x:c r="G7" s="7"/>
      <x:c r="H7" s="7"/>
      <x:c r="I7" s="7"/>
      <x:c r="J7" s="7"/>
      <x:c r="L7" s="75"/>
      <x:c r="N7" t="str">
        <x:f>IF($E7="✗",IF(K7="Critical",25,IF(K7="High",15,IF(K7="Medium",8,IF(K7="Low",4,1)))),"")</x:f>
      </x:c>
    </x:row>
    <x:row r="8" ht="18" hidden="0" customHeight="1">
      <x:c r="B8" s="8" t="s">
        <x:v>20</x:v>
      </x:c>
      <x:c r="C8" s="9" t="s">
        <x:v>116</x:v>
      </x:c>
      <x:c r="D8" s="9" t="s">
        <x:v>117</x:v>
      </x:c>
      <x:c r="E8" s="10"/>
      <x:c r="F8" s="10"/>
      <x:c r="G8" s="10"/>
      <x:c r="H8" s="10"/>
      <x:c r="I8" s="11"/>
      <x:c r="J8" s="10"/>
      <x:c r="L8" s="75"/>
      <x:c r="N8" t="str">
        <x:f>IF($E8="✗",IF(K8="Critical",25,IF(K8="High",15,IF(K8="Medium",8,IF(K8="Low",4,1)))),"")</x:f>
      </x:c>
    </x:row>
    <x:row r="9" ht="18" hidden="0" customHeight="1">
      <x:c r="B9" s="12" t="s">
        <x:v>23</x:v>
      </x:c>
      <x:c r="C9" s="13" t="s">
        <x:v>118</x:v>
      </x:c>
      <x:c r="D9" s="13" t="s">
        <x:v>119</x:v>
      </x:c>
      <x:c r="E9" s="10"/>
      <x:c r="F9" s="10"/>
      <x:c r="G9" s="10"/>
      <x:c r="H9" s="10"/>
      <x:c r="I9" s="11"/>
      <x:c r="J9" s="10"/>
      <x:c r="L9" s="75"/>
      <x:c r="N9" t="str">
        <x:f>IF($E9="✗",IF(K9="Critical",25,IF(K9="High",15,IF(K9="Medium",8,IF(K9="Low",4,1)))),"")</x:f>
      </x:c>
    </x:row>
    <x:row r="10" ht="18" hidden="0" customHeight="1">
      <x:c r="B10" s="8" t="s">
        <x:v>26</x:v>
      </x:c>
      <x:c r="C10" s="9" t="s">
        <x:v>120</x:v>
      </x:c>
      <x:c r="D10" s="9" t="s">
        <x:v>121</x:v>
      </x:c>
      <x:c r="E10" s="10"/>
      <x:c r="F10" s="10"/>
      <x:c r="G10" s="10"/>
      <x:c r="H10" s="10"/>
      <x:c r="I10" s="11"/>
      <x:c r="J10" s="10"/>
      <x:c r="L10" s="75"/>
      <x:c r="N10" t="str">
        <x:f>IF($E10="✗",IF(K10="Critical",25,IF(K10="High",15,IF(K10="Medium",8,IF(K10="Low",4,1)))),"")</x:f>
      </x:c>
    </x:row>
    <x:row r="11" ht="18" hidden="0" customHeight="1">
      <x:c r="B11" s="7" t="s">
        <x:v>95</x:v>
      </x:c>
      <x:c r="C11" s="7"/>
      <x:c r="D11" s="7"/>
      <x:c r="E11" s="7"/>
      <x:c r="F11" s="7"/>
      <x:c r="G11" s="7"/>
      <x:c r="H11" s="7"/>
      <x:c r="I11" s="7"/>
      <x:c r="J11" s="7"/>
      <x:c r="L11" s="75"/>
      <x:c r="N11" t="str">
        <x:f>IF($E11="✗",IF(K11="Critical",25,IF(K11="High",15,IF(K11="Medium",8,IF(K11="Low",4,1)))),"")</x:f>
      </x:c>
    </x:row>
    <x:row r="12" ht="18" hidden="0" customHeight="1">
      <x:c r="B12" s="12" t="s">
        <x:v>29</x:v>
      </x:c>
      <x:c r="C12" s="13" t="s">
        <x:v>122</x:v>
      </x:c>
      <x:c r="D12" s="13" t="s">
        <x:v>123</x:v>
      </x:c>
      <x:c r="E12" s="10"/>
      <x:c r="F12" s="10"/>
      <x:c r="G12" s="10"/>
      <x:c r="H12" s="10"/>
      <x:c r="I12" s="11"/>
      <x:c r="J12" s="10"/>
      <x:c r="L12" s="75"/>
      <x:c r="N12" t="str">
        <x:f>IF($E12="✗",IF(K12="Critical",25,IF(K12="High",15,IF(K12="Medium",8,IF(K12="Low",4,1)))),"")</x:f>
      </x:c>
    </x:row>
    <x:row r="13" ht="18" hidden="0" customHeight="1">
      <x:c r="B13" s="8" t="s">
        <x:v>32</x:v>
      </x:c>
      <x:c r="C13" s="9" t="s">
        <x:v>124</x:v>
      </x:c>
      <x:c r="D13" s="9" t="s">
        <x:v>125</x:v>
      </x:c>
      <x:c r="E13" s="10"/>
      <x:c r="F13" s="10"/>
      <x:c r="G13" s="10"/>
      <x:c r="H13" s="10"/>
      <x:c r="I13" s="11"/>
      <x:c r="J13" s="10"/>
      <x:c r="L13" s="75"/>
      <x:c r="N13" t="str">
        <x:f>IF($E13="✗",IF(K13="Critical",25,IF(K13="High",15,IF(K13="Medium",8,IF(K13="Low",4,1)))),"")</x:f>
      </x:c>
    </x:row>
    <x:row r="14" ht="18" hidden="0" customHeight="1">
      <x:c r="B14" s="12" t="s">
        <x:v>36</x:v>
      </x:c>
      <x:c r="C14" s="13" t="s">
        <x:v>126</x:v>
      </x:c>
      <x:c r="D14" s="13" t="s">
        <x:v>127</x:v>
      </x:c>
      <x:c r="E14" s="10"/>
      <x:c r="F14" s="10"/>
      <x:c r="G14" s="10"/>
      <x:c r="H14" s="10"/>
      <x:c r="I14" s="11"/>
      <x:c r="J14" s="10"/>
      <x:c r="L14" s="75"/>
      <x:c r="N14" t="str">
        <x:f>IF($E14="✗",IF(K14="Critical",25,IF(K14="High",15,IF(K14="Medium",8,IF(K14="Low",4,1)))),"")</x:f>
      </x:c>
    </x:row>
    <x:row r="15" ht="18" hidden="0" customHeight="1">
      <x:c r="B15" s="7" t="s">
        <x:v>35</x:v>
      </x:c>
      <x:c r="C15" s="7"/>
      <x:c r="D15" s="7"/>
      <x:c r="E15" s="7"/>
      <x:c r="F15" s="7"/>
      <x:c r="G15" s="7"/>
      <x:c r="H15" s="7"/>
      <x:c r="I15" s="7"/>
      <x:c r="J15" s="7"/>
      <x:c r="L15" s="75"/>
      <x:c r="N15" t="str">
        <x:f>IF($E15="✗",IF(K15="Critical",25,IF(K15="High",15,IF(K15="Medium",8,IF(K15="Low",4,1)))),"")</x:f>
      </x:c>
    </x:row>
    <x:row r="16" ht="18" hidden="0" customHeight="1">
      <x:c r="B16" s="8" t="s">
        <x:v>39</x:v>
      </x:c>
      <x:c r="C16" s="9" t="s">
        <x:v>128</x:v>
      </x:c>
      <x:c r="D16" s="9" t="s">
        <x:v>129</x:v>
      </x:c>
      <x:c r="E16" s="10"/>
      <x:c r="F16" s="10"/>
      <x:c r="G16" s="10"/>
      <x:c r="H16" s="10"/>
      <x:c r="I16" s="11"/>
      <x:c r="J16" s="10"/>
      <x:c r="L16" s="75"/>
      <x:c r="N16" t="str">
        <x:f>IF($E16="✗",IF(K16="Critical",25,IF(K16="High",15,IF(K16="Medium",8,IF(K16="Low",4,1)))),"")</x:f>
      </x:c>
    </x:row>
    <x:row r="17" ht="18" hidden="0" customHeight="1">
      <x:c r="B17" s="12" t="s">
        <x:v>42</x:v>
      </x:c>
      <x:c r="C17" s="13" t="s">
        <x:v>130</x:v>
      </x:c>
      <x:c r="D17" s="13" t="s">
        <x:v>131</x:v>
      </x:c>
      <x:c r="E17" s="10"/>
      <x:c r="F17" s="10"/>
      <x:c r="G17" s="10"/>
      <x:c r="H17" s="10"/>
      <x:c r="I17" s="11"/>
      <x:c r="J17" s="10"/>
      <x:c r="L17" s="75"/>
      <x:c r="N17" t="str">
        <x:f>IF($E17="✗",IF(K17="Critical",25,IF(K17="High",15,IF(K17="Medium",8,IF(K17="Low",4,1)))),"")</x:f>
      </x:c>
    </x:row>
    <x:row r="18" ht="18" hidden="0" customHeight="1">
      <x:c r="B18" s="7" t="s">
        <x:v>51</x:v>
      </x:c>
      <x:c r="C18" s="7"/>
      <x:c r="D18" s="7"/>
      <x:c r="E18" s="7"/>
      <x:c r="F18" s="7"/>
      <x:c r="G18" s="7"/>
      <x:c r="H18" s="7"/>
      <x:c r="I18" s="7"/>
      <x:c r="J18" s="7"/>
      <x:c r="L18" s="75"/>
      <x:c r="N18" t="str">
        <x:f>IF($E18="✗",IF(K18="Critical",25,IF(K18="High",15,IF(K18="Medium",8,IF(K18="Low",4,1)))),"")</x:f>
      </x:c>
    </x:row>
    <x:row r="19" ht="18" hidden="0" customHeight="1">
      <x:c r="B19" s="8" t="s">
        <x:v>45</x:v>
      </x:c>
      <x:c r="C19" s="9" t="s">
        <x:v>132</x:v>
      </x:c>
      <x:c r="D19" s="9" t="s">
        <x:v>133</x:v>
      </x:c>
      <x:c r="E19" s="10"/>
      <x:c r="F19" s="10"/>
      <x:c r="G19" s="10"/>
      <x:c r="H19" s="10"/>
      <x:c r="I19" s="11"/>
      <x:c r="J19" s="10"/>
      <x:c r="L19" s="75"/>
      <x:c r="N19" t="str">
        <x:f>IF($E19="✗",IF(K19="Critical",25,IF(K19="High",15,IF(K19="Medium",8,IF(K19="Low",4,1)))),"")</x:f>
      </x:c>
    </x:row>
    <x:row r="20" ht="18" hidden="0" customHeight="1">
      <x:c r="B20" s="12" t="s">
        <x:v>48</x:v>
      </x:c>
      <x:c r="C20" s="13" t="s">
        <x:v>134</x:v>
      </x:c>
      <x:c r="D20" s="13" t="s">
        <x:v>135</x:v>
      </x:c>
      <x:c r="E20" s="10"/>
      <x:c r="F20" s="10"/>
      <x:c r="G20" s="10"/>
      <x:c r="H20" s="10"/>
      <x:c r="I20" s="11"/>
      <x:c r="J20" s="10"/>
      <x:c r="L20" s="75"/>
      <x:c r="N20" t="str">
        <x:f>IF($E20="✗",IF(K20="Critical",25,IF(K20="High",15,IF(K20="Medium",8,IF(K20="Low",4,1)))),"")</x:f>
      </x:c>
    </x:row>
    <x:row r="21" ht="18" hidden="0" customHeight="1">
      <x:c r="B21" s="7" t="s">
        <x:v>61</x:v>
      </x:c>
      <x:c r="C21" s="7"/>
      <x:c r="D21" s="7"/>
      <x:c r="E21" s="7"/>
      <x:c r="F21" s="7"/>
      <x:c r="G21" s="7"/>
      <x:c r="H21" s="7"/>
      <x:c r="I21" s="7"/>
      <x:c r="J21" s="7"/>
      <x:c r="L21" s="75"/>
      <x:c r="N21" t="str">
        <x:f>IF($E21="✗",IF(K21="Critical",25,IF(K21="High",15,IF(K21="Medium",8,IF(K21="Low",4,1)))),"")</x:f>
      </x:c>
    </x:row>
    <x:row r="22" ht="18" hidden="0" customHeight="1">
      <x:c r="B22" s="8" t="s">
        <x:v>52</x:v>
      </x:c>
      <x:c r="C22" s="9" t="s">
        <x:v>136</x:v>
      </x:c>
      <x:c r="D22" s="9" t="s">
        <x:v>137</x:v>
      </x:c>
      <x:c r="E22" s="10"/>
      <x:c r="F22" s="10"/>
      <x:c r="G22" s="10"/>
      <x:c r="H22" s="10"/>
      <x:c r="I22" s="11"/>
      <x:c r="J22" s="10"/>
      <x:c r="L22" s="75"/>
      <x:c r="N22" t="str">
        <x:f>IF($E22="✗",IF(K22="Critical",25,IF(K22="High",15,IF(K22="Medium",8,IF(K22="Low",4,1)))),"")</x:f>
      </x:c>
    </x:row>
    <x:row r="23" ht="18" hidden="0" customHeight="1">
      <x:c r="B23" s="12" t="s">
        <x:v>55</x:v>
      </x:c>
      <x:c r="C23" s="13" t="s">
        <x:v>138</x:v>
      </x:c>
      <x:c r="D23" s="13" t="s">
        <x:v>139</x:v>
      </x:c>
      <x:c r="E23" s="10"/>
      <x:c r="F23" s="10"/>
      <x:c r="G23" s="10"/>
      <x:c r="H23" s="10"/>
      <x:c r="I23" s="11"/>
      <x:c r="J23" s="10"/>
      <x:c r="L23" s="75"/>
      <x:c r="N23" t="str">
        <x:f>IF($E23="✗",IF(K23="Critical",25,IF(K23="High",15,IF(K23="Medium",8,IF(K23="Low",4,1)))),"")</x:f>
      </x:c>
    </x:row>
    <x:row r="24" ht="18" hidden="0" customHeight="1">
      <x:c r="B24" s="7" t="s">
        <x:v>140</x:v>
      </x:c>
      <x:c r="C24" s="7"/>
      <x:c r="D24" s="7"/>
      <x:c r="E24" s="7"/>
      <x:c r="F24" s="7"/>
      <x:c r="G24" s="7"/>
      <x:c r="H24" s="7"/>
      <x:c r="I24" s="7"/>
      <x:c r="J24" s="7"/>
      <x:c r="L24" s="75"/>
      <x:c r="N24" t="str">
        <x:f>IF($E24="✗",IF(K24="Critical",25,IF(K24="High",15,IF(K24="Medium",8,IF(K24="Low",4,1)))),"")</x:f>
      </x:c>
    </x:row>
    <x:row r="25" ht="18" hidden="0" customHeight="1">
      <x:c r="B25" s="8" t="s">
        <x:v>58</x:v>
      </x:c>
      <x:c r="C25" s="9" t="s">
        <x:v>141</x:v>
      </x:c>
      <x:c r="D25" s="9" t="s">
        <x:v>142</x:v>
      </x:c>
      <x:c r="E25" s="10"/>
      <x:c r="F25" s="10"/>
      <x:c r="G25" s="10"/>
      <x:c r="H25" s="10"/>
      <x:c r="I25" s="11"/>
      <x:c r="J25" s="10"/>
      <x:c r="L25" s="75"/>
      <x:c r="N25" t="str">
        <x:f>IF($E25="✗",IF(K25="Critical",25,IF(K25="High",15,IF(K25="Medium",8,IF(K25="Low",4,1)))),"")</x:f>
      </x:c>
    </x:row>
    <x:row r="26" ht="18" hidden="0" customHeight="1">
      <x:c r="B26" s="7" t="s">
        <x:v>110</x:v>
      </x:c>
      <x:c r="C26" s="7"/>
      <x:c r="D26" s="7"/>
      <x:c r="E26" s="7"/>
      <x:c r="F26" s="7"/>
      <x:c r="G26" s="7"/>
      <x:c r="H26" s="7"/>
      <x:c r="I26" s="7"/>
      <x:c r="J26" s="7"/>
      <x:c r="L26" s="75"/>
      <x:c r="N26" t="str">
        <x:f>IF($E26="✗",IF(K26="Critical",25,IF(K26="High",15,IF(K26="Medium",8,IF(K26="Low",4,1)))),"")</x:f>
      </x:c>
    </x:row>
    <x:row r="27" ht="18" hidden="0" customHeight="1">
      <x:c r="B27" s="12" t="s">
        <x:v>62</x:v>
      </x:c>
      <x:c r="C27" s="13" t="s">
        <x:v>143</x:v>
      </x:c>
      <x:c r="D27" s="13" t="s">
        <x:v>144</x:v>
      </x:c>
      <x:c r="E27" s="10"/>
      <x:c r="F27" s="10"/>
      <x:c r="G27" s="10"/>
      <x:c r="H27" s="10"/>
      <x:c r="I27" s="11"/>
      <x:c r="J27" s="10"/>
      <x:c r="L27" s="75"/>
      <x:c r="N27" t="str">
        <x:f>IF($E27="✗",IF(K27="Critical",25,IF(K27="High",15,IF(K27="Medium",8,IF(K27="Low",4,1)))),"")</x:f>
      </x:c>
    </x:row>
    <x:row r="28" ht="18" hidden="0" customHeight="1">
      <x:c r="B28" s="8" t="s">
        <x:v>65</x:v>
      </x:c>
      <x:c r="C28" s="9" t="s">
        <x:v>145</x:v>
      </x:c>
      <x:c r="D28" s="9" t="s">
        <x:v>146</x:v>
      </x:c>
      <x:c r="E28" s="10"/>
      <x:c r="F28" s="10"/>
      <x:c r="G28" s="10"/>
      <x:c r="H28" s="10"/>
      <x:c r="I28" s="11"/>
      <x:c r="J28" s="10"/>
      <x:c r="L28" s="75"/>
      <x:c r="N28" t="str">
        <x:f>IF($E28="✗",IF(K28="Critical",25,IF(K28="High",15,IF(K28="Medium",8,IF(K28="Low",4,1)))),"")</x:f>
      </x:c>
    </x:row>
    <x:row r="29" ht="9.75" hidden="0" customHeight="1">
      <x:c r="L29" s="75"/>
      <x:c r="N29" t="str">
        <x:f>IF($E29="✗",IF(K29="Critical",25,IF(K29="High",15,IF(K29="Medium",8,IF(K29="Low",4,1)))),"")</x:f>
      </x:c>
    </x:row>
    <x:row r="30" ht="19.5" hidden="0" customHeight="1">
      <x:c r="B30" s="14" t="s">
        <x:v>78</x:v>
      </x:c>
      <x:c r="D30" s="14" t="s">
        <x:v>2</x:v>
      </x:c>
      <x:c r="F30" s="14" t="s">
        <x:v>79</x:v>
      </x:c>
      <x:c r="H30" s="14" t="s">
        <x:v>2</x:v>
      </x:c>
      <x:c r="L30" s="75"/>
      <x:c r="N30" t="str">
        <x:f>IF($E30="✗",IF(K30="Critical",25,IF(K30="High",15,IF(K30="Medium",8,IF(K30="Low",4,1)))),"")</x:f>
      </x:c>
    </x:row>
    <x:row r="31" ht="27.75" hidden="0" customHeight="1">
      <x:c r="B31" s="15"/>
      <x:c r="C31" s="15"/>
      <x:c r="D31" s="15"/>
      <x:c r="E31" s="15"/>
      <x:c r="F31" s="15"/>
      <x:c r="G31" s="15"/>
      <x:c r="H31" s="15"/>
      <x:c r="I31" s="15"/>
      <x:c r="L31" s="75"/>
      <x:c r="N31" t="str">
        <x:f>IF($E31="✗",IF(K31="Critical",25,IF(K31="High",15,IF(K31="Medium",8,IF(K31="Low",4,1)))),"")</x:f>
      </x:c>
    </x:row>
    <x:row r="32">
      <x:c r="L32" s="75"/>
      <x:c r="N32" t="str">
        <x:f>IF($E32="✗",IF(K32="Critical",25,IF(K32="High",15,IF(K32="Medium",8,IF(K32="Low",4,1)))),"")</x:f>
      </x:c>
    </x:row>
    <x:row r="33">
      <x:c r="L33" s="75"/>
      <x:c r="N33" t="str">
        <x:f>IF($E33="✗",IF(K33="Critical",25,IF(K33="High",15,IF(K33="Medium",8,IF(K33="Low",4,1)))),"")</x:f>
      </x:c>
    </x:row>
    <x:row r="34">
      <x:c r="L34" s="75"/>
      <x:c r="N34" t="str">
        <x:f>IF($E34="✗",IF(K34="Critical",25,IF(K34="High",15,IF(K34="Medium",8,IF(K34="Low",4,1)))),"")</x:f>
      </x:c>
    </x:row>
    <x:row r="35">
      <x:c r="L35" s="75"/>
      <x:c r="N35" t="str">
        <x:f>IF($E35="✗",IF(K35="Critical",25,IF(K35="High",15,IF(K35="Medium",8,IF(K35="Low",4,1)))),"")</x:f>
      </x:c>
    </x:row>
    <x:row r="36">
      <x:c r="L36" s="75"/>
      <x:c r="N36" t="str">
        <x:f>IF($E36="✗",IF(K36="Critical",25,IF(K36="High",15,IF(K36="Medium",8,IF(K36="Low",4,1)))),"")</x:f>
      </x:c>
    </x:row>
    <x:row r="37">
      <x:c r="L37" s="75"/>
      <x:c r="N37" t="str">
        <x:f>IF($E37="✗",IF(K37="Critical",25,IF(K37="High",15,IF(K37="Medium",8,IF(K37="Low",4,1)))),"")</x:f>
      </x:c>
    </x:row>
    <x:row r="38">
      <x:c r="L38" s="75"/>
      <x:c r="N38" t="str">
        <x:f>IF($E38="✗",IF(K38="Critical",25,IF(K38="High",15,IF(K38="Medium",8,IF(K38="Low",4,1)))),"")</x:f>
      </x:c>
    </x:row>
    <x:row r="39">
      <x:c r="L39" s="75"/>
      <x:c r="N39" t="str">
        <x:f>IF($E39="✗",IF(K39="Critical",25,IF(K39="High",15,IF(K39="Medium",8,IF(K39="Low",4,1)))),"")</x:f>
      </x:c>
    </x:row>
    <x:row r="40">
      <x:c r="L40" s="75"/>
      <x:c r="N40" t="str">
        <x:f>IF($E40="✗",IF(K40="Critical",25,IF(K40="High",15,IF(K40="Medium",8,IF(K40="Low",4,1)))),"")</x:f>
      </x:c>
    </x:row>
    <x:row r="41">
      <x:c r="L41" s="75"/>
      <x:c r="N41" t="str">
        <x:f>IF($E41="✗",IF(K41="Critical",25,IF(K41="High",15,IF(K41="Medium",8,IF(K41="Low",4,1)))),"")</x:f>
      </x:c>
    </x:row>
    <x:row r="42">
      <x:c r="L42" s="75"/>
      <x:c r="N42" t="str">
        <x:f>IF($E42="✗",IF(K42="Critical",25,IF(K42="High",15,IF(K42="Medium",8,IF(K42="Low",4,1)))),"")</x:f>
      </x:c>
    </x:row>
    <x:row r="43">
      <x:c r="L43" s="75"/>
      <x:c r="N43" t="str">
        <x:f>IF($E43="✗",IF(K43="Critical",25,IF(K43="High",15,IF(K43="Medium",8,IF(K43="Low",4,1)))),"")</x:f>
      </x:c>
    </x:row>
    <x:row r="44">
      <x:c r="L44" s="75"/>
      <x:c r="N44" t="str">
        <x:f>IF($E44="✗",IF(K44="Critical",25,IF(K44="High",15,IF(K44="Medium",8,IF(K44="Low",4,1)))),"")</x:f>
      </x:c>
    </x:row>
    <x:row r="45">
      <x:c r="L45" s="75"/>
      <x:c r="N45" t="str">
        <x:f>IF($E45="✗",IF(K45="Critical",25,IF(K45="High",15,IF(K45="Medium",8,IF(K45="Low",4,1)))),"")</x:f>
      </x:c>
    </x:row>
  </x:sheetData>
  <x:mergeCells>
    <x:mergeCell ref="B2:J2"/>
    <x:mergeCell ref="B3:I3"/>
    <x:mergeCell ref="B7:J7"/>
    <x:mergeCell ref="B11:J11"/>
    <x:mergeCell ref="B15:J15"/>
    <x:mergeCell ref="B18:J18"/>
    <x:mergeCell ref="B21:J21"/>
    <x:mergeCell ref="B24:J24"/>
    <x:mergeCell ref="B26:J26"/>
  </x:mergeCells>
  <x:conditionalFormatting sqref="M7:M45">
    <x:cfRule type="cellIs" dxfId="15" priority="1">
      <x:formula>"Complete"</x:formula>
    </x:cfRule>
    <x:cfRule type="cellIs" dxfId="16" priority="2">
      <x:formula>"Verified"</x:formula>
    </x:cfRule>
    <x:cfRule type="cellIs" dxfId="17" priority="3">
      <x:formula>"Overdue"</x:formula>
    </x:cfRule>
    <x:cfRule type="cellIs" dxfId="18" priority="4">
      <x:formula>"Open"</x:formula>
    </x:cfRule>
  </x:conditionalFormatting>
  <x:conditionalFormatting sqref="N7:N45">
    <x:cfRule type="cellIs" dxfId="19" priority="5" operator="greaterThanOrEqual">
      <x:formula>15</x:formula>
    </x:cfRule>
  </x:conditionalFormatting>
  <x:dataValidations count="6">
    <x:dataValidation type="list" errorStyle="stop" operator="between" allowBlank="1" showDropDown="0" showInputMessage="0" showErrorMessage="0" sqref="E7:E27">
      <x:formula1>"✓,✗,N/A"</x:formula1>
      <x:formula2>0</x:formula2>
    </x:dataValidation>
    <x:dataValidation type="list" errorStyle="stop" operator="between" allowBlank="1" showDropDown="0" showInputMessage="0" showErrorMessage="0" sqref="H7:H27">
      <x:formula1>"Pass,Fail,N/A"</x:formula1>
      <x:formula2>0</x:formula2>
    </x:dataValidation>
    <x:dataValidation type="list" sqref="K7:K45">
      <x:formula1>"Critical,High,Medium,Low,Monitor"</x:formula1>
    </x:dataValidation>
    <x:dataValidation type="list" sqref="M7:M45">
      <x:formula1>"Open,In Progress,Complete,Overdue,Deferred,Verified"</x:formula1>
    </x:dataValidation>
    <x:dataValidation type="list" sqref="E7:E45">
      <x:formula1>"✓,✗,N/A,Monitor"</x:formula1>
    </x:dataValidation>
    <x:dataValidation type="list" sqref="H7:H45">
      <x:formula1>"Pass,Fail,N/A,Monitor"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8A020"/>
  </x:sheetPr>
  <x:sheetViews>
    <x:sheetView showGridLines="0" workbookViewId="0"/>
  </x:sheetViews>
  <x:sheetFormatPr defaultColWidth="8.6796875" defaultRowHeight="15"/>
  <x:cols>
    <x:col min="1" max="1" width="2" hidden="0" customWidth="1"/>
    <x:col min="2" max="2" width="8" hidden="0" customWidth="1"/>
    <x:col min="3" max="4" width="28" hidden="0" customWidth="1"/>
    <x:col min="5" max="5" width="14" hidden="0" customWidth="1"/>
    <x:col min="6" max="8" width="10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  <x:col min="13" max="13" width="14" hidden="0" customWidth="1"/>
    <x:col min="14" max="14" width="11" hidden="0" customWidth="1"/>
    <x:col min="15" max="15" width="16" hidden="0" customWidth="1"/>
  </x:cols>
  <x:sheetData>
    <x:row r="1" ht="7.5" hidden="0" customHeight="1"/>
    <x:row r="2" ht="36" hidden="0" customHeight="1">
      <x:c r="A2" s="1"/>
      <x:c r="B2" s="2" t="s">
        <x:v>147</x:v>
      </x:c>
      <x:c r="C2" s="2"/>
      <x:c r="D2" s="2"/>
      <x:c r="E2" s="2"/>
      <x:c r="F2" s="2"/>
      <x:c r="G2" s="2"/>
      <x:c r="H2" s="2"/>
      <x:c r="I2" s="2"/>
      <x:c r="J2" s="2"/>
    </x:row>
    <x:row r="3" ht="18" hidden="0" customHeight="1">
      <x:c r="B3" s="3" t="s">
        <x:v>1</x:v>
      </x:c>
      <x:c r="C3" s="3"/>
      <x:c r="D3" s="3"/>
      <x:c r="E3" s="3"/>
      <x:c r="F3" s="3"/>
      <x:c r="G3" s="3"/>
      <x:c r="H3" s="3"/>
      <x:c r="I3" s="3"/>
    </x:row>
    <x:row r="4" ht="19.5" hidden="0" customHeight="1">
      <x:c r="B4" s="4" t="s">
        <x:v>2</x:v>
      </x:c>
      <x:c r="C4" s="5"/>
      <x:c r="D4" s="4" t="s">
        <x:v>3</x:v>
      </x:c>
      <x:c r="E4" s="5"/>
      <x:c r="F4" s="4" t="s">
        <x:v>4</x:v>
      </x:c>
      <x:c r="G4" s="5"/>
      <x:c r="H4" s="4" t="s">
        <x:v>5</x:v>
      </x:c>
      <x:c r="I4" s="5"/>
    </x:row>
    <x:row r="5" ht="19.5" hidden="0" customHeight="1">
      <x:c r="B5" s="4" t="s">
        <x:v>6</x:v>
      </x:c>
      <x:c r="C5" s="5"/>
      <x:c r="D5" s="4" t="s">
        <x:v>7</x:v>
      </x:c>
      <x:c r="E5" s="5"/>
      <x:c r="F5" s="4" t="s">
        <x:v>8</x:v>
      </x:c>
      <x:c r="G5" s="5"/>
      <x:c r="H5" s="4" t="s">
        <x:v>9</x:v>
      </x:c>
      <x:c r="I5" s="5"/>
    </x:row>
    <x:row r="6" ht="21.75" hidden="0" customHeight="1">
      <x:c r="B6" s="6" t="s">
        <x:v>10</x:v>
      </x:c>
      <x:c r="C6" s="6" t="s">
        <x:v>11</x:v>
      </x:c>
      <x:c r="D6" s="6" t="s">
        <x:v>12</x:v>
      </x:c>
      <x:c r="E6" s="6" t="s">
        <x:v>13</x:v>
      </x:c>
      <x:c r="F6" s="6" t="s">
        <x:v>14</x:v>
      </x:c>
      <x:c r="G6" s="6" t="s">
        <x:v>15</x:v>
      </x:c>
      <x:c r="H6" s="6" t="s">
        <x:v>16</x:v>
      </x:c>
      <x:c r="I6" s="6" t="s">
        <x:v>17</x:v>
      </x:c>
      <x:c r="J6" s="6" t="s">
        <x:v>18</x:v>
      </x:c>
      <x:c r="K6" s="73" t="str">
        <x:v>Priority</x:v>
      </x:c>
      <x:c r="L6" s="73" t="str">
        <x:v>Due Date</x:v>
      </x:c>
      <x:c r="M6" s="73" t="str">
        <x:v>Action Status</x:v>
      </x:c>
      <x:c r="N6" s="73" t="str">
        <x:v>Risk Score</x:v>
      </x:c>
      <x:c r="O6" s="73" t="str">
        <x:v>Evidence Ref</x:v>
      </x:c>
    </x:row>
    <x:row r="7" ht="18" hidden="0" customHeight="1">
      <x:c r="B7" s="7" t="s">
        <x:v>19</x:v>
      </x:c>
      <x:c r="C7" s="7"/>
      <x:c r="D7" s="7"/>
      <x:c r="E7" s="7"/>
      <x:c r="F7" s="7"/>
      <x:c r="G7" s="7"/>
      <x:c r="H7" s="7"/>
      <x:c r="I7" s="7"/>
      <x:c r="J7" s="7"/>
      <x:c r="L7" s="75"/>
      <x:c r="N7" t="str">
        <x:f>IF($E7="✗",IF(K7="Critical",25,IF(K7="High",15,IF(K7="Medium",8,IF(K7="Low",4,1)))),"")</x:f>
      </x:c>
    </x:row>
    <x:row r="8" ht="18" hidden="0" customHeight="1">
      <x:c r="B8" s="8" t="s">
        <x:v>20</x:v>
      </x:c>
      <x:c r="C8" s="9" t="s">
        <x:v>148</x:v>
      </x:c>
      <x:c r="D8" s="9" t="s">
        <x:v>149</x:v>
      </x:c>
      <x:c r="E8" s="10"/>
      <x:c r="F8" s="10"/>
      <x:c r="G8" s="10"/>
      <x:c r="H8" s="10"/>
      <x:c r="I8" s="11"/>
      <x:c r="J8" s="10"/>
      <x:c r="L8" s="75"/>
      <x:c r="N8" t="str">
        <x:f>IF($E8="✗",IF(K8="Critical",25,IF(K8="High",15,IF(K8="Medium",8,IF(K8="Low",4,1)))),"")</x:f>
      </x:c>
    </x:row>
    <x:row r="9" ht="18" hidden="0" customHeight="1">
      <x:c r="B9" s="12" t="s">
        <x:v>23</x:v>
      </x:c>
      <x:c r="C9" s="13" t="s">
        <x:v>150</x:v>
      </x:c>
      <x:c r="D9" s="13" t="s">
        <x:v>151</x:v>
      </x:c>
      <x:c r="E9" s="10"/>
      <x:c r="F9" s="10"/>
      <x:c r="G9" s="10"/>
      <x:c r="H9" s="10"/>
      <x:c r="I9" s="11"/>
      <x:c r="J9" s="10"/>
      <x:c r="L9" s="75"/>
      <x:c r="N9" t="str">
        <x:f>IF($E9="✗",IF(K9="Critical",25,IF(K9="High",15,IF(K9="Medium",8,IF(K9="Low",4,1)))),"")</x:f>
      </x:c>
    </x:row>
    <x:row r="10" ht="18" hidden="0" customHeight="1">
      <x:c r="B10" s="8" t="s">
        <x:v>26</x:v>
      </x:c>
      <x:c r="C10" s="9" t="s">
        <x:v>152</x:v>
      </x:c>
      <x:c r="D10" s="9" t="s">
        <x:v>153</x:v>
      </x:c>
      <x:c r="E10" s="10"/>
      <x:c r="F10" s="10"/>
      <x:c r="G10" s="10"/>
      <x:c r="H10" s="10"/>
      <x:c r="I10" s="11"/>
      <x:c r="J10" s="10"/>
      <x:c r="L10" s="75"/>
      <x:c r="N10" t="str">
        <x:f>IF($E10="✗",IF(K10="Critical",25,IF(K10="High",15,IF(K10="Medium",8,IF(K10="Low",4,1)))),"")</x:f>
      </x:c>
    </x:row>
    <x:row r="11" ht="18" hidden="0" customHeight="1">
      <x:c r="B11" s="7" t="s">
        <x:v>95</x:v>
      </x:c>
      <x:c r="C11" s="7"/>
      <x:c r="D11" s="7"/>
      <x:c r="E11" s="7"/>
      <x:c r="F11" s="7"/>
      <x:c r="G11" s="7"/>
      <x:c r="H11" s="7"/>
      <x:c r="I11" s="7"/>
      <x:c r="J11" s="7"/>
      <x:c r="L11" s="75"/>
      <x:c r="N11" t="str">
        <x:f>IF($E11="✗",IF(K11="Critical",25,IF(K11="High",15,IF(K11="Medium",8,IF(K11="Low",4,1)))),"")</x:f>
      </x:c>
    </x:row>
    <x:row r="12" ht="18" hidden="0" customHeight="1">
      <x:c r="B12" s="12" t="s">
        <x:v>29</x:v>
      </x:c>
      <x:c r="C12" s="13" t="s">
        <x:v>154</x:v>
      </x:c>
      <x:c r="D12" s="13" t="s">
        <x:v>155</x:v>
      </x:c>
      <x:c r="E12" s="10"/>
      <x:c r="F12" s="10"/>
      <x:c r="G12" s="10"/>
      <x:c r="H12" s="10"/>
      <x:c r="I12" s="11"/>
      <x:c r="J12" s="10"/>
      <x:c r="L12" s="75"/>
      <x:c r="N12" t="str">
        <x:f>IF($E12="✗",IF(K12="Critical",25,IF(K12="High",15,IF(K12="Medium",8,IF(K12="Low",4,1)))),"")</x:f>
      </x:c>
    </x:row>
    <x:row r="13" ht="18" hidden="0" customHeight="1">
      <x:c r="B13" s="8" t="s">
        <x:v>32</x:v>
      </x:c>
      <x:c r="C13" s="9" t="s">
        <x:v>156</x:v>
      </x:c>
      <x:c r="D13" s="9" t="s">
        <x:v>157</x:v>
      </x:c>
      <x:c r="E13" s="10"/>
      <x:c r="F13" s="10"/>
      <x:c r="G13" s="10"/>
      <x:c r="H13" s="10"/>
      <x:c r="I13" s="11"/>
      <x:c r="J13" s="10"/>
      <x:c r="L13" s="75"/>
      <x:c r="N13" t="str">
        <x:f>IF($E13="✗",IF(K13="Critical",25,IF(K13="High",15,IF(K13="Medium",8,IF(K13="Low",4,1)))),"")</x:f>
      </x:c>
    </x:row>
    <x:row r="14" ht="18" hidden="0" customHeight="1">
      <x:c r="B14" s="12" t="s">
        <x:v>36</x:v>
      </x:c>
      <x:c r="C14" s="13" t="s">
        <x:v>158</x:v>
      </x:c>
      <x:c r="D14" s="13" t="s">
        <x:v>159</x:v>
      </x:c>
      <x:c r="E14" s="10"/>
      <x:c r="F14" s="10"/>
      <x:c r="G14" s="10"/>
      <x:c r="H14" s="10"/>
      <x:c r="I14" s="11"/>
      <x:c r="J14" s="10"/>
      <x:c r="L14" s="75"/>
      <x:c r="N14" t="str">
        <x:f>IF($E14="✗",IF(K14="Critical",25,IF(K14="High",15,IF(K14="Medium",8,IF(K14="Low",4,1)))),"")</x:f>
      </x:c>
    </x:row>
    <x:row r="15" ht="18" hidden="0" customHeight="1">
      <x:c r="B15" s="7" t="s">
        <x:v>51</x:v>
      </x:c>
      <x:c r="C15" s="7"/>
      <x:c r="D15" s="7"/>
      <x:c r="E15" s="7"/>
      <x:c r="F15" s="7"/>
      <x:c r="G15" s="7"/>
      <x:c r="H15" s="7"/>
      <x:c r="I15" s="7"/>
      <x:c r="J15" s="7"/>
      <x:c r="L15" s="75"/>
      <x:c r="N15" t="str">
        <x:f>IF($E15="✗",IF(K15="Critical",25,IF(K15="High",15,IF(K15="Medium",8,IF(K15="Low",4,1)))),"")</x:f>
      </x:c>
    </x:row>
    <x:row r="16" ht="18" hidden="0" customHeight="1">
      <x:c r="B16" s="8" t="s">
        <x:v>39</x:v>
      </x:c>
      <x:c r="C16" s="9" t="s">
        <x:v>160</x:v>
      </x:c>
      <x:c r="D16" s="9" t="s">
        <x:v>161</x:v>
      </x:c>
      <x:c r="E16" s="10"/>
      <x:c r="F16" s="10"/>
      <x:c r="G16" s="10"/>
      <x:c r="H16" s="10"/>
      <x:c r="I16" s="11"/>
      <x:c r="J16" s="10"/>
      <x:c r="L16" s="75"/>
      <x:c r="N16" t="str">
        <x:f>IF($E16="✗",IF(K16="Critical",25,IF(K16="High",15,IF(K16="Medium",8,IF(K16="Low",4,1)))),"")</x:f>
      </x:c>
    </x:row>
    <x:row r="17" ht="18" hidden="0" customHeight="1">
      <x:c r="B17" s="12" t="s">
        <x:v>42</x:v>
      </x:c>
      <x:c r="C17" s="13" t="s">
        <x:v>162</x:v>
      </x:c>
      <x:c r="D17" s="13" t="s">
        <x:v>163</x:v>
      </x:c>
      <x:c r="E17" s="10"/>
      <x:c r="F17" s="10"/>
      <x:c r="G17" s="10"/>
      <x:c r="H17" s="10"/>
      <x:c r="I17" s="11"/>
      <x:c r="J17" s="10"/>
      <x:c r="L17" s="75"/>
      <x:c r="N17" t="str">
        <x:f>IF($E17="✗",IF(K17="Critical",25,IF(K17="High",15,IF(K17="Medium",8,IF(K17="Low",4,1)))),"")</x:f>
      </x:c>
    </x:row>
    <x:row r="18" ht="18" hidden="0" customHeight="1">
      <x:c r="B18" s="7" t="s">
        <x:v>61</x:v>
      </x:c>
      <x:c r="C18" s="7"/>
      <x:c r="D18" s="7"/>
      <x:c r="E18" s="7"/>
      <x:c r="F18" s="7"/>
      <x:c r="G18" s="7"/>
      <x:c r="H18" s="7"/>
      <x:c r="I18" s="7"/>
      <x:c r="J18" s="7"/>
      <x:c r="L18" s="75"/>
      <x:c r="N18" t="str">
        <x:f>IF($E18="✗",IF(K18="Critical",25,IF(K18="High",15,IF(K18="Medium",8,IF(K18="Low",4,1)))),"")</x:f>
      </x:c>
    </x:row>
    <x:row r="19" ht="18" hidden="0" customHeight="1">
      <x:c r="B19" s="8" t="s">
        <x:v>45</x:v>
      </x:c>
      <x:c r="C19" s="9" t="s">
        <x:v>164</x:v>
      </x:c>
      <x:c r="D19" s="9" t="s">
        <x:v>165</x:v>
      </x:c>
      <x:c r="E19" s="10"/>
      <x:c r="F19" s="10"/>
      <x:c r="G19" s="10"/>
      <x:c r="H19" s="10"/>
      <x:c r="I19" s="11"/>
      <x:c r="J19" s="10"/>
      <x:c r="L19" s="75"/>
      <x:c r="N19" t="str">
        <x:f>IF($E19="✗",IF(K19="Critical",25,IF(K19="High",15,IF(K19="Medium",8,IF(K19="Low",4,1)))),"")</x:f>
      </x:c>
    </x:row>
    <x:row r="20" ht="18" hidden="0" customHeight="1">
      <x:c r="B20" s="12" t="s">
        <x:v>48</x:v>
      </x:c>
      <x:c r="C20" s="13" t="s">
        <x:v>166</x:v>
      </x:c>
      <x:c r="D20" s="13" t="s">
        <x:v>167</x:v>
      </x:c>
      <x:c r="E20" s="10"/>
      <x:c r="F20" s="10"/>
      <x:c r="G20" s="10"/>
      <x:c r="H20" s="10"/>
      <x:c r="I20" s="11"/>
      <x:c r="J20" s="10"/>
      <x:c r="L20" s="75"/>
      <x:c r="N20" t="str">
        <x:f>IF($E20="✗",IF(K20="Critical",25,IF(K20="High",15,IF(K20="Medium",8,IF(K20="Low",4,1)))),"")</x:f>
      </x:c>
    </x:row>
    <x:row r="21" ht="18" hidden="0" customHeight="1">
      <x:c r="B21" s="7" t="s">
        <x:v>110</x:v>
      </x:c>
      <x:c r="C21" s="7"/>
      <x:c r="D21" s="7"/>
      <x:c r="E21" s="7"/>
      <x:c r="F21" s="7"/>
      <x:c r="G21" s="7"/>
      <x:c r="H21" s="7"/>
      <x:c r="I21" s="7"/>
      <x:c r="J21" s="7"/>
      <x:c r="L21" s="75"/>
      <x:c r="N21" t="str">
        <x:f>IF($E21="✗",IF(K21="Critical",25,IF(K21="High",15,IF(K21="Medium",8,IF(K21="Low",4,1)))),"")</x:f>
      </x:c>
    </x:row>
    <x:row r="22" ht="18" hidden="0" customHeight="1">
      <x:c r="B22" s="8" t="s">
        <x:v>52</x:v>
      </x:c>
      <x:c r="C22" s="9" t="s">
        <x:v>168</x:v>
      </x:c>
      <x:c r="D22" s="9" t="s">
        <x:v>169</x:v>
      </x:c>
      <x:c r="E22" s="10"/>
      <x:c r="F22" s="10"/>
      <x:c r="G22" s="10"/>
      <x:c r="H22" s="10"/>
      <x:c r="I22" s="11"/>
      <x:c r="J22" s="10"/>
      <x:c r="L22" s="75"/>
      <x:c r="N22" t="str">
        <x:f>IF($E22="✗",IF(K22="Critical",25,IF(K22="High",15,IF(K22="Medium",8,IF(K22="Low",4,1)))),"")</x:f>
      </x:c>
    </x:row>
    <x:row r="23" ht="18" hidden="0" customHeight="1">
      <x:c r="B23" s="12" t="s">
        <x:v>55</x:v>
      </x:c>
      <x:c r="C23" s="13" t="s">
        <x:v>170</x:v>
      </x:c>
      <x:c r="D23" s="13" t="s">
        <x:v>171</x:v>
      </x:c>
      <x:c r="E23" s="10"/>
      <x:c r="F23" s="10"/>
      <x:c r="G23" s="10"/>
      <x:c r="H23" s="10"/>
      <x:c r="I23" s="11"/>
      <x:c r="J23" s="10"/>
      <x:c r="L23" s="75"/>
      <x:c r="N23" t="str">
        <x:f>IF($E23="✗",IF(K23="Critical",25,IF(K23="High",15,IF(K23="Medium",8,IF(K23="Low",4,1)))),"")</x:f>
      </x:c>
    </x:row>
    <x:row r="24" ht="18" hidden="0" customHeight="1">
      <x:c r="B24" s="7" t="s">
        <x:v>172</x:v>
      </x:c>
      <x:c r="C24" s="7"/>
      <x:c r="D24" s="7"/>
      <x:c r="E24" s="7"/>
      <x:c r="F24" s="7"/>
      <x:c r="G24" s="7"/>
      <x:c r="H24" s="7"/>
      <x:c r="I24" s="7"/>
      <x:c r="J24" s="7"/>
      <x:c r="L24" s="75"/>
      <x:c r="N24" t="str">
        <x:f>IF($E24="✗",IF(K24="Critical",25,IF(K24="High",15,IF(K24="Medium",8,IF(K24="Low",4,1)))),"")</x:f>
      </x:c>
    </x:row>
    <x:row r="25" ht="18" hidden="0" customHeight="1">
      <x:c r="B25" s="8" t="s">
        <x:v>58</x:v>
      </x:c>
      <x:c r="C25" s="9" t="s">
        <x:v>173</x:v>
      </x:c>
      <x:c r="D25" s="9" t="s">
        <x:v>174</x:v>
      </x:c>
      <x:c r="E25" s="10"/>
      <x:c r="F25" s="10"/>
      <x:c r="G25" s="10"/>
      <x:c r="H25" s="10"/>
      <x:c r="I25" s="11"/>
      <x:c r="J25" s="10"/>
      <x:c r="L25" s="75"/>
      <x:c r="N25" t="str">
        <x:f>IF($E25="✗",IF(K25="Critical",25,IF(K25="High",15,IF(K25="Medium",8,IF(K25="Low",4,1)))),"")</x:f>
      </x:c>
    </x:row>
    <x:row r="26" ht="18" hidden="0" customHeight="1">
      <x:c r="B26" s="7" t="s">
        <x:v>175</x:v>
      </x:c>
      <x:c r="C26" s="7"/>
      <x:c r="D26" s="7"/>
      <x:c r="E26" s="7"/>
      <x:c r="F26" s="7"/>
      <x:c r="G26" s="7"/>
      <x:c r="H26" s="7"/>
      <x:c r="I26" s="7"/>
      <x:c r="J26" s="7"/>
      <x:c r="L26" s="75"/>
      <x:c r="N26" t="str">
        <x:f>IF($E26="✗",IF(K26="Critical",25,IF(K26="High",15,IF(K26="Medium",8,IF(K26="Low",4,1)))),"")</x:f>
      </x:c>
    </x:row>
    <x:row r="27" ht="18" hidden="0" customHeight="1">
      <x:c r="B27" s="12" t="s">
        <x:v>62</x:v>
      </x:c>
      <x:c r="C27" s="13" t="s">
        <x:v>176</x:v>
      </x:c>
      <x:c r="D27" s="13" t="s">
        <x:v>177</x:v>
      </x:c>
      <x:c r="E27" s="10"/>
      <x:c r="F27" s="10"/>
      <x:c r="G27" s="10"/>
      <x:c r="H27" s="10"/>
      <x:c r="I27" s="11"/>
      <x:c r="J27" s="10"/>
      <x:c r="L27" s="75"/>
      <x:c r="N27" t="str">
        <x:f>IF($E27="✗",IF(K27="Critical",25,IF(K27="High",15,IF(K27="Medium",8,IF(K27="Low",4,1)))),"")</x:f>
      </x:c>
    </x:row>
    <x:row r="28" ht="18" hidden="0" customHeight="1">
      <x:c r="B28" s="7" t="s">
        <x:v>178</x:v>
      </x:c>
      <x:c r="C28" s="7"/>
      <x:c r="D28" s="7"/>
      <x:c r="E28" s="7"/>
      <x:c r="F28" s="7"/>
      <x:c r="G28" s="7"/>
      <x:c r="H28" s="7"/>
      <x:c r="I28" s="7"/>
      <x:c r="J28" s="7"/>
      <x:c r="L28" s="75"/>
      <x:c r="N28" t="str">
        <x:f>IF($E28="✗",IF(K28="Critical",25,IF(K28="High",15,IF(K28="Medium",8,IF(K28="Low",4,1)))),"")</x:f>
      </x:c>
    </x:row>
    <x:row r="29" ht="18" hidden="0" customHeight="1">
      <x:c r="B29" s="8" t="s">
        <x:v>65</x:v>
      </x:c>
      <x:c r="C29" s="9" t="s">
        <x:v>179</x:v>
      </x:c>
      <x:c r="D29" s="9" t="s">
        <x:v>180</x:v>
      </x:c>
      <x:c r="E29" s="10"/>
      <x:c r="F29" s="10"/>
      <x:c r="G29" s="10"/>
      <x:c r="H29" s="10"/>
      <x:c r="I29" s="11"/>
      <x:c r="J29" s="10"/>
      <x:c r="L29" s="75"/>
      <x:c r="N29" t="str">
        <x:f>IF($E29="✗",IF(K29="Critical",25,IF(K29="High",15,IF(K29="Medium",8,IF(K29="Low",4,1)))),"")</x:f>
      </x:c>
    </x:row>
    <x:row r="30" ht="9.75" hidden="0" customHeight="1">
      <x:c r="L30" s="75"/>
      <x:c r="N30" t="str">
        <x:f>IF($E30="✗",IF(K30="Critical",25,IF(K30="High",15,IF(K30="Medium",8,IF(K30="Low",4,1)))),"")</x:f>
      </x:c>
    </x:row>
    <x:row r="31" ht="19.5" hidden="0" customHeight="1">
      <x:c r="B31" s="14" t="s">
        <x:v>78</x:v>
      </x:c>
      <x:c r="D31" s="14" t="s">
        <x:v>2</x:v>
      </x:c>
      <x:c r="F31" s="14" t="s">
        <x:v>79</x:v>
      </x:c>
      <x:c r="H31" s="14" t="s">
        <x:v>2</x:v>
      </x:c>
      <x:c r="L31" s="75"/>
      <x:c r="N31" t="str">
        <x:f>IF($E31="✗",IF(K31="Critical",25,IF(K31="High",15,IF(K31="Medium",8,IF(K31="Low",4,1)))),"")</x:f>
      </x:c>
    </x:row>
    <x:row r="32" ht="27.75" hidden="0" customHeight="1">
      <x:c r="B32" s="15"/>
      <x:c r="C32" s="15"/>
      <x:c r="D32" s="15"/>
      <x:c r="E32" s="15"/>
      <x:c r="F32" s="15"/>
      <x:c r="G32" s="15"/>
      <x:c r="H32" s="15"/>
      <x:c r="I32" s="15"/>
      <x:c r="L32" s="75"/>
      <x:c r="N32" t="str">
        <x:f>IF($E32="✗",IF(K32="Critical",25,IF(K32="High",15,IF(K32="Medium",8,IF(K32="Low",4,1)))),"")</x:f>
      </x:c>
    </x:row>
    <x:row r="33">
      <x:c r="L33" s="75"/>
      <x:c r="N33" t="str">
        <x:f>IF($E33="✗",IF(K33="Critical",25,IF(K33="High",15,IF(K33="Medium",8,IF(K33="Low",4,1)))),"")</x:f>
      </x:c>
    </x:row>
    <x:row r="34">
      <x:c r="L34" s="75"/>
      <x:c r="N34" t="str">
        <x:f>IF($E34="✗",IF(K34="Critical",25,IF(K34="High",15,IF(K34="Medium",8,IF(K34="Low",4,1)))),"")</x:f>
      </x:c>
    </x:row>
    <x:row r="35">
      <x:c r="L35" s="75"/>
      <x:c r="N35" t="str">
        <x:f>IF($E35="✗",IF(K35="Critical",25,IF(K35="High",15,IF(K35="Medium",8,IF(K35="Low",4,1)))),"")</x:f>
      </x:c>
    </x:row>
    <x:row r="36">
      <x:c r="L36" s="75"/>
      <x:c r="N36" t="str">
        <x:f>IF($E36="✗",IF(K36="Critical",25,IF(K36="High",15,IF(K36="Medium",8,IF(K36="Low",4,1)))),"")</x:f>
      </x:c>
    </x:row>
    <x:row r="37">
      <x:c r="L37" s="75"/>
      <x:c r="N37" t="str">
        <x:f>IF($E37="✗",IF(K37="Critical",25,IF(K37="High",15,IF(K37="Medium",8,IF(K37="Low",4,1)))),"")</x:f>
      </x:c>
    </x:row>
    <x:row r="38">
      <x:c r="L38" s="75"/>
      <x:c r="N38" t="str">
        <x:f>IF($E38="✗",IF(K38="Critical",25,IF(K38="High",15,IF(K38="Medium",8,IF(K38="Low",4,1)))),"")</x:f>
      </x:c>
    </x:row>
    <x:row r="39">
      <x:c r="L39" s="75"/>
      <x:c r="N39" t="str">
        <x:f>IF($E39="✗",IF(K39="Critical",25,IF(K39="High",15,IF(K39="Medium",8,IF(K39="Low",4,1)))),"")</x:f>
      </x:c>
    </x:row>
    <x:row r="40">
      <x:c r="L40" s="75"/>
      <x:c r="N40" t="str">
        <x:f>IF($E40="✗",IF(K40="Critical",25,IF(K40="High",15,IF(K40="Medium",8,IF(K40="Low",4,1)))),"")</x:f>
      </x:c>
    </x:row>
    <x:row r="41">
      <x:c r="L41" s="75"/>
      <x:c r="N41" t="str">
        <x:f>IF($E41="✗",IF(K41="Critical",25,IF(K41="High",15,IF(K41="Medium",8,IF(K41="Low",4,1)))),"")</x:f>
      </x:c>
    </x:row>
    <x:row r="42">
      <x:c r="L42" s="75"/>
      <x:c r="N42" t="str">
        <x:f>IF($E42="✗",IF(K42="Critical",25,IF(K42="High",15,IF(K42="Medium",8,IF(K42="Low",4,1)))),"")</x:f>
      </x:c>
    </x:row>
    <x:row r="43">
      <x:c r="L43" s="75"/>
      <x:c r="N43" t="str">
        <x:f>IF($E43="✗",IF(K43="Critical",25,IF(K43="High",15,IF(K43="Medium",8,IF(K43="Low",4,1)))),"")</x:f>
      </x:c>
    </x:row>
    <x:row r="44">
      <x:c r="L44" s="75"/>
      <x:c r="N44" t="str">
        <x:f>IF($E44="✗",IF(K44="Critical",25,IF(K44="High",15,IF(K44="Medium",8,IF(K44="Low",4,1)))),"")</x:f>
      </x:c>
    </x:row>
    <x:row r="45">
      <x:c r="L45" s="75"/>
      <x:c r="N45" t="str">
        <x:f>IF($E45="✗",IF(K45="Critical",25,IF(K45="High",15,IF(K45="Medium",8,IF(K45="Low",4,1)))),"")</x:f>
      </x:c>
    </x:row>
  </x:sheetData>
  <x:mergeCells>
    <x:mergeCell ref="B2:J2"/>
    <x:mergeCell ref="B3:I3"/>
    <x:mergeCell ref="B7:J7"/>
    <x:mergeCell ref="B11:J11"/>
    <x:mergeCell ref="B15:J15"/>
    <x:mergeCell ref="B18:J18"/>
    <x:mergeCell ref="B21:J21"/>
    <x:mergeCell ref="B24:J24"/>
    <x:mergeCell ref="B26:J26"/>
    <x:mergeCell ref="B28:J28"/>
  </x:mergeCells>
  <x:conditionalFormatting sqref="M7:M45">
    <x:cfRule type="cellIs" dxfId="20" priority="1">
      <x:formula>"Complete"</x:formula>
    </x:cfRule>
    <x:cfRule type="cellIs" dxfId="21" priority="2">
      <x:formula>"Verified"</x:formula>
    </x:cfRule>
    <x:cfRule type="cellIs" dxfId="22" priority="3">
      <x:formula>"Overdue"</x:formula>
    </x:cfRule>
    <x:cfRule type="cellIs" dxfId="23" priority="4">
      <x:formula>"Open"</x:formula>
    </x:cfRule>
  </x:conditionalFormatting>
  <x:conditionalFormatting sqref="N7:N45">
    <x:cfRule type="cellIs" dxfId="24" priority="5" operator="greaterThanOrEqual">
      <x:formula>15</x:formula>
    </x:cfRule>
  </x:conditionalFormatting>
  <x:dataValidations count="6">
    <x:dataValidation type="list" errorStyle="stop" operator="between" allowBlank="1" showDropDown="0" showInputMessage="0" showErrorMessage="0" sqref="E7:E27">
      <x:formula1>"✓,✗,N/A"</x:formula1>
      <x:formula2>0</x:formula2>
    </x:dataValidation>
    <x:dataValidation type="list" errorStyle="stop" operator="between" allowBlank="1" showDropDown="0" showInputMessage="0" showErrorMessage="0" sqref="H7:H27">
      <x:formula1>"Pass,Fail,N/A"</x:formula1>
      <x:formula2>0</x:formula2>
    </x:dataValidation>
    <x:dataValidation type="list" sqref="K7:K45">
      <x:formula1>"Critical,High,Medium,Low,Monitor"</x:formula1>
    </x:dataValidation>
    <x:dataValidation type="list" sqref="M7:M45">
      <x:formula1>"Open,In Progress,Complete,Overdue,Deferred,Verified"</x:formula1>
    </x:dataValidation>
    <x:dataValidation type="list" sqref="E7:E45">
      <x:formula1>"✓,✗,N/A,Monitor"</x:formula1>
    </x:dataValidation>
    <x:dataValidation type="list" sqref="H7:H45">
      <x:formula1>"Pass,Fail,N/A,Monitor"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0" hidden="0" customWidth="1"/>
  </x:cols>
  <x:sheetData>
    <x:row r="1" ht="30" customHeight="1">
      <x:c r="A1" s="35" t="str">
        <x:v>Preventive Maintenance Checklist — PREMIUM UPGRADE GUIDE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42" t="str">
        <x:v>Original template preserved. Added premium sheets turn the file into a semi-automated maintenance management tool.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50" t="str">
        <x:v>Step</x:v>
      </x:c>
      <x:c r="B4" s="50" t="str">
        <x:v>What to do</x:v>
      </x:c>
      <x:c r="C4" s="50" t="str">
        <x:v>Outcome</x:v>
      </x:c>
    </x:row>
    <x:row r="5">
      <x:c r="A5" s="58" t="str">
        <x:v>1</x:v>
      </x:c>
      <x:c r="B5" s="58" t="str">
        <x:v>Enter field data</x:v>
      </x:c>
      <x:c r="C5" s="58" t="str">
        <x:v>Complete the original inspection/report sheet. Yellow cells and result columns are input fields.</x:v>
      </x:c>
    </x:row>
    <x:row r="6">
      <x:c r="A6" s="58" t="str">
        <x:v>2</x:v>
      </x:c>
      <x:c r="B6" s="58" t="str">
        <x:v>Use dropdowns</x:v>
      </x:c>
      <x:c r="C6" s="58" t="str">
        <x:v>Use standardised results, priority, status, criticality and RCA decision fields to keep data clean.</x:v>
      </x:c>
    </x:row>
    <x:row r="7">
      <x:c r="A7" s="58" t="str">
        <x:v>3</x:v>
      </x:c>
      <x:c r="B7" s="58" t="str">
        <x:v>Review dashboard</x:v>
      </x:c>
      <x:c r="C7" s="58" t="str">
        <x:v>Open the dashboard/summary sheet to view compliance, open actions, overdue actions and management risk indicators.</x:v>
      </x:c>
    </x:row>
    <x:row r="8">
      <x:c r="A8" s="58" t="str">
        <x:v>4</x:v>
      </x:c>
      <x:c r="B8" s="58" t="str">
        <x:v>Close actions</x:v>
      </x:c>
      <x:c r="C8" s="58" t="str">
        <x:v>Transfer defects/recommendations to the Action Tracker with owner, due date, status and verification evidence.</x:v>
      </x:c>
    </x:row>
    <x:row r="9">
      <x:c r="A9" s="58" t="str">
        <x:v>5</x:v>
      </x:c>
      <x:c r="B9" s="58" t="str">
        <x:v>Issue report</x:v>
      </x:c>
      <x:c r="C9" s="58" t="str">
        <x:v>Use the original form for site records and the added registers for meetings, audits and maintenance planning.</x:v>
      </x:c>
    </x:row>
    <x:row r="12">
      <x:c r="A12" s="62" t="str">
        <x:v>Upgrades Implemented</x:v>
      </x:c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</x:row>
    <x:row r="13">
      <x:c r="A13" s="66" t="str">
        <x:v>• Added PM master register for equipment, frequency, last done, next due and responsible person.</x:v>
      </x:c>
      <x:c r="B13" s="66" t="str"/>
      <x:c r="C13" s="66" t="str"/>
      <x:c r="D13" s="66" t="str"/>
      <x:c r="E13" s="66" t="str"/>
      <x:c r="F13" s="66" t="str"/>
      <x:c r="G13" s="66" t="str"/>
      <x:c r="H13" s="66" t="str"/>
      <x:c r="I13" s="66" t="str"/>
      <x:c r="J13" s="66" t="str"/>
      <x:c r="K13" s="66" t="str"/>
    </x:row>
    <x:row r="14">
      <x:c r="A14" s="66" t="str">
        <x:v>• Added compliance dashboard calculating completed, failed, overdue and open actions.</x:v>
      </x:c>
      <x:c r="B14" s="66" t="str"/>
      <x:c r="C14" s="66" t="str"/>
      <x:c r="D14" s="66" t="str"/>
      <x:c r="E14" s="66" t="str"/>
      <x:c r="F14" s="66" t="str"/>
      <x:c r="G14" s="66" t="str"/>
      <x:c r="H14" s="66" t="str"/>
      <x:c r="I14" s="66" t="str"/>
      <x:c r="J14" s="66" t="str"/>
      <x:c r="K14" s="66" t="str"/>
    </x:row>
    <x:row r="15">
      <x:c r="A15" s="66" t="str">
        <x:v>• Added action tracker for defects raised from daily, weekly, monthly and quarterly PM checks.</x:v>
      </x:c>
      <x:c r="B15" s="66" t="str"/>
      <x:c r="C15" s="66" t="str"/>
      <x:c r="D15" s="66" t="str"/>
      <x:c r="E15" s="66" t="str"/>
      <x:c r="F15" s="66" t="str"/>
      <x:c r="G15" s="66" t="str"/>
      <x:c r="H15" s="66" t="str"/>
      <x:c r="I15" s="66" t="str"/>
      <x:c r="J15" s="66" t="str"/>
      <x:c r="K15" s="66" t="str"/>
    </x:row>
    <x:row r="16">
      <x:c r="A16" s="66" t="str">
        <x:v>• Added equipment-type PM template guide for pumps, conveyors, gearboxes, motors and compressors.</x:v>
      </x:c>
      <x:c r="B16" s="66" t="str"/>
      <x:c r="C16" s="66" t="str"/>
      <x:c r="D16" s="66" t="str"/>
      <x:c r="E16" s="66" t="str"/>
      <x:c r="F16" s="66" t="str"/>
      <x:c r="G16" s="66" t="str"/>
      <x:c r="H16" s="66" t="str"/>
      <x:c r="I16" s="66" t="str"/>
      <x:c r="J16" s="66" t="str"/>
      <x:c r="K16" s="66" t="str"/>
    </x:row>
    <x:row r="17">
      <x:c r="A17" s="66" t="str">
        <x:v>• Added risk/priority columns to each PM checklist sheet.</x:v>
      </x:c>
      <x:c r="B17" s="66" t="str"/>
      <x:c r="C17" s="66" t="str"/>
      <x:c r="D17" s="66" t="str"/>
      <x:c r="E17" s="66" t="str"/>
      <x:c r="F17" s="66" t="str"/>
      <x:c r="G17" s="66" t="str"/>
      <x:c r="H17" s="66" t="str"/>
      <x:c r="I17" s="66" t="str"/>
      <x:c r="J17" s="66" t="str"/>
      <x:c r="K17" s="66" t="str"/>
    </x:row>
  </x:sheetData>
  <x:mergeCells>
    <x:mergeCell ref="A1:K1"/>
    <x:mergeCell ref="A2:K2"/>
    <x:mergeCell ref="A13:K13"/>
    <x:mergeCell ref="A14:K14"/>
    <x:mergeCell ref="A15:K15"/>
    <x:mergeCell ref="A16:K16"/>
    <x:mergeCell ref="A17:K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9.5" hidden="0" customWidth="1"/>
    <x:col min="2" max="2" width="6.880000114440918" hidden="0" customWidth="1"/>
    <x:col min="3" max="3" width="6.630000114440918" hidden="0" customWidth="1"/>
    <x:col min="4" max="4" width="6.75" hidden="0" customWidth="1"/>
    <x:col min="5" max="5" width="12.630000114440918" hidden="0" customWidth="1"/>
    <x:col min="6" max="6" width="10.5" hidden="0" customWidth="1"/>
    <x:col min="7" max="7" width="4.630000114440918" hidden="0" customWidth="1"/>
    <x:col min="8" max="8" width="11" hidden="0" customWidth="1"/>
  </x:cols>
  <x:sheetData>
    <x:row r="1" ht="30" customHeight="1">
      <x:c r="A1" s="35" t="str">
        <x:v>CONTROL LISTS / DROPDOWNS</x:v>
      </x:c>
      <x:c r="B1" s="35"/>
      <x:c r="C1" s="35"/>
      <x:c r="D1" s="35"/>
      <x:c r="E1" s="35"/>
      <x:c r="F1" s="35"/>
      <x:c r="G1" s="35"/>
      <x:c r="H1" s="35"/>
    </x:row>
    <x:row r="2" ht="32" customHeight="1">
      <x:c r="A2" s="42" t="str">
        <x:v>Edit these lists if your site uses different status, priority, failure mode or criticality labels.</x:v>
      </x:c>
      <x:c r="B2" s="42"/>
      <x:c r="C2" s="42"/>
      <x:c r="D2" s="42"/>
      <x:c r="E2" s="42"/>
      <x:c r="F2" s="42"/>
      <x:c r="G2" s="42"/>
      <x:c r="H2" s="42"/>
    </x:row>
    <x:row r="4">
      <x:c r="A4" s="69" t="str">
        <x:v>Status</x:v>
      </x:c>
      <x:c r="B4" s="69" t="str">
        <x:v>Priority</x:v>
      </x:c>
      <x:c r="C4" s="69" t="str">
        <x:v>Result</x:v>
      </x:c>
      <x:c r="D4" s="69" t="str">
        <x:v>Severity</x:v>
      </x:c>
      <x:c r="E4" s="69" t="str">
        <x:v>Failure Mode</x:v>
      </x:c>
      <x:c r="F4" s="69" t="str">
        <x:v>Criticality</x:v>
      </x:c>
      <x:c r="G4" s="69" t="str">
        <x:v>Shift</x:v>
      </x:c>
      <x:c r="H4" s="69" t="str">
        <x:v>RCA Required</x:v>
      </x:c>
    </x:row>
    <x:row r="5">
      <x:c r="A5" t="str">
        <x:v>Open</x:v>
      </x:c>
      <x:c r="B5" t="str">
        <x:v>Critical</x:v>
      </x:c>
      <x:c r="C5" t="str">
        <x:v>✓</x:v>
      </x:c>
      <x:c r="D5" t="n">
        <x:v>1</x:v>
      </x:c>
      <x:c r="E5" t="str">
        <x:v>Mechanical</x:v>
      </x:c>
      <x:c r="F5" t="str">
        <x:v>A - Critical</x:v>
      </x:c>
      <x:c r="G5" t="str">
        <x:v>Day</x:v>
      </x:c>
      <x:c r="H5" t="str">
        <x:v>Yes</x:v>
      </x:c>
    </x:row>
    <x:row r="6">
      <x:c r="A6" t="str">
        <x:v>In Progress</x:v>
      </x:c>
      <x:c r="B6" t="str">
        <x:v>High</x:v>
      </x:c>
      <x:c r="C6" t="str">
        <x:v>✗</x:v>
      </x:c>
      <x:c r="D6" t="n">
        <x:v>2</x:v>
      </x:c>
      <x:c r="E6" t="str">
        <x:v>Electrical</x:v>
      </x:c>
      <x:c r="F6" t="str">
        <x:v>B - Important</x:v>
      </x:c>
      <x:c r="G6" t="str">
        <x:v>Night</x:v>
      </x:c>
      <x:c r="H6" t="str">
        <x:v>No</x:v>
      </x:c>
    </x:row>
    <x:row r="7">
      <x:c r="A7" t="str">
        <x:v>Complete</x:v>
      </x:c>
      <x:c r="B7" t="str">
        <x:v>Medium</x:v>
      </x:c>
      <x:c r="C7" t="str">
        <x:v>N/A</x:v>
      </x:c>
      <x:c r="D7" t="n">
        <x:v>3</x:v>
      </x:c>
      <x:c r="E7" t="str">
        <x:v>Lubrication</x:v>
      </x:c>
      <x:c r="F7" t="str">
        <x:v>C - General</x:v>
      </x:c>
      <x:c r="G7" t="str">
        <x:v>A</x:v>
      </x:c>
      <x:c r="H7" t="str">
        <x:v>TBC</x:v>
      </x:c>
    </x:row>
    <x:row r="8">
      <x:c r="A8" t="str">
        <x:v>Overdue</x:v>
      </x:c>
      <x:c r="B8" t="str">
        <x:v>Low</x:v>
      </x:c>
      <x:c r="C8" t="str">
        <x:v>Monitor</x:v>
      </x:c>
      <x:c r="D8" t="n">
        <x:v>4</x:v>
      </x:c>
      <x:c r="E8" t="str">
        <x:v>Hydraulic</x:v>
      </x:c>
      <x:c r="G8" t="str">
        <x:v>B</x:v>
      </x:c>
    </x:row>
    <x:row r="9">
      <x:c r="A9" t="str">
        <x:v>Deferred</x:v>
      </x:c>
      <x:c r="B9" t="str">
        <x:v>Monitor</x:v>
      </x:c>
      <x:c r="D9" t="n">
        <x:v>5</x:v>
      </x:c>
      <x:c r="E9" t="str">
        <x:v>Pneumatic</x:v>
      </x:c>
      <x:c r="G9" t="str">
        <x:v>C</x:v>
      </x:c>
    </x:row>
    <x:row r="10">
      <x:c r="A10" t="str">
        <x:v>Cancelled</x:v>
      </x:c>
      <x:c r="E10" t="str">
        <x:v>Instrumentation</x:v>
      </x:c>
      <x:c r="G10" t="str">
        <x:v>D</x:v>
      </x:c>
    </x:row>
    <x:row r="11">
      <x:c r="A11" t="str">
        <x:v>Verified</x:v>
      </x:c>
      <x:c r="E11" t="str">
        <x:v>Process</x:v>
      </x:c>
    </x:row>
    <x:row r="12">
      <x:c r="E12" t="str">
        <x:v>Operator</x:v>
      </x:c>
    </x:row>
    <x:row r="13">
      <x:c r="E13" t="str">
        <x:v>Design</x:v>
      </x:c>
    </x:row>
    <x:row r="14">
      <x:c r="E14" t="str">
        <x:v>Unknown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6" hidden="0" customWidth="1"/>
    <x:col min="5" max="5" width="13" hidden="0" customWidth="1"/>
    <x:col min="6" max="6" width="18" hidden="0" customWidth="1"/>
    <x:col min="7" max="7" width="13" hidden="0" customWidth="1"/>
    <x:col min="8" max="8" width="14" hidden="0" customWidth="1"/>
    <x:col min="9" max="9" width="13" hidden="0" customWidth="1"/>
    <x:col min="10" max="10" width="32" hidden="0" customWidth="1"/>
    <x:col min="11" max="11" width="12" hidden="0" customWidth="1"/>
  </x:cols>
  <x:sheetData>
    <x:row r="1" ht="30" customHeight="1">
      <x:c r="A1" s="35" t="str">
        <x:v>ACTION TRACKER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42" t="str">
        <x:v>Central register for defects, recommendations, close-out dates, and verification.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50" t="str">
        <x:v>Source/Sheet</x:v>
      </x:c>
      <x:c r="B4" s="50" t="str">
        <x:v>Asset / Equipment</x:v>
      </x:c>
      <x:c r="C4" s="50" t="str">
        <x:v>Finding / Defect</x:v>
      </x:c>
      <x:c r="D4" s="50" t="str">
        <x:v>Risk / Impact</x:v>
      </x:c>
      <x:c r="E4" s="50" t="str">
        <x:v>Priority</x:v>
      </x:c>
      <x:c r="F4" s="50" t="str">
        <x:v>Responsible Person</x:v>
      </x:c>
      <x:c r="G4" s="50" t="str">
        <x:v>Due Date</x:v>
      </x:c>
      <x:c r="H4" s="50" t="str">
        <x:v>Status</x:v>
      </x:c>
      <x:c r="I4" s="50" t="str">
        <x:v>Close-out Date</x:v>
      </x:c>
      <x:c r="J4" s="50" t="str">
        <x:v>Verification / Evidence</x:v>
      </x:c>
      <x:c r="K4" s="50" t="str">
        <x:v>Days Overdue</x:v>
      </x:c>
    </x:row>
    <x:row r="5">
      <x:c r="A5" s="58" t="str"/>
      <x:c r="B5" s="58" t="str"/>
      <x:c r="C5" s="58" t="str"/>
      <x:c r="D5" s="58" t="str"/>
      <x:c r="E5" s="58" t="str"/>
      <x:c r="F5" s="58" t="str"/>
      <x:c r="G5" s="71" t="str"/>
      <x:c r="H5" s="58" t="str">
        <x:v>Open</x:v>
      </x:c>
      <x:c r="I5" s="71" t="str"/>
      <x:c r="J5" s="58" t="str"/>
      <x:c r="K5" s="58" t="n">
        <x:f>IF(AND(G5&lt;&gt;"",H5&lt;&gt;"Complete",H5&lt;&gt;"Verified"),MAX(0,TODAY()-G5),0)</x:f>
        <x:v>0</x:v>
      </x:c>
    </x:row>
    <x:row r="6">
      <x:c r="A6" s="58" t="str"/>
      <x:c r="B6" s="58" t="str"/>
      <x:c r="C6" s="58" t="str"/>
      <x:c r="D6" s="58" t="str"/>
      <x:c r="E6" s="58" t="str"/>
      <x:c r="F6" s="58" t="str"/>
      <x:c r="G6" s="71" t="str"/>
      <x:c r="H6" s="58" t="str">
        <x:v>Open</x:v>
      </x:c>
      <x:c r="I6" s="71" t="str"/>
      <x:c r="J6" s="58" t="str"/>
      <x:c r="K6" s="58" t="n">
        <x:f>IF(AND(G6&lt;&gt;"",H6&lt;&gt;"Complete",H6&lt;&gt;"Verified"),MAX(0,TODAY()-G6),0)</x:f>
        <x:v>0</x:v>
      </x:c>
    </x:row>
    <x:row r="7">
      <x:c r="A7" s="58" t="str"/>
      <x:c r="B7" s="58" t="str"/>
      <x:c r="C7" s="58" t="str"/>
      <x:c r="D7" s="58" t="str"/>
      <x:c r="E7" s="58" t="str"/>
      <x:c r="F7" s="58" t="str"/>
      <x:c r="G7" s="71" t="str"/>
      <x:c r="H7" s="58" t="str">
        <x:v>Open</x:v>
      </x:c>
      <x:c r="I7" s="71" t="str"/>
      <x:c r="J7" s="58" t="str"/>
      <x:c r="K7" s="58" t="n">
        <x:f>IF(AND(G7&lt;&gt;"",H7&lt;&gt;"Complete",H7&lt;&gt;"Verified"),MAX(0,TODAY()-G7),0)</x:f>
        <x:v>0</x:v>
      </x:c>
    </x:row>
    <x:row r="8">
      <x:c r="A8" s="58" t="str"/>
      <x:c r="B8" s="58" t="str"/>
      <x:c r="C8" s="58" t="str"/>
      <x:c r="D8" s="58" t="str"/>
      <x:c r="E8" s="58" t="str"/>
      <x:c r="F8" s="58" t="str"/>
      <x:c r="G8" s="71" t="str"/>
      <x:c r="H8" s="58" t="str">
        <x:v>Open</x:v>
      </x:c>
      <x:c r="I8" s="71" t="str"/>
      <x:c r="J8" s="58" t="str"/>
      <x:c r="K8" s="58" t="n">
        <x:f>IF(AND(G8&lt;&gt;"",H8&lt;&gt;"Complete",H8&lt;&gt;"Verified"),MAX(0,TODAY()-G8),0)</x:f>
        <x:v>0</x:v>
      </x:c>
    </x:row>
    <x:row r="9">
      <x:c r="A9" s="58" t="str"/>
      <x:c r="B9" s="58" t="str"/>
      <x:c r="C9" s="58" t="str"/>
      <x:c r="D9" s="58" t="str"/>
      <x:c r="E9" s="58" t="str"/>
      <x:c r="F9" s="58" t="str"/>
      <x:c r="G9" s="71" t="str"/>
      <x:c r="H9" s="58" t="str">
        <x:v>Open</x:v>
      </x:c>
      <x:c r="I9" s="71" t="str"/>
      <x:c r="J9" s="58" t="str"/>
      <x:c r="K9" s="58" t="n">
        <x:f>IF(AND(G9&lt;&gt;"",H9&lt;&gt;"Complete",H9&lt;&gt;"Verified"),MAX(0,TODAY()-G9),0)</x:f>
        <x:v>0</x:v>
      </x:c>
    </x:row>
    <x:row r="10">
      <x:c r="A10" s="58" t="str"/>
      <x:c r="B10" s="58" t="str"/>
      <x:c r="C10" s="58" t="str"/>
      <x:c r="D10" s="58" t="str"/>
      <x:c r="E10" s="58" t="str"/>
      <x:c r="F10" s="58" t="str"/>
      <x:c r="G10" s="71" t="str"/>
      <x:c r="H10" s="58" t="str">
        <x:v>Open</x:v>
      </x:c>
      <x:c r="I10" s="71" t="str"/>
      <x:c r="J10" s="58" t="str"/>
      <x:c r="K10" s="58" t="n">
        <x:f>IF(AND(G10&lt;&gt;"",H10&lt;&gt;"Complete",H10&lt;&gt;"Verified"),MAX(0,TODAY()-G10),0)</x:f>
        <x:v>0</x:v>
      </x:c>
    </x:row>
    <x:row r="11">
      <x:c r="A11" s="58" t="str"/>
      <x:c r="B11" s="58" t="str"/>
      <x:c r="C11" s="58" t="str"/>
      <x:c r="D11" s="58" t="str"/>
      <x:c r="E11" s="58" t="str"/>
      <x:c r="F11" s="58" t="str"/>
      <x:c r="G11" s="71" t="str"/>
      <x:c r="H11" s="58" t="str">
        <x:v>Open</x:v>
      </x:c>
      <x:c r="I11" s="71" t="str"/>
      <x:c r="J11" s="58" t="str"/>
      <x:c r="K11" s="58" t="n">
        <x:f>IF(AND(G11&lt;&gt;"",H11&lt;&gt;"Complete",H11&lt;&gt;"Verified"),MAX(0,TODAY()-G11),0)</x:f>
        <x:v>0</x:v>
      </x:c>
    </x:row>
    <x:row r="12">
      <x:c r="A12" s="58" t="str"/>
      <x:c r="B12" s="58" t="str"/>
      <x:c r="C12" s="58" t="str"/>
      <x:c r="D12" s="58" t="str"/>
      <x:c r="E12" s="58" t="str"/>
      <x:c r="F12" s="58" t="str"/>
      <x:c r="G12" s="71" t="str"/>
      <x:c r="H12" s="58" t="str">
        <x:v>Open</x:v>
      </x:c>
      <x:c r="I12" s="71" t="str"/>
      <x:c r="J12" s="58" t="str"/>
      <x:c r="K12" s="58" t="n">
        <x:f>IF(AND(G12&lt;&gt;"",H12&lt;&gt;"Complete",H12&lt;&gt;"Verified"),MAX(0,TODAY()-G12),0)</x:f>
        <x:v>0</x:v>
      </x:c>
    </x:row>
    <x:row r="13">
      <x:c r="A13" s="58" t="str"/>
      <x:c r="B13" s="58" t="str"/>
      <x:c r="C13" s="58" t="str"/>
      <x:c r="D13" s="58" t="str"/>
      <x:c r="E13" s="58" t="str"/>
      <x:c r="F13" s="58" t="str"/>
      <x:c r="G13" s="71" t="str"/>
      <x:c r="H13" s="58" t="str">
        <x:v>Open</x:v>
      </x:c>
      <x:c r="I13" s="71" t="str"/>
      <x:c r="J13" s="58" t="str"/>
      <x:c r="K13" s="58" t="n">
        <x:f>IF(AND(G13&lt;&gt;"",H13&lt;&gt;"Complete",H13&lt;&gt;"Verified"),MAX(0,TODAY()-G13),0)</x:f>
        <x:v>0</x:v>
      </x:c>
    </x:row>
    <x:row r="14">
      <x:c r="A14" s="58" t="str"/>
      <x:c r="B14" s="58" t="str"/>
      <x:c r="C14" s="58" t="str"/>
      <x:c r="D14" s="58" t="str"/>
      <x:c r="E14" s="58" t="str"/>
      <x:c r="F14" s="58" t="str"/>
      <x:c r="G14" s="71" t="str"/>
      <x:c r="H14" s="58" t="str">
        <x:v>Open</x:v>
      </x:c>
      <x:c r="I14" s="71" t="str"/>
      <x:c r="J14" s="58" t="str"/>
      <x:c r="K14" s="58" t="n">
        <x:f>IF(AND(G14&lt;&gt;"",H14&lt;&gt;"Complete",H14&lt;&gt;"Verified"),MAX(0,TODAY()-G14),0)</x:f>
        <x:v>0</x:v>
      </x:c>
    </x:row>
    <x:row r="15">
      <x:c r="A15" s="58" t="str"/>
      <x:c r="B15" s="58" t="str"/>
      <x:c r="C15" s="58" t="str"/>
      <x:c r="D15" s="58" t="str"/>
      <x:c r="E15" s="58" t="str"/>
      <x:c r="F15" s="58" t="str"/>
      <x:c r="G15" s="71" t="str"/>
      <x:c r="H15" s="58" t="str">
        <x:v>Open</x:v>
      </x:c>
      <x:c r="I15" s="71" t="str"/>
      <x:c r="J15" s="58" t="str"/>
      <x:c r="K15" s="58" t="n">
        <x:f>IF(AND(G15&lt;&gt;"",H15&lt;&gt;"Complete",H15&lt;&gt;"Verified"),MAX(0,TODAY()-G15),0)</x:f>
        <x:v>0</x:v>
      </x:c>
    </x:row>
    <x:row r="16">
      <x:c r="A16" s="58" t="str"/>
      <x:c r="B16" s="58" t="str"/>
      <x:c r="C16" s="58" t="str"/>
      <x:c r="D16" s="58" t="str"/>
      <x:c r="E16" s="58" t="str"/>
      <x:c r="F16" s="58" t="str"/>
      <x:c r="G16" s="71" t="str"/>
      <x:c r="H16" s="58" t="str">
        <x:v>Open</x:v>
      </x:c>
      <x:c r="I16" s="71" t="str"/>
      <x:c r="J16" s="58" t="str"/>
      <x:c r="K16" s="58" t="n">
        <x:f>IF(AND(G16&lt;&gt;"",H16&lt;&gt;"Complete",H16&lt;&gt;"Verified"),MAX(0,TODAY()-G16),0)</x:f>
        <x:v>0</x:v>
      </x:c>
    </x:row>
    <x:row r="17">
      <x:c r="A17" s="58" t="str"/>
      <x:c r="B17" s="58" t="str"/>
      <x:c r="C17" s="58" t="str"/>
      <x:c r="D17" s="58" t="str"/>
      <x:c r="E17" s="58" t="str"/>
      <x:c r="F17" s="58" t="str"/>
      <x:c r="G17" s="71" t="str"/>
      <x:c r="H17" s="58" t="str">
        <x:v>Open</x:v>
      </x:c>
      <x:c r="I17" s="71" t="str"/>
      <x:c r="J17" s="58" t="str"/>
      <x:c r="K17" s="58" t="n">
        <x:f>IF(AND(G17&lt;&gt;"",H17&lt;&gt;"Complete",H17&lt;&gt;"Verified"),MAX(0,TODAY()-G17),0)</x:f>
        <x:v>0</x:v>
      </x:c>
    </x:row>
    <x:row r="18">
      <x:c r="A18" s="58" t="str"/>
      <x:c r="B18" s="58" t="str"/>
      <x:c r="C18" s="58" t="str"/>
      <x:c r="D18" s="58" t="str"/>
      <x:c r="E18" s="58" t="str"/>
      <x:c r="F18" s="58" t="str"/>
      <x:c r="G18" s="71" t="str"/>
      <x:c r="H18" s="58" t="str">
        <x:v>Open</x:v>
      </x:c>
      <x:c r="I18" s="71" t="str"/>
      <x:c r="J18" s="58" t="str"/>
      <x:c r="K18" s="58" t="n">
        <x:f>IF(AND(G18&lt;&gt;"",H18&lt;&gt;"Complete",H18&lt;&gt;"Verified"),MAX(0,TODAY()-G18),0)</x:f>
        <x:v>0</x:v>
      </x:c>
    </x:row>
    <x:row r="19">
      <x:c r="A19" s="58" t="str"/>
      <x:c r="B19" s="58" t="str"/>
      <x:c r="C19" s="58" t="str"/>
      <x:c r="D19" s="58" t="str"/>
      <x:c r="E19" s="58" t="str"/>
      <x:c r="F19" s="58" t="str"/>
      <x:c r="G19" s="71" t="str"/>
      <x:c r="H19" s="58" t="str">
        <x:v>Open</x:v>
      </x:c>
      <x:c r="I19" s="71" t="str"/>
      <x:c r="J19" s="58" t="str"/>
      <x:c r="K19" s="58" t="n">
        <x:f>IF(AND(G19&lt;&gt;"",H19&lt;&gt;"Complete",H19&lt;&gt;"Verified"),MAX(0,TODAY()-G19),0)</x:f>
        <x:v>0</x:v>
      </x:c>
    </x:row>
    <x:row r="20">
      <x:c r="A20" s="58" t="str"/>
      <x:c r="B20" s="58" t="str"/>
      <x:c r="C20" s="58" t="str"/>
      <x:c r="D20" s="58" t="str"/>
      <x:c r="E20" s="58" t="str"/>
      <x:c r="F20" s="58" t="str"/>
      <x:c r="G20" s="71" t="str"/>
      <x:c r="H20" s="58" t="str">
        <x:v>Open</x:v>
      </x:c>
      <x:c r="I20" s="71" t="str"/>
      <x:c r="J20" s="58" t="str"/>
      <x:c r="K20" s="58" t="n">
        <x:f>IF(AND(G20&lt;&gt;"",H20&lt;&gt;"Complete",H20&lt;&gt;"Verified"),MAX(0,TODAY()-G20),0)</x:f>
        <x:v>0</x:v>
      </x:c>
    </x:row>
    <x:row r="21">
      <x:c r="A21" s="58" t="str"/>
      <x:c r="B21" s="58" t="str"/>
      <x:c r="C21" s="58" t="str"/>
      <x:c r="D21" s="58" t="str"/>
      <x:c r="E21" s="58" t="str"/>
      <x:c r="F21" s="58" t="str"/>
      <x:c r="G21" s="71" t="str"/>
      <x:c r="H21" s="58" t="str">
        <x:v>Open</x:v>
      </x:c>
      <x:c r="I21" s="71" t="str"/>
      <x:c r="J21" s="58" t="str"/>
      <x:c r="K21" s="58" t="n">
        <x:f>IF(AND(G21&lt;&gt;"",H21&lt;&gt;"Complete",H21&lt;&gt;"Verified"),MAX(0,TODAY()-G21),0)</x:f>
        <x:v>0</x:v>
      </x:c>
    </x:row>
    <x:row r="22">
      <x:c r="A22" s="58" t="str"/>
      <x:c r="B22" s="58" t="str"/>
      <x:c r="C22" s="58" t="str"/>
      <x:c r="D22" s="58" t="str"/>
      <x:c r="E22" s="58" t="str"/>
      <x:c r="F22" s="58" t="str"/>
      <x:c r="G22" s="71" t="str"/>
      <x:c r="H22" s="58" t="str">
        <x:v>Open</x:v>
      </x:c>
      <x:c r="I22" s="71" t="str"/>
      <x:c r="J22" s="58" t="str"/>
      <x:c r="K22" s="58" t="n">
        <x:f>IF(AND(G22&lt;&gt;"",H22&lt;&gt;"Complete",H22&lt;&gt;"Verified"),MAX(0,TODAY()-G22),0)</x:f>
        <x:v>0</x:v>
      </x:c>
    </x:row>
    <x:row r="23">
      <x:c r="A23" s="58" t="str"/>
      <x:c r="B23" s="58" t="str"/>
      <x:c r="C23" s="58" t="str"/>
      <x:c r="D23" s="58" t="str"/>
      <x:c r="E23" s="58" t="str"/>
      <x:c r="F23" s="58" t="str"/>
      <x:c r="G23" s="71" t="str"/>
      <x:c r="H23" s="58" t="str">
        <x:v>Open</x:v>
      </x:c>
      <x:c r="I23" s="71" t="str"/>
      <x:c r="J23" s="58" t="str"/>
      <x:c r="K23" s="58" t="n">
        <x:f>IF(AND(G23&lt;&gt;"",H23&lt;&gt;"Complete",H23&lt;&gt;"Verified"),MAX(0,TODAY()-G23),0)</x:f>
        <x:v>0</x:v>
      </x:c>
    </x:row>
    <x:row r="24">
      <x:c r="A24" s="58" t="str"/>
      <x:c r="B24" s="58" t="str"/>
      <x:c r="C24" s="58" t="str"/>
      <x:c r="D24" s="58" t="str"/>
      <x:c r="E24" s="58" t="str"/>
      <x:c r="F24" s="58" t="str"/>
      <x:c r="G24" s="71" t="str"/>
      <x:c r="H24" s="58" t="str">
        <x:v>Open</x:v>
      </x:c>
      <x:c r="I24" s="71" t="str"/>
      <x:c r="J24" s="58" t="str"/>
      <x:c r="K24" s="58" t="n">
        <x:f>IF(AND(G24&lt;&gt;"",H24&lt;&gt;"Complete",H24&lt;&gt;"Verified"),MAX(0,TODAY()-G24),0)</x:f>
        <x:v>0</x:v>
      </x:c>
    </x:row>
    <x:row r="25">
      <x:c r="A25" s="58" t="str"/>
      <x:c r="B25" s="58" t="str"/>
      <x:c r="C25" s="58" t="str"/>
      <x:c r="D25" s="58" t="str"/>
      <x:c r="E25" s="58" t="str"/>
      <x:c r="F25" s="58" t="str"/>
      <x:c r="G25" s="71" t="str"/>
      <x:c r="H25" s="58" t="str">
        <x:v>Open</x:v>
      </x:c>
      <x:c r="I25" s="71" t="str"/>
      <x:c r="J25" s="58" t="str"/>
      <x:c r="K25" s="58" t="n">
        <x:f>IF(AND(G25&lt;&gt;"",H25&lt;&gt;"Complete",H25&lt;&gt;"Verified"),MAX(0,TODAY()-G25),0)</x:f>
        <x:v>0</x:v>
      </x:c>
    </x:row>
    <x:row r="26">
      <x:c r="A26" s="58" t="str"/>
      <x:c r="B26" s="58" t="str"/>
      <x:c r="C26" s="58" t="str"/>
      <x:c r="D26" s="58" t="str"/>
      <x:c r="E26" s="58" t="str"/>
      <x:c r="F26" s="58" t="str"/>
      <x:c r="G26" s="71" t="str"/>
      <x:c r="H26" s="58" t="str">
        <x:v>Open</x:v>
      </x:c>
      <x:c r="I26" s="71" t="str"/>
      <x:c r="J26" s="58" t="str"/>
      <x:c r="K26" s="58" t="n">
        <x:f>IF(AND(G26&lt;&gt;"",H26&lt;&gt;"Complete",H26&lt;&gt;"Verified"),MAX(0,TODAY()-G26),0)</x:f>
        <x:v>0</x:v>
      </x:c>
    </x:row>
    <x:row r="27">
      <x:c r="A27" s="58" t="str"/>
      <x:c r="B27" s="58" t="str"/>
      <x:c r="C27" s="58" t="str"/>
      <x:c r="D27" s="58" t="str"/>
      <x:c r="E27" s="58" t="str"/>
      <x:c r="F27" s="58" t="str"/>
      <x:c r="G27" s="71" t="str"/>
      <x:c r="H27" s="58" t="str">
        <x:v>Open</x:v>
      </x:c>
      <x:c r="I27" s="71" t="str"/>
      <x:c r="J27" s="58" t="str"/>
      <x:c r="K27" s="58" t="n">
        <x:f>IF(AND(G27&lt;&gt;"",H27&lt;&gt;"Complete",H27&lt;&gt;"Verified"),MAX(0,TODAY()-G27),0)</x:f>
        <x:v>0</x:v>
      </x:c>
    </x:row>
    <x:row r="28">
      <x:c r="A28" s="58" t="str"/>
      <x:c r="B28" s="58" t="str"/>
      <x:c r="C28" s="58" t="str"/>
      <x:c r="D28" s="58" t="str"/>
      <x:c r="E28" s="58" t="str"/>
      <x:c r="F28" s="58" t="str"/>
      <x:c r="G28" s="71" t="str"/>
      <x:c r="H28" s="58" t="str">
        <x:v>Open</x:v>
      </x:c>
      <x:c r="I28" s="71" t="str"/>
      <x:c r="J28" s="58" t="str"/>
      <x:c r="K28" s="58" t="n">
        <x:f>IF(AND(G28&lt;&gt;"",H28&lt;&gt;"Complete",H28&lt;&gt;"Verified"),MAX(0,TODAY()-G28),0)</x:f>
        <x:v>0</x:v>
      </x:c>
    </x:row>
    <x:row r="29">
      <x:c r="A29" s="58" t="str"/>
      <x:c r="B29" s="58" t="str"/>
      <x:c r="C29" s="58" t="str"/>
      <x:c r="D29" s="58" t="str"/>
      <x:c r="E29" s="58" t="str"/>
      <x:c r="F29" s="58" t="str"/>
      <x:c r="G29" s="71" t="str"/>
      <x:c r="H29" s="58" t="str">
        <x:v>Open</x:v>
      </x:c>
      <x:c r="I29" s="71" t="str"/>
      <x:c r="J29" s="58" t="str"/>
      <x:c r="K29" s="58" t="n">
        <x:f>IF(AND(G29&lt;&gt;"",H29&lt;&gt;"Complete",H29&lt;&gt;"Verified"),MAX(0,TODAY()-G29),0)</x:f>
        <x:v>0</x:v>
      </x:c>
    </x:row>
    <x:row r="30">
      <x:c r="A30" s="58" t="str"/>
      <x:c r="B30" s="58" t="str"/>
      <x:c r="C30" s="58" t="str"/>
      <x:c r="D30" s="58" t="str"/>
      <x:c r="E30" s="58" t="str"/>
      <x:c r="F30" s="58" t="str"/>
      <x:c r="G30" s="71" t="str"/>
      <x:c r="H30" s="58" t="str">
        <x:v>Open</x:v>
      </x:c>
      <x:c r="I30" s="71" t="str"/>
      <x:c r="J30" s="58" t="str"/>
      <x:c r="K30" s="58" t="n">
        <x:f>IF(AND(G30&lt;&gt;"",H30&lt;&gt;"Complete",H30&lt;&gt;"Verified"),MAX(0,TODAY()-G30),0)</x:f>
        <x:v>0</x:v>
      </x:c>
    </x:row>
    <x:row r="31">
      <x:c r="A31" s="58" t="str"/>
      <x:c r="B31" s="58" t="str"/>
      <x:c r="C31" s="58" t="str"/>
      <x:c r="D31" s="58" t="str"/>
      <x:c r="E31" s="58" t="str"/>
      <x:c r="F31" s="58" t="str"/>
      <x:c r="G31" s="71" t="str"/>
      <x:c r="H31" s="58" t="str">
        <x:v>Open</x:v>
      </x:c>
      <x:c r="I31" s="71" t="str"/>
      <x:c r="J31" s="58" t="str"/>
      <x:c r="K31" s="58" t="n">
        <x:f>IF(AND(G31&lt;&gt;"",H31&lt;&gt;"Complete",H31&lt;&gt;"Verified"),MAX(0,TODAY()-G31),0)</x:f>
        <x:v>0</x:v>
      </x:c>
    </x:row>
    <x:row r="32">
      <x:c r="A32" s="58" t="str"/>
      <x:c r="B32" s="58" t="str"/>
      <x:c r="C32" s="58" t="str"/>
      <x:c r="D32" s="58" t="str"/>
      <x:c r="E32" s="58" t="str"/>
      <x:c r="F32" s="58" t="str"/>
      <x:c r="G32" s="71" t="str"/>
      <x:c r="H32" s="58" t="str">
        <x:v>Open</x:v>
      </x:c>
      <x:c r="I32" s="71" t="str"/>
      <x:c r="J32" s="58" t="str"/>
      <x:c r="K32" s="58" t="n">
        <x:f>IF(AND(G32&lt;&gt;"",H32&lt;&gt;"Complete",H32&lt;&gt;"Verified"),MAX(0,TODAY()-G32),0)</x:f>
        <x:v>0</x:v>
      </x:c>
    </x:row>
    <x:row r="33">
      <x:c r="A33" s="58" t="str"/>
      <x:c r="B33" s="58" t="str"/>
      <x:c r="C33" s="58" t="str"/>
      <x:c r="D33" s="58" t="str"/>
      <x:c r="E33" s="58" t="str"/>
      <x:c r="F33" s="58" t="str"/>
      <x:c r="G33" s="71" t="str"/>
      <x:c r="H33" s="58" t="str">
        <x:v>Open</x:v>
      </x:c>
      <x:c r="I33" s="71" t="str"/>
      <x:c r="J33" s="58" t="str"/>
      <x:c r="K33" s="58" t="n">
        <x:f>IF(AND(G33&lt;&gt;"",H33&lt;&gt;"Complete",H33&lt;&gt;"Verified"),MAX(0,TODAY()-G33),0)</x:f>
        <x:v>0</x:v>
      </x:c>
    </x:row>
    <x:row r="34">
      <x:c r="A34" s="58" t="str"/>
      <x:c r="B34" s="58" t="str"/>
      <x:c r="C34" s="58" t="str"/>
      <x:c r="D34" s="58" t="str"/>
      <x:c r="E34" s="58" t="str"/>
      <x:c r="F34" s="58" t="str"/>
      <x:c r="G34" s="71" t="str"/>
      <x:c r="H34" s="58" t="str">
        <x:v>Open</x:v>
      </x:c>
      <x:c r="I34" s="71" t="str"/>
      <x:c r="J34" s="58" t="str"/>
      <x:c r="K34" s="58" t="n">
        <x:f>IF(AND(G34&lt;&gt;"",H34&lt;&gt;"Complete",H34&lt;&gt;"Verified"),MAX(0,TODAY()-G34),0)</x:f>
        <x:v>0</x:v>
      </x:c>
    </x:row>
  </x:sheetData>
  <x:mergeCells>
    <x:mergeCell ref="A1:K1"/>
    <x:mergeCell ref="A2:K2"/>
  </x:mergeCells>
  <x:conditionalFormatting sqref="H5:H34">
    <x:cfRule type="cellIs" dxfId="0" priority="1">
      <x:formula>"Complete"</x:formula>
    </x:cfRule>
    <x:cfRule type="cellIs" dxfId="1" priority="2">
      <x:formula>"Verified"</x:formula>
    </x:cfRule>
    <x:cfRule type="cellIs" dxfId="2" priority="3">
      <x:formula>"Overdue"</x:formula>
    </x:cfRule>
    <x:cfRule type="cellIs" dxfId="3" priority="4">
      <x:formula>"Open"</x:formula>
    </x:cfRule>
  </x:conditionalFormatting>
  <x:conditionalFormatting sqref="K5:K34">
    <x:cfRule type="cellIs" dxfId="4" priority="5" operator="greaterThan">
      <x:formula>0</x:formula>
    </x:cfRule>
  </x:conditionalFormatting>
  <x:dataValidations count="2">
    <x:dataValidation type="list" sqref="E5:E34">
      <x:formula1>"Critical,High,Medium,Low,Monitor"</x:formula1>
    </x:dataValidation>
    <x:dataValidation type="list" sqref="H5:H34">
      <x:formula1>"Open,In Progress,Complete,Overdue,Deferred,Cancelled,Verified"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fc5d9c55334f5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14.25" hidden="0" customWidth="1"/>
    <x:col min="3" max="3" width="13.25" hidden="0" customWidth="1"/>
    <x:col min="4" max="4" width="11.130000114440918" hidden="0" customWidth="1"/>
    <x:col min="5" max="5" width="10.25" hidden="0" customWidth="1"/>
    <x:col min="6" max="6" width="9.880000114440918" hidden="0" customWidth="1"/>
    <x:col min="7" max="7" width="9.5" hidden="0" customWidth="1"/>
    <x:col min="8" max="8" width="11.380000114440918" hidden="0" customWidth="1"/>
    <x:col min="9" max="9" width="9.630000114440918" hidden="0" customWidth="1"/>
    <x:col min="10" max="10" width="7.380000114440918" hidden="0" customWidth="1"/>
    <x:col min="11" max="11" width="13.130000114440918" hidden="0" customWidth="1"/>
    <x:col min="12" max="12" width="17.3799991607666" hidden="0" customWidth="1"/>
    <x:col min="13" max="13" width="7.130000114440918" hidden="0" customWidth="1"/>
  </x:cols>
  <x:sheetData>
    <x:row r="1" ht="30" customHeight="1">
      <x:c r="A1" s="35" t="str">
        <x:v>MASTER PM REGISTER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</x:row>
    <x:row r="2" ht="32" customHeight="1">
      <x:c r="A2" s="42" t="str">
        <x:v>Control PM task ownership, frequency, next due date and escalation.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4" ht="26" customHeight="1">
      <x:c r="A4" s="50" t="str">
        <x:v>PM ID</x:v>
      </x:c>
      <x:c r="B4" s="50" t="str">
        <x:v>Equipment Type</x:v>
      </x:c>
      <x:c r="C4" s="50" t="str">
        <x:v>Equipment Tag</x:v>
      </x:c>
      <x:c r="D4" s="50" t="str">
        <x:v>PM Task</x:v>
      </x:c>
      <x:c r="E4" s="50" t="str">
        <x:v>Frequency</x:v>
      </x:c>
      <x:c r="F4" s="50" t="str">
        <x:v>Last Done</x:v>
      </x:c>
      <x:c r="G4" s="50" t="str">
        <x:v>Next Due</x:v>
      </x:c>
      <x:c r="H4" s="50" t="str">
        <x:v>Responsible</x:v>
      </x:c>
      <x:c r="I4" s="50" t="str">
        <x:v>Criticality</x:v>
      </x:c>
      <x:c r="J4" s="50" t="str">
        <x:v>Status</x:v>
      </x:c>
      <x:c r="K4" s="50" t="str">
        <x:v>Failed Repeats</x:v>
      </x:c>
      <x:c r="L4" s="50" t="str">
        <x:v>Escalation Required?</x:v>
      </x:c>
      <x:c r="M4" s="50" t="str">
        <x:v>Notes</x:v>
      </x:c>
    </x:row>
    <x:row r="5">
      <x:c r="A5" s="58" t="str">
        <x:v>PM-001</x:v>
      </x:c>
      <x:c r="B5" s="58" t="str">
        <x:v>Pump</x:v>
      </x:c>
      <x:c r="C5" s="58" t="str"/>
      <x:c r="D5" s="58" t="str">
        <x:v>Check oil level</x:v>
      </x:c>
      <x:c r="E5" s="58" t="str">
        <x:v>D</x:v>
      </x:c>
      <x:c r="F5" s="71" t="str"/>
      <x:c r="G5" s="71" t="str">
        <x:f>IF(F5="","",F5+IF(E5="D",1,IF(E5="W",7,IF(E5="M",30,IF(E5="Q",91,365)))))</x:f>
      </x:c>
      <x:c r="H5" s="58" t="str"/>
      <x:c r="I5" s="58" t="str">
        <x:v>A - Critical</x:v>
      </x:c>
      <x:c r="J5" s="58" t="str">
        <x:v>Open</x:v>
      </x:c>
      <x:c r="K5" s="58" t="str"/>
      <x:c r="L5" s="58" t="str">
        <x:f>IF(K5&gt;=2,"Yes","No")</x:f>
        <x:v>No</x:v>
      </x:c>
      <x:c r="M5" s="58" t="str"/>
    </x:row>
    <x:row r="6">
      <x:c r="A6" s="58" t="str">
        <x:v>PM-002</x:v>
      </x:c>
      <x:c r="B6" s="58" t="str"/>
      <x:c r="C6" s="58" t="str"/>
      <x:c r="D6" s="58" t="str"/>
      <x:c r="E6" s="58" t="str"/>
      <x:c r="F6" s="71" t="str"/>
      <x:c r="G6" s="71" t="str">
        <x:f>IF(F6="","",F6+IF(E6="D",1,IF(E6="W",7,IF(E6="M",30,IF(E6="Q",91,365)))))</x:f>
      </x:c>
      <x:c r="H6" s="58" t="str"/>
      <x:c r="I6" s="58" t="str"/>
      <x:c r="J6" s="58" t="str">
        <x:v>Open</x:v>
      </x:c>
      <x:c r="K6" s="58" t="str"/>
      <x:c r="L6" s="58" t="str">
        <x:f>IF(K6&gt;=2,"Yes","No")</x:f>
        <x:v>No</x:v>
      </x:c>
      <x:c r="M6" s="58" t="str"/>
    </x:row>
    <x:row r="7">
      <x:c r="A7" s="58" t="str">
        <x:v>PM-003</x:v>
      </x:c>
      <x:c r="B7" s="58" t="str"/>
      <x:c r="C7" s="58" t="str"/>
      <x:c r="D7" s="58" t="str"/>
      <x:c r="E7" s="58" t="str"/>
      <x:c r="F7" s="71" t="str"/>
      <x:c r="G7" s="71" t="str">
        <x:f>IF(F7="","",F7+IF(E7="D",1,IF(E7="W",7,IF(E7="M",30,IF(E7="Q",91,365)))))</x:f>
      </x:c>
      <x:c r="H7" s="58" t="str"/>
      <x:c r="I7" s="58" t="str"/>
      <x:c r="J7" s="58" t="str">
        <x:v>Open</x:v>
      </x:c>
      <x:c r="K7" s="58" t="str"/>
      <x:c r="L7" s="58" t="str">
        <x:f>IF(K7&gt;=2,"Yes","No")</x:f>
        <x:v>No</x:v>
      </x:c>
      <x:c r="M7" s="58" t="str"/>
    </x:row>
    <x:row r="8">
      <x:c r="A8" s="58" t="str">
        <x:v>PM-004</x:v>
      </x:c>
      <x:c r="B8" s="58" t="str"/>
      <x:c r="C8" s="58" t="str"/>
      <x:c r="D8" s="58" t="str"/>
      <x:c r="E8" s="58" t="str"/>
      <x:c r="F8" s="71" t="str"/>
      <x:c r="G8" s="71" t="str">
        <x:f>IF(F8="","",F8+IF(E8="D",1,IF(E8="W",7,IF(E8="M",30,IF(E8="Q",91,365)))))</x:f>
      </x:c>
      <x:c r="H8" s="58" t="str"/>
      <x:c r="I8" s="58" t="str"/>
      <x:c r="J8" s="58" t="str">
        <x:v>Open</x:v>
      </x:c>
      <x:c r="K8" s="58" t="str"/>
      <x:c r="L8" s="58" t="str">
        <x:f>IF(K8&gt;=2,"Yes","No")</x:f>
        <x:v>No</x:v>
      </x:c>
      <x:c r="M8" s="58" t="str"/>
    </x:row>
    <x:row r="9">
      <x:c r="A9" s="58" t="str">
        <x:v>PM-005</x:v>
      </x:c>
      <x:c r="B9" s="58" t="str"/>
      <x:c r="C9" s="58" t="str"/>
      <x:c r="D9" s="58" t="str"/>
      <x:c r="E9" s="58" t="str"/>
      <x:c r="F9" s="71" t="str"/>
      <x:c r="G9" s="71" t="str">
        <x:f>IF(F9="","",F9+IF(E9="D",1,IF(E9="W",7,IF(E9="M",30,IF(E9="Q",91,365)))))</x:f>
      </x:c>
      <x:c r="H9" s="58" t="str"/>
      <x:c r="I9" s="58" t="str"/>
      <x:c r="J9" s="58" t="str">
        <x:v>Open</x:v>
      </x:c>
      <x:c r="K9" s="58" t="str"/>
      <x:c r="L9" s="58" t="str">
        <x:f>IF(K9&gt;=2,"Yes","No")</x:f>
        <x:v>No</x:v>
      </x:c>
      <x:c r="M9" s="58" t="str"/>
    </x:row>
    <x:row r="10">
      <x:c r="A10" s="58" t="str">
        <x:v>PM-006</x:v>
      </x:c>
      <x:c r="B10" s="58" t="str"/>
      <x:c r="C10" s="58" t="str"/>
      <x:c r="D10" s="58" t="str"/>
      <x:c r="E10" s="58" t="str"/>
      <x:c r="F10" s="71" t="str"/>
      <x:c r="G10" s="71" t="str">
        <x:f>IF(F10="","",F10+IF(E10="D",1,IF(E10="W",7,IF(E10="M",30,IF(E10="Q",91,365)))))</x:f>
      </x:c>
      <x:c r="H10" s="58" t="str"/>
      <x:c r="I10" s="58" t="str"/>
      <x:c r="J10" s="58" t="str">
        <x:v>Open</x:v>
      </x:c>
      <x:c r="K10" s="58" t="str"/>
      <x:c r="L10" s="58" t="str">
        <x:f>IF(K10&gt;=2,"Yes","No")</x:f>
        <x:v>No</x:v>
      </x:c>
      <x:c r="M10" s="58" t="str"/>
    </x:row>
    <x:row r="11">
      <x:c r="A11" s="58" t="str">
        <x:v>PM-007</x:v>
      </x:c>
      <x:c r="B11" s="58" t="str"/>
      <x:c r="C11" s="58" t="str"/>
      <x:c r="D11" s="58" t="str"/>
      <x:c r="E11" s="58" t="str"/>
      <x:c r="F11" s="71" t="str"/>
      <x:c r="G11" s="71" t="str">
        <x:f>IF(F11="","",F11+IF(E11="D",1,IF(E11="W",7,IF(E11="M",30,IF(E11="Q",91,365)))))</x:f>
      </x:c>
      <x:c r="H11" s="58" t="str"/>
      <x:c r="I11" s="58" t="str"/>
      <x:c r="J11" s="58" t="str">
        <x:v>Open</x:v>
      </x:c>
      <x:c r="K11" s="58" t="str"/>
      <x:c r="L11" s="58" t="str">
        <x:f>IF(K11&gt;=2,"Yes","No")</x:f>
        <x:v>No</x:v>
      </x:c>
      <x:c r="M11" s="58" t="str"/>
    </x:row>
    <x:row r="12">
      <x:c r="A12" s="58" t="str">
        <x:v>PM-008</x:v>
      </x:c>
      <x:c r="B12" s="58" t="str"/>
      <x:c r="C12" s="58" t="str"/>
      <x:c r="D12" s="58" t="str"/>
      <x:c r="E12" s="58" t="str"/>
      <x:c r="F12" s="71" t="str"/>
      <x:c r="G12" s="71" t="str">
        <x:f>IF(F12="","",F12+IF(E12="D",1,IF(E12="W",7,IF(E12="M",30,IF(E12="Q",91,365)))))</x:f>
      </x:c>
      <x:c r="H12" s="58" t="str"/>
      <x:c r="I12" s="58" t="str"/>
      <x:c r="J12" s="58" t="str">
        <x:v>Open</x:v>
      </x:c>
      <x:c r="K12" s="58" t="str"/>
      <x:c r="L12" s="58" t="str">
        <x:f>IF(K12&gt;=2,"Yes","No")</x:f>
        <x:v>No</x:v>
      </x:c>
      <x:c r="M12" s="58" t="str"/>
    </x:row>
    <x:row r="13">
      <x:c r="A13" s="58" t="str">
        <x:v>PM-009</x:v>
      </x:c>
      <x:c r="B13" s="58" t="str"/>
      <x:c r="C13" s="58" t="str"/>
      <x:c r="D13" s="58" t="str"/>
      <x:c r="E13" s="58" t="str"/>
      <x:c r="F13" s="71" t="str"/>
      <x:c r="G13" s="71" t="str">
        <x:f>IF(F13="","",F13+IF(E13="D",1,IF(E13="W",7,IF(E13="M",30,IF(E13="Q",91,365)))))</x:f>
      </x:c>
      <x:c r="H13" s="58" t="str"/>
      <x:c r="I13" s="58" t="str"/>
      <x:c r="J13" s="58" t="str">
        <x:v>Open</x:v>
      </x:c>
      <x:c r="K13" s="58" t="str"/>
      <x:c r="L13" s="58" t="str">
        <x:f>IF(K13&gt;=2,"Yes","No")</x:f>
        <x:v>No</x:v>
      </x:c>
      <x:c r="M13" s="58" t="str"/>
    </x:row>
    <x:row r="14">
      <x:c r="A14" s="58" t="str">
        <x:v>PM-010</x:v>
      </x:c>
      <x:c r="B14" s="58" t="str"/>
      <x:c r="C14" s="58" t="str"/>
      <x:c r="D14" s="58" t="str"/>
      <x:c r="E14" s="58" t="str"/>
      <x:c r="F14" s="71" t="str"/>
      <x:c r="G14" s="71" t="str">
        <x:f>IF(F14="","",F14+IF(E14="D",1,IF(E14="W",7,IF(E14="M",30,IF(E14="Q",91,365)))))</x:f>
      </x:c>
      <x:c r="H14" s="58" t="str"/>
      <x:c r="I14" s="58" t="str"/>
      <x:c r="J14" s="58" t="str">
        <x:v>Open</x:v>
      </x:c>
      <x:c r="K14" s="58" t="str"/>
      <x:c r="L14" s="58" t="str">
        <x:f>IF(K14&gt;=2,"Yes","No")</x:f>
        <x:v>No</x:v>
      </x:c>
      <x:c r="M14" s="58" t="str"/>
    </x:row>
    <x:row r="15">
      <x:c r="A15" s="58" t="str">
        <x:v>PM-011</x:v>
      </x:c>
      <x:c r="B15" s="58" t="str"/>
      <x:c r="C15" s="58" t="str"/>
      <x:c r="D15" s="58" t="str"/>
      <x:c r="E15" s="58" t="str"/>
      <x:c r="F15" s="71" t="str"/>
      <x:c r="G15" s="71" t="str">
        <x:f>IF(F15="","",F15+IF(E15="D",1,IF(E15="W",7,IF(E15="M",30,IF(E15="Q",91,365)))))</x:f>
      </x:c>
      <x:c r="H15" s="58" t="str"/>
      <x:c r="I15" s="58" t="str"/>
      <x:c r="J15" s="58" t="str">
        <x:v>Open</x:v>
      </x:c>
      <x:c r="K15" s="58" t="str"/>
      <x:c r="L15" s="58" t="str">
        <x:f>IF(K15&gt;=2,"Yes","No")</x:f>
        <x:v>No</x:v>
      </x:c>
      <x:c r="M15" s="58" t="str"/>
    </x:row>
    <x:row r="16">
      <x:c r="A16" s="58" t="str">
        <x:v>PM-012</x:v>
      </x:c>
      <x:c r="B16" s="58" t="str"/>
      <x:c r="C16" s="58" t="str"/>
      <x:c r="D16" s="58" t="str"/>
      <x:c r="E16" s="58" t="str"/>
      <x:c r="F16" s="71" t="str"/>
      <x:c r="G16" s="71" t="str">
        <x:f>IF(F16="","",F16+IF(E16="D",1,IF(E16="W",7,IF(E16="M",30,IF(E16="Q",91,365)))))</x:f>
      </x:c>
      <x:c r="H16" s="58" t="str"/>
      <x:c r="I16" s="58" t="str"/>
      <x:c r="J16" s="58" t="str">
        <x:v>Open</x:v>
      </x:c>
      <x:c r="K16" s="58" t="str"/>
      <x:c r="L16" s="58" t="str">
        <x:f>IF(K16&gt;=2,"Yes","No")</x:f>
        <x:v>No</x:v>
      </x:c>
      <x:c r="M16" s="58" t="str"/>
    </x:row>
    <x:row r="17">
      <x:c r="A17" s="58" t="str">
        <x:v>PM-013</x:v>
      </x:c>
      <x:c r="B17" s="58" t="str"/>
      <x:c r="C17" s="58" t="str"/>
      <x:c r="D17" s="58" t="str"/>
      <x:c r="E17" s="58" t="str"/>
      <x:c r="F17" s="71" t="str"/>
      <x:c r="G17" s="71" t="str">
        <x:f>IF(F17="","",F17+IF(E17="D",1,IF(E17="W",7,IF(E17="M",30,IF(E17="Q",91,365)))))</x:f>
      </x:c>
      <x:c r="H17" s="58" t="str"/>
      <x:c r="I17" s="58" t="str"/>
      <x:c r="J17" s="58" t="str">
        <x:v>Open</x:v>
      </x:c>
      <x:c r="K17" s="58" t="str"/>
      <x:c r="L17" s="58" t="str">
        <x:f>IF(K17&gt;=2,"Yes","No")</x:f>
        <x:v>No</x:v>
      </x:c>
      <x:c r="M17" s="58" t="str"/>
    </x:row>
    <x:row r="18">
      <x:c r="A18" s="58" t="str">
        <x:v>PM-014</x:v>
      </x:c>
      <x:c r="B18" s="58" t="str"/>
      <x:c r="C18" s="58" t="str"/>
      <x:c r="D18" s="58" t="str"/>
      <x:c r="E18" s="58" t="str"/>
      <x:c r="F18" s="71" t="str"/>
      <x:c r="G18" s="71" t="str">
        <x:f>IF(F18="","",F18+IF(E18="D",1,IF(E18="W",7,IF(E18="M",30,IF(E18="Q",91,365)))))</x:f>
      </x:c>
      <x:c r="H18" s="58" t="str"/>
      <x:c r="I18" s="58" t="str"/>
      <x:c r="J18" s="58" t="str">
        <x:v>Open</x:v>
      </x:c>
      <x:c r="K18" s="58" t="str"/>
      <x:c r="L18" s="58" t="str">
        <x:f>IF(K18&gt;=2,"Yes","No")</x:f>
        <x:v>No</x:v>
      </x:c>
      <x:c r="M18" s="58" t="str"/>
    </x:row>
    <x:row r="19">
      <x:c r="A19" s="58" t="str">
        <x:v>PM-015</x:v>
      </x:c>
      <x:c r="B19" s="58" t="str"/>
      <x:c r="C19" s="58" t="str"/>
      <x:c r="D19" s="58" t="str"/>
      <x:c r="E19" s="58" t="str"/>
      <x:c r="F19" s="71" t="str"/>
      <x:c r="G19" s="71" t="str">
        <x:f>IF(F19="","",F19+IF(E19="D",1,IF(E19="W",7,IF(E19="M",30,IF(E19="Q",91,365)))))</x:f>
      </x:c>
      <x:c r="H19" s="58" t="str"/>
      <x:c r="I19" s="58" t="str"/>
      <x:c r="J19" s="58" t="str">
        <x:v>Open</x:v>
      </x:c>
      <x:c r="K19" s="58" t="str"/>
      <x:c r="L19" s="58" t="str">
        <x:f>IF(K19&gt;=2,"Yes","No")</x:f>
        <x:v>No</x:v>
      </x:c>
      <x:c r="M19" s="58" t="str"/>
    </x:row>
    <x:row r="20">
      <x:c r="A20" s="58" t="str">
        <x:v>PM-016</x:v>
      </x:c>
      <x:c r="B20" s="58" t="str"/>
      <x:c r="C20" s="58" t="str"/>
      <x:c r="D20" s="58" t="str"/>
      <x:c r="E20" s="58" t="str"/>
      <x:c r="F20" s="71" t="str"/>
      <x:c r="G20" s="71" t="str">
        <x:f>IF(F20="","",F20+IF(E20="D",1,IF(E20="W",7,IF(E20="M",30,IF(E20="Q",91,365)))))</x:f>
      </x:c>
      <x:c r="H20" s="58" t="str"/>
      <x:c r="I20" s="58" t="str"/>
      <x:c r="J20" s="58" t="str">
        <x:v>Open</x:v>
      </x:c>
      <x:c r="K20" s="58" t="str"/>
      <x:c r="L20" s="58" t="str">
        <x:f>IF(K20&gt;=2,"Yes","No")</x:f>
        <x:v>No</x:v>
      </x:c>
      <x:c r="M20" s="58" t="str"/>
    </x:row>
    <x:row r="21">
      <x:c r="A21" s="58" t="str">
        <x:v>PM-017</x:v>
      </x:c>
      <x:c r="B21" s="58" t="str"/>
      <x:c r="C21" s="58" t="str"/>
      <x:c r="D21" s="58" t="str"/>
      <x:c r="E21" s="58" t="str"/>
      <x:c r="F21" s="71" t="str"/>
      <x:c r="G21" s="71" t="str">
        <x:f>IF(F21="","",F21+IF(E21="D",1,IF(E21="W",7,IF(E21="M",30,IF(E21="Q",91,365)))))</x:f>
      </x:c>
      <x:c r="H21" s="58" t="str"/>
      <x:c r="I21" s="58" t="str"/>
      <x:c r="J21" s="58" t="str">
        <x:v>Open</x:v>
      </x:c>
      <x:c r="K21" s="58" t="str"/>
      <x:c r="L21" s="58" t="str">
        <x:f>IF(K21&gt;=2,"Yes","No")</x:f>
        <x:v>No</x:v>
      </x:c>
      <x:c r="M21" s="58" t="str"/>
    </x:row>
    <x:row r="22">
      <x:c r="A22" s="58" t="str">
        <x:v>PM-018</x:v>
      </x:c>
      <x:c r="B22" s="58" t="str"/>
      <x:c r="C22" s="58" t="str"/>
      <x:c r="D22" s="58" t="str"/>
      <x:c r="E22" s="58" t="str"/>
      <x:c r="F22" s="71" t="str"/>
      <x:c r="G22" s="71" t="str">
        <x:f>IF(F22="","",F22+IF(E22="D",1,IF(E22="W",7,IF(E22="M",30,IF(E22="Q",91,365)))))</x:f>
      </x:c>
      <x:c r="H22" s="58" t="str"/>
      <x:c r="I22" s="58" t="str"/>
      <x:c r="J22" s="58" t="str">
        <x:v>Open</x:v>
      </x:c>
      <x:c r="K22" s="58" t="str"/>
      <x:c r="L22" s="58" t="str">
        <x:f>IF(K22&gt;=2,"Yes","No")</x:f>
        <x:v>No</x:v>
      </x:c>
      <x:c r="M22" s="58" t="str"/>
    </x:row>
    <x:row r="23">
      <x:c r="A23" s="58" t="str">
        <x:v>PM-019</x:v>
      </x:c>
      <x:c r="B23" s="58" t="str"/>
      <x:c r="C23" s="58" t="str"/>
      <x:c r="D23" s="58" t="str"/>
      <x:c r="E23" s="58" t="str"/>
      <x:c r="F23" s="71" t="str"/>
      <x:c r="G23" s="71" t="str">
        <x:f>IF(F23="","",F23+IF(E23="D",1,IF(E23="W",7,IF(E23="M",30,IF(E23="Q",91,365)))))</x:f>
      </x:c>
      <x:c r="H23" s="58" t="str"/>
      <x:c r="I23" s="58" t="str"/>
      <x:c r="J23" s="58" t="str">
        <x:v>Open</x:v>
      </x:c>
      <x:c r="K23" s="58" t="str"/>
      <x:c r="L23" s="58" t="str">
        <x:f>IF(K23&gt;=2,"Yes","No")</x:f>
        <x:v>No</x:v>
      </x:c>
      <x:c r="M23" s="58" t="str"/>
    </x:row>
    <x:row r="24">
      <x:c r="A24" s="58" t="str">
        <x:v>PM-020</x:v>
      </x:c>
      <x:c r="B24" s="58" t="str"/>
      <x:c r="C24" s="58" t="str"/>
      <x:c r="D24" s="58" t="str"/>
      <x:c r="E24" s="58" t="str"/>
      <x:c r="F24" s="71" t="str"/>
      <x:c r="G24" s="71" t="str">
        <x:f>IF(F24="","",F24+IF(E24="D",1,IF(E24="W",7,IF(E24="M",30,IF(E24="Q",91,365)))))</x:f>
      </x:c>
      <x:c r="H24" s="58" t="str"/>
      <x:c r="I24" s="58" t="str"/>
      <x:c r="J24" s="58" t="str">
        <x:v>Open</x:v>
      </x:c>
      <x:c r="K24" s="58" t="str"/>
      <x:c r="L24" s="58" t="str">
        <x:f>IF(K24&gt;=2,"Yes","No")</x:f>
        <x:v>No</x:v>
      </x:c>
      <x:c r="M24" s="58" t="str"/>
    </x:row>
    <x:row r="25">
      <x:c r="A25" s="58" t="str">
        <x:v>PM-021</x:v>
      </x:c>
      <x:c r="B25" s="58" t="str"/>
      <x:c r="C25" s="58" t="str"/>
      <x:c r="D25" s="58" t="str"/>
      <x:c r="E25" s="58" t="str"/>
      <x:c r="F25" s="71" t="str"/>
      <x:c r="G25" s="71" t="str">
        <x:f>IF(F25="","",F25+IF(E25="D",1,IF(E25="W",7,IF(E25="M",30,IF(E25="Q",91,365)))))</x:f>
      </x:c>
      <x:c r="H25" s="58" t="str"/>
      <x:c r="I25" s="58" t="str"/>
      <x:c r="J25" s="58" t="str">
        <x:v>Open</x:v>
      </x:c>
      <x:c r="K25" s="58" t="str"/>
      <x:c r="L25" s="58" t="str">
        <x:f>IF(K25&gt;=2,"Yes","No")</x:f>
        <x:v>No</x:v>
      </x:c>
      <x:c r="M25" s="58" t="str"/>
    </x:row>
    <x:row r="26">
      <x:c r="A26" s="58" t="str">
        <x:v>PM-022</x:v>
      </x:c>
      <x:c r="B26" s="58" t="str"/>
      <x:c r="C26" s="58" t="str"/>
      <x:c r="D26" s="58" t="str"/>
      <x:c r="E26" s="58" t="str"/>
      <x:c r="F26" s="71" t="str"/>
      <x:c r="G26" s="71" t="str">
        <x:f>IF(F26="","",F26+IF(E26="D",1,IF(E26="W",7,IF(E26="M",30,IF(E26="Q",91,365)))))</x:f>
      </x:c>
      <x:c r="H26" s="58" t="str"/>
      <x:c r="I26" s="58" t="str"/>
      <x:c r="J26" s="58" t="str">
        <x:v>Open</x:v>
      </x:c>
      <x:c r="K26" s="58" t="str"/>
      <x:c r="L26" s="58" t="str">
        <x:f>IF(K26&gt;=2,"Yes","No")</x:f>
        <x:v>No</x:v>
      </x:c>
      <x:c r="M26" s="58" t="str"/>
    </x:row>
    <x:row r="27">
      <x:c r="A27" s="58" t="str">
        <x:v>PM-023</x:v>
      </x:c>
      <x:c r="B27" s="58" t="str"/>
      <x:c r="C27" s="58" t="str"/>
      <x:c r="D27" s="58" t="str"/>
      <x:c r="E27" s="58" t="str"/>
      <x:c r="F27" s="71" t="str"/>
      <x:c r="G27" s="71" t="str">
        <x:f>IF(F27="","",F27+IF(E27="D",1,IF(E27="W",7,IF(E27="M",30,IF(E27="Q",91,365)))))</x:f>
      </x:c>
      <x:c r="H27" s="58" t="str"/>
      <x:c r="I27" s="58" t="str"/>
      <x:c r="J27" s="58" t="str">
        <x:v>Open</x:v>
      </x:c>
      <x:c r="K27" s="58" t="str"/>
      <x:c r="L27" s="58" t="str">
        <x:f>IF(K27&gt;=2,"Yes","No")</x:f>
        <x:v>No</x:v>
      </x:c>
      <x:c r="M27" s="58" t="str"/>
    </x:row>
    <x:row r="28">
      <x:c r="A28" s="58" t="str">
        <x:v>PM-024</x:v>
      </x:c>
      <x:c r="B28" s="58" t="str"/>
      <x:c r="C28" s="58" t="str"/>
      <x:c r="D28" s="58" t="str"/>
      <x:c r="E28" s="58" t="str"/>
      <x:c r="F28" s="71" t="str"/>
      <x:c r="G28" s="71" t="str">
        <x:f>IF(F28="","",F28+IF(E28="D",1,IF(E28="W",7,IF(E28="M",30,IF(E28="Q",91,365)))))</x:f>
      </x:c>
      <x:c r="H28" s="58" t="str"/>
      <x:c r="I28" s="58" t="str"/>
      <x:c r="J28" s="58" t="str">
        <x:v>Open</x:v>
      </x:c>
      <x:c r="K28" s="58" t="str"/>
      <x:c r="L28" s="58" t="str">
        <x:f>IF(K28&gt;=2,"Yes","No")</x:f>
        <x:v>No</x:v>
      </x:c>
      <x:c r="M28" s="58" t="str"/>
    </x:row>
    <x:row r="29">
      <x:c r="A29" s="58" t="str">
        <x:v>PM-025</x:v>
      </x:c>
      <x:c r="B29" s="58" t="str"/>
      <x:c r="C29" s="58" t="str"/>
      <x:c r="D29" s="58" t="str"/>
      <x:c r="E29" s="58" t="str"/>
      <x:c r="F29" s="71" t="str"/>
      <x:c r="G29" s="71" t="str">
        <x:f>IF(F29="","",F29+IF(E29="D",1,IF(E29="W",7,IF(E29="M",30,IF(E29="Q",91,365)))))</x:f>
      </x:c>
      <x:c r="H29" s="58" t="str"/>
      <x:c r="I29" s="58" t="str"/>
      <x:c r="J29" s="58" t="str">
        <x:v>Open</x:v>
      </x:c>
      <x:c r="K29" s="58" t="str"/>
      <x:c r="L29" s="58" t="str">
        <x:f>IF(K29&gt;=2,"Yes","No")</x:f>
        <x:v>No</x:v>
      </x:c>
      <x:c r="M29" s="58" t="str"/>
    </x:row>
    <x:row r="30">
      <x:c r="A30" s="58" t="str">
        <x:v>PM-026</x:v>
      </x:c>
      <x:c r="B30" s="58" t="str"/>
      <x:c r="C30" s="58" t="str"/>
      <x:c r="D30" s="58" t="str"/>
      <x:c r="E30" s="58" t="str"/>
      <x:c r="F30" s="71" t="str"/>
      <x:c r="G30" s="71" t="str">
        <x:f>IF(F30="","",F30+IF(E30="D",1,IF(E30="W",7,IF(E30="M",30,IF(E30="Q",91,365)))))</x:f>
      </x:c>
      <x:c r="H30" s="58" t="str"/>
      <x:c r="I30" s="58" t="str"/>
      <x:c r="J30" s="58" t="str">
        <x:v>Open</x:v>
      </x:c>
      <x:c r="K30" s="58" t="str"/>
      <x:c r="L30" s="58" t="str">
        <x:f>IF(K30&gt;=2,"Yes","No")</x:f>
        <x:v>No</x:v>
      </x:c>
      <x:c r="M30" s="58" t="str"/>
    </x:row>
    <x:row r="31">
      <x:c r="A31" s="58" t="str">
        <x:v>PM-027</x:v>
      </x:c>
      <x:c r="B31" s="58" t="str"/>
      <x:c r="C31" s="58" t="str"/>
      <x:c r="D31" s="58" t="str"/>
      <x:c r="E31" s="58" t="str"/>
      <x:c r="F31" s="71" t="str"/>
      <x:c r="G31" s="71" t="str">
        <x:f>IF(F31="","",F31+IF(E31="D",1,IF(E31="W",7,IF(E31="M",30,IF(E31="Q",91,365)))))</x:f>
      </x:c>
      <x:c r="H31" s="58" t="str"/>
      <x:c r="I31" s="58" t="str"/>
      <x:c r="J31" s="58" t="str">
        <x:v>Open</x:v>
      </x:c>
      <x:c r="K31" s="58" t="str"/>
      <x:c r="L31" s="58" t="str">
        <x:f>IF(K31&gt;=2,"Yes","No")</x:f>
        <x:v>No</x:v>
      </x:c>
      <x:c r="M31" s="58" t="str"/>
    </x:row>
    <x:row r="32">
      <x:c r="A32" s="58" t="str">
        <x:v>PM-028</x:v>
      </x:c>
      <x:c r="B32" s="58" t="str"/>
      <x:c r="C32" s="58" t="str"/>
      <x:c r="D32" s="58" t="str"/>
      <x:c r="E32" s="58" t="str"/>
      <x:c r="F32" s="71" t="str"/>
      <x:c r="G32" s="71" t="str">
        <x:f>IF(F32="","",F32+IF(E32="D",1,IF(E32="W",7,IF(E32="M",30,IF(E32="Q",91,365)))))</x:f>
      </x:c>
      <x:c r="H32" s="58" t="str"/>
      <x:c r="I32" s="58" t="str"/>
      <x:c r="J32" s="58" t="str">
        <x:v>Open</x:v>
      </x:c>
      <x:c r="K32" s="58" t="str"/>
      <x:c r="L32" s="58" t="str">
        <x:f>IF(K32&gt;=2,"Yes","No")</x:f>
        <x:v>No</x:v>
      </x:c>
      <x:c r="M32" s="58" t="str"/>
    </x:row>
    <x:row r="33">
      <x:c r="A33" s="58" t="str">
        <x:v>PM-029</x:v>
      </x:c>
      <x:c r="B33" s="58" t="str"/>
      <x:c r="C33" s="58" t="str"/>
      <x:c r="D33" s="58" t="str"/>
      <x:c r="E33" s="58" t="str"/>
      <x:c r="F33" s="71" t="str"/>
      <x:c r="G33" s="71" t="str">
        <x:f>IF(F33="","",F33+IF(E33="D",1,IF(E33="W",7,IF(E33="M",30,IF(E33="Q",91,365)))))</x:f>
      </x:c>
      <x:c r="H33" s="58" t="str"/>
      <x:c r="I33" s="58" t="str"/>
      <x:c r="J33" s="58" t="str">
        <x:v>Open</x:v>
      </x:c>
      <x:c r="K33" s="58" t="str"/>
      <x:c r="L33" s="58" t="str">
        <x:f>IF(K33&gt;=2,"Yes","No")</x:f>
        <x:v>No</x:v>
      </x:c>
      <x:c r="M33" s="58" t="str"/>
    </x:row>
    <x:row r="34">
      <x:c r="A34" s="58" t="str">
        <x:v>PM-030</x:v>
      </x:c>
      <x:c r="B34" s="58" t="str"/>
      <x:c r="C34" s="58" t="str"/>
      <x:c r="D34" s="58" t="str"/>
      <x:c r="E34" s="58" t="str"/>
      <x:c r="F34" s="71" t="str"/>
      <x:c r="G34" s="71" t="str">
        <x:f>IF(F34="","",F34+IF(E34="D",1,IF(E34="W",7,IF(E34="M",30,IF(E34="Q",91,365)))))</x:f>
      </x:c>
      <x:c r="H34" s="58" t="str"/>
      <x:c r="I34" s="58" t="str"/>
      <x:c r="J34" s="58" t="str">
        <x:v>Open</x:v>
      </x:c>
      <x:c r="K34" s="58" t="str"/>
      <x:c r="L34" s="58" t="str">
        <x:f>IF(K34&gt;=2,"Yes","No")</x:f>
        <x:v>No</x:v>
      </x:c>
      <x:c r="M34" s="58" t="str"/>
    </x:row>
  </x:sheetData>
  <x:mergeCells>
    <x:mergeCell ref="A1:M1"/>
    <x:mergeCell ref="A2:M2"/>
  </x:mergeCells>
  <x:dataValidations count="5">
    <x:dataValidation type="list" sqref="B5:B34">
      <x:formula1>"Pump,Conveyor,Gearbox,Motor,Compressor,Fan,Crusher,Screen,Other"</x:formula1>
    </x:dataValidation>
    <x:dataValidation type="list" sqref="E5:E34">
      <x:formula1>"D,W,M,Q,6M,A"</x:formula1>
    </x:dataValidation>
    <x:dataValidation type="list" sqref="I5:I34">
      <x:formula1>"A - Critical,B - Important,C - General"</x:formula1>
    </x:dataValidation>
    <x:dataValidation type="list" sqref="J5:J34">
      <x:formula1>"Open,Planned,Complete,Overdue,Deferred"</x:formula1>
    </x:dataValidation>
    <x:dataValidation type="list" sqref="L5:L3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92076c92a8465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 ht="30" customHeight="1">
      <x:c r="A1" s="35" t="str">
        <x:v>EQUIPMENT-TYPE PM TEMPLATE LIBRARY</x:v>
      </x:c>
      <x:c r="B1" s="35"/>
      <x:c r="C1" s="35"/>
      <x:c r="D1" s="35"/>
      <x:c r="E1" s="35"/>
      <x:c r="F1" s="35"/>
    </x:row>
    <x:row r="2" ht="32" customHeight="1">
      <x:c r="A2" s="42" t="str">
        <x:v>Suggested PM focus areas by asset class.</x:v>
      </x:c>
      <x:c r="B2" s="42"/>
      <x:c r="C2" s="42"/>
      <x:c r="D2" s="42"/>
      <x:c r="E2" s="42"/>
      <x:c r="F2" s="42"/>
    </x:row>
    <x:row r="4" ht="26" customHeight="1">
      <x:c r="A4" s="50" t="str">
        <x:v>Equipment Type</x:v>
      </x:c>
      <x:c r="B4" s="50" t="str">
        <x:v>Recommended PM Focus Areas</x:v>
      </x:c>
    </x:row>
    <x:row r="5">
      <x:c r="A5" s="58" t="str">
        <x:v>Pump</x:v>
      </x:c>
      <x:c r="B5" s="58" t="str">
        <x:v>Oil level, seal leakage, suction/discharge pressure, vibration, bearing temperature, coupling/alignment</x:v>
      </x:c>
    </x:row>
    <x:row r="6">
      <x:c r="A6" s="58" t="str">
        <x:v>Conveyor</x:v>
      </x:c>
      <x:c r="B6" s="58" t="str">
        <x:v>Belt tracking, belt condition, idlers, pull wires, guards, scrapers, spillage, take-up</x:v>
      </x:c>
    </x:row>
    <x:row r="7">
      <x:c r="A7" s="58" t="str">
        <x:v>Gearbox</x:v>
      </x:c>
      <x:c r="B7" s="58" t="str">
        <x:v>Oil level/condition, leaks, breather, temperature, vibration, noise, coupling, base bolts</x:v>
      </x:c>
    </x:row>
    <x:row r="8">
      <x:c r="A8" s="58" t="str">
        <x:v>Motor</x:v>
      </x:c>
      <x:c r="B8" s="58" t="str">
        <x:v>Temperature, vibration, current, terminal box, cooling fan, insulation condition, cable glands</x:v>
      </x:c>
    </x:row>
    <x:row r="9">
      <x:c r="A9" s="58" t="str">
        <x:v>Compressor</x:v>
      </x:c>
      <x:c r="B9" s="58" t="str">
        <x:v>Oil level, filters, pressure, temperature, belts/coupling, leaks, drains, safety devices</x:v>
      </x:c>
    </x:row>
    <x:row r="10">
      <x:c r="A10" s="58" t="str">
        <x:v>Crusher</x:v>
      </x:c>
      <x:c r="B10" s="58" t="str">
        <x:v>Lubrication, wear liners, hydraulic system, drive belts, guards, vibration, abnormal noise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bd4ea811d7d4d9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8" hidden="0" customWidth="1"/>
  </x:cols>
  <x:sheetData>
    <x:row r="1" ht="30" customHeight="1">
      <x:c r="A1" s="35" t="str">
        <x:v>PREVENTIVE MAINTENANCE COMPLIANCE DASHBOARD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32" customHeight="1">
      <x:c r="A2" s="42" t="str">
        <x:v>Compliance, failed items, overdue PMs and open actions.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4">
      <x:c r="A4" s="69" t="str">
        <x:v>Metric</x:v>
      </x:c>
      <x:c r="B4" s="69" t="str">
        <x:v>Value</x:v>
      </x:c>
      <x:c r="C4" s="69" t="str">
        <x:v>Interpretation</x:v>
      </x:c>
    </x:row>
    <x:row r="5">
      <x:c r="A5" s="77" t="str">
        <x:v>PM tasks registered</x:v>
      </x:c>
      <x:c r="B5" t="n">
        <x:f>COUNTA('Master PM Register'!A5:A34)</x:f>
        <x:v>30</x:v>
      </x:c>
      <x:c r="C5" t="str">
        <x:v>Rows in PM register</x:v>
      </x:c>
    </x:row>
    <x:row r="6">
      <x:c r="A6" s="77" t="str">
        <x:v>Overdue PMs</x:v>
      </x:c>
      <x:c r="B6" t="n">
        <x:f>COUNTIF('Master PM Register'!G5:G34,"&lt;"&amp;TODAY())</x:f>
        <x:v>30</x:v>
      </x:c>
      <x:c r="C6" t="str">
        <x:v>Next due date before today</x:v>
      </x:c>
    </x:row>
    <x:row r="7">
      <x:c r="A7" s="77" t="str">
        <x:v>Daily defects</x:v>
      </x:c>
      <x:c r="B7" t="n">
        <x:f>COUNTIF('📋 Daily PM'!E:E,"✗")</x:f>
        <x:v>0</x:v>
      </x:c>
      <x:c r="C7" t="str">
        <x:v>Daily PM failed items</x:v>
      </x:c>
    </x:row>
    <x:row r="8">
      <x:c r="A8" s="77" t="str">
        <x:v>Weekly defects</x:v>
      </x:c>
      <x:c r="B8" t="n">
        <x:f>COUNTIF('📋 Weekly PM'!E:E,"✗")</x:f>
        <x:v>0</x:v>
      </x:c>
      <x:c r="C8" t="str">
        <x:v>Weekly PM failed items</x:v>
      </x:c>
    </x:row>
    <x:row r="9">
      <x:c r="A9" s="77" t="str">
        <x:v>Monthly defects</x:v>
      </x:c>
      <x:c r="B9" t="n">
        <x:f>COUNTIF('📋 Monthly PM'!E:E,"✗")</x:f>
        <x:v>0</x:v>
      </x:c>
      <x:c r="C9" t="str">
        <x:v>Monthly PM failed items</x:v>
      </x:c>
    </x:row>
    <x:row r="10">
      <x:c r="A10" s="77" t="str">
        <x:v>Quarterly defects</x:v>
      </x:c>
      <x:c r="B10" t="n">
        <x:f>COUNTIF('📋 Quarterly PM'!E:E,"✗")</x:f>
        <x:v>0</x:v>
      </x:c>
      <x:c r="C10" t="str">
        <x:v>Quarterly PM failed items</x:v>
      </x:c>
    </x:row>
    <x:row r="11">
      <x:c r="A11" s="77" t="str">
        <x:v>Open actions</x:v>
      </x:c>
      <x:c r="B11" t="n">
        <x:f>COUNTIFS('Action Tracker'!H:H,"&lt;&gt;Complete",'Action Tracker'!H:H,"&lt;&gt;Verified",'Action Tracker'!A:A,"&lt;&gt;")</x:f>
        <x:v>33</x:v>
      </x:c>
      <x:c r="C11" t="str">
        <x:v>Open PM action items</x:v>
      </x:c>
    </x:row>
    <x:row r="12">
      <x:c r="A12" s="77" t="str">
        <x:v>Overall PM status</x:v>
      </x:c>
      <x:c r="B12" t="str">
        <x:f>IF(B5&gt;0,"OVERDUE PM",IF(SUM(B6:B9)&gt;0,"PM DEFECTS","CONTROLLED"))</x:f>
        <x:v>OVERDUE PM</x:v>
      </x:c>
      <x:c r="C12" t="str">
        <x:v>Management interpretation</x:v>
      </x:c>
    </x:row>
  </x:sheetData>
  <x:mergeCells>
    <x:mergeCell ref="A1:J1"/>
    <x:mergeCell ref="A2:J2"/>
  </x:mergeCells>
  <x:pageMargins left="0.7" right="0.7" top="0.75" bottom="0.75" header="0.3" footer="0.3"/>
</x:worksheet>
</file>