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1554a7bced45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🛢 Lubrication Schedule" sheetId="1" r:id="R6167495ce68146dd"/>
    <x:sheet xmlns:r="http://schemas.openxmlformats.org/officeDocument/2006/relationships" name="📦 Lubricant Register" sheetId="2" r:id="Ra43059f0aaa84b6f"/>
    <x:sheet xmlns:r="http://schemas.openxmlformats.org/officeDocument/2006/relationships" name="Premium Guide" sheetId="3" r:id="Ra623bb7b54da4010"/>
    <x:sheet xmlns:r="http://schemas.openxmlformats.org/officeDocument/2006/relationships" name="Lists" sheetId="4" r:id="R43fb9aeb960e44cd"/>
    <x:sheet xmlns:r="http://schemas.openxmlformats.org/officeDocument/2006/relationships" name="Action Tracker" sheetId="5" r:id="R4023ebd1a1e04411"/>
    <x:sheet xmlns:r="http://schemas.openxmlformats.org/officeDocument/2006/relationships" name="Stock &amp; Reorder" sheetId="6" r:id="R0b3ad17fa1d94b61"/>
    <x:sheet xmlns:r="http://schemas.openxmlformats.org/officeDocument/2006/relationships" name="Route Sheets" sheetId="7" r:id="R0a1dcb1923b04796"/>
    <x:sheet xmlns:r="http://schemas.openxmlformats.org/officeDocument/2006/relationships" name="Monthly Calendar" sheetId="8" r:id="R53a586f74caf432b"/>
    <x:sheet xmlns:r="http://schemas.openxmlformats.org/officeDocument/2006/relationships" name="Compliance Dashboard" sheetId="9" r:id="R94b419641e4449d6"/>
  </x:sheets>
</x:workbook>
</file>

<file path=xl/sharedStrings.xml><?xml version="1.0" encoding="utf-8"?>
<x:sst xmlns:x="http://schemas.openxmlformats.org/spreadsheetml/2006/main">
  <x:si>
    <x:t xml:space="preserve">LUBRICATION SCHEDULE &amp; REGISTER</x:t>
  </x:si>
  <x:si>
    <x:t xml:space="preserve">► Yellow = fill in.  Frequency codes: D=Daily  W=Weekly  M=Monthly  Q=Quarterly  A=Annual</x:t>
  </x:si>
  <x:si>
    <x:t xml:space="preserve">Facility:</x:t>
  </x:si>
  <x:si>
    <x:t xml:space="preserve">Year:</x:t>
  </x:si>
  <x:si>
    <x:t xml:space="preserve">Prepared by:</x:t>
  </x:si>
  <x:si>
    <x:t xml:space="preserve">Approved by:</x:t>
  </x:si>
  <x:si>
    <x:t xml:space="preserve">Equip. Tag</x:t>
  </x:si>
  <x:si>
    <x:t xml:space="preserve">Equipment Name / Description</x:t>
  </x:si>
  <x:si>
    <x:t xml:space="preserve">Lube Point</x:t>
  </x:si>
  <x:si>
    <x:t xml:space="preserve">Lubricant Type</x:t>
  </x:si>
  <x:si>
    <x:t xml:space="preserve">Grade / Spec</x:t>
  </x:si>
  <x:si>
    <x:t xml:space="preserve">Frequency</x:t>
  </x:si>
  <x:si>
    <x:t xml:space="preserve">Qty (g/ml)</x:t>
  </x:si>
  <x:si>
    <x:t xml:space="preserve">Method</x:t>
  </x:si>
  <x:si>
    <x:t xml:space="preserve">Jan–Mar</x:t>
  </x:si>
  <x:si>
    <x:t xml:space="preserve">Apr–Jun</x:t>
  </x:si>
  <x:si>
    <x:t xml:space="preserve">Jul–Sep</x:t>
  </x:si>
  <x:si>
    <x:t xml:space="preserve">Oct–Dec</x:t>
  </x:si>
  <x:si>
    <x:t xml:space="preserve">P-101</x:t>
  </x:si>
  <x:si>
    <x:t xml:space="preserve">Feed Pump</x:t>
  </x:si>
  <x:si>
    <x:t xml:space="preserve">Drive End Bearing</x:t>
  </x:si>
  <x:si>
    <x:t xml:space="preserve">Shell Gadus S2</x:t>
  </x:si>
  <x:si>
    <x:t xml:space="preserve">V100 2</x:t>
  </x:si>
  <x:si>
    <x:t xml:space="preserve">M</x:t>
  </x:si>
  <x:si>
    <x:t xml:space="preserve">30</x:t>
  </x:si>
  <x:si>
    <x:t xml:space="preserve">Grease gun</x:t>
  </x:si>
  <x:si>
    <x:t xml:space="preserve">Jan/Apr/Jul/Oct</x:t>
  </x:si>
  <x:si>
    <x:t xml:space="preserve">Feb/May/Aug/Nov</x:t>
  </x:si>
  <x:si>
    <x:t xml:space="preserve">Mar/Jun/Sep/Dec</x:t>
  </x:si>
  <x:si>
    <x:t xml:space="preserve">Jan</x:t>
  </x:si>
  <x:si>
    <x:t xml:space="preserve">Non-Drive End Bearing</x:t>
  </x:si>
  <x:si>
    <x:t xml:space="preserve">20</x:t>
  </x:si>
  <x:si>
    <x:t xml:space="preserve">Mechanical Seal Flush</x:t>
  </x:si>
  <x:si>
    <x:t xml:space="preserve">Clean water</x:t>
  </x:si>
  <x:si>
    <x:t xml:space="preserve">N/A</x:t>
  </x:si>
  <x:si>
    <x:t xml:space="preserve">D</x:t>
  </x:si>
  <x:si>
    <x:t xml:space="preserve">—</x:t>
  </x:si>
  <x:si>
    <x:t xml:space="preserve">Check only</x:t>
  </x:si>
  <x:si>
    <x:t xml:space="preserve">P-102</x:t>
  </x:si>
  <x:si>
    <x:t xml:space="preserve">Tailings Pump</x:t>
  </x:si>
  <x:si>
    <x:t xml:space="preserve">Mobil Polyrex EM</x:t>
  </x:si>
  <x:si>
    <x:t xml:space="preserve">EM</x:t>
  </x:si>
  <x:si>
    <x:t xml:space="preserve">CV-001</x:t>
  </x:si>
  <x:si>
    <x:t xml:space="preserve">Primary Conveyor</x:t>
  </x:si>
  <x:si>
    <x:t xml:space="preserve">Head Pulley Bearings</x:t>
  </x:si>
  <x:si>
    <x:t xml:space="preserve">Shell Gadus S3</x:t>
  </x:si>
  <x:si>
    <x:t xml:space="preserve">V460D 2</x:t>
  </x:si>
  <x:si>
    <x:t xml:space="preserve">Q</x:t>
  </x:si>
  <x:si>
    <x:t xml:space="preserve">50</x:t>
  </x:si>
  <x:si>
    <x:t xml:space="preserve">Tail Pulley Bearings</x:t>
  </x:si>
  <x:si>
    <x:t xml:space="preserve">All Carry Idlers</x:t>
  </x:si>
  <x:si>
    <x:t xml:space="preserve">6M</x:t>
  </x:si>
  <x:si>
    <x:t xml:space="preserve">10</x:t>
  </x:si>
  <x:si>
    <x:t xml:space="preserve">GB-001</x:t>
  </x:si>
  <x:si>
    <x:t xml:space="preserve">Crusher Gearbox</x:t>
  </x:si>
  <x:si>
    <x:t xml:space="preserve">Gearbox Oil Sump</x:t>
  </x:si>
  <x:si>
    <x:t xml:space="preserve">Shell Omala S4 GX</x:t>
  </x:si>
  <x:si>
    <x:t xml:space="preserve">220</x:t>
  </x:si>
  <x:si>
    <x:t xml:space="preserve">A</x:t>
  </x:si>
  <x:si>
    <x:t xml:space="preserve">45L</x:t>
  </x:si>
  <x:si>
    <x:t xml:space="preserve">Oil change</x:t>
  </x:si>
  <x:si>
    <x:t xml:space="preserve">Gearbox Oil Top-up</x:t>
  </x:si>
  <x:si>
    <x:t xml:space="preserve">Check</x:t>
  </x:si>
  <x:si>
    <x:t xml:space="preserve">Dipstick</x:t>
  </x:si>
  <x:si>
    <x:t xml:space="preserve">GB-002</x:t>
  </x:si>
  <x:si>
    <x:t xml:space="preserve">Mill Gearbox</x:t>
  </x:si>
  <x:si>
    <x:t xml:space="preserve">Mobil SHC 630</x:t>
  </x:si>
  <x:si>
    <x:t xml:space="preserve">320</x:t>
  </x:si>
  <x:si>
    <x:t xml:space="preserve">80L</x:t>
  </x:si>
  <x:si>
    <x:t xml:space="preserve">M-101</x:t>
  </x:si>
  <x:si>
    <x:t xml:space="preserve">Primary Crusher</x:t>
  </x:si>
  <x:si>
    <x:t xml:space="preserve">Eccentric Shaft Bearings</x:t>
  </x:si>
  <x:si>
    <x:t xml:space="preserve">Mobil SHC 639</x:t>
  </x:si>
  <x:si>
    <x:t xml:space="preserve">100</x:t>
  </x:si>
  <x:si>
    <x:t xml:space="preserve">M-102</x:t>
  </x:si>
  <x:si>
    <x:t xml:space="preserve">Ball Mill</x:t>
  </x:si>
  <x:si>
    <x:t xml:space="preserve">Trunnion Bearings</x:t>
  </x:si>
  <x:si>
    <x:t xml:space="preserve">Shell Omala S4 WE</x:t>
  </x:si>
  <x:si>
    <x:t xml:space="preserve">680</x:t>
  </x:si>
  <x:si>
    <x:t xml:space="preserve">W</x:t>
  </x:si>
  <x:si>
    <x:t xml:space="preserve">500</x:t>
  </x:si>
  <x:si>
    <x:t xml:space="preserve">Pressure lube</x:t>
  </x:si>
  <x:si>
    <x:t xml:space="preserve">C-101</x:t>
  </x:si>
  <x:si>
    <x:t xml:space="preserve">Air Compressor</x:t>
  </x:si>
  <x:si>
    <x:t xml:space="preserve">Compressor Oil</x:t>
  </x:si>
  <x:si>
    <x:t xml:space="preserve">Atlas Copco Roto-Inject</x:t>
  </x:si>
  <x:si>
    <x:t xml:space="preserve">46</x:t>
  </x:si>
  <x:si>
    <x:t xml:space="preserve">Change</x:t>
  </x:si>
  <x:si>
    <x:t xml:space="preserve">FN-001</x:t>
  </x:si>
  <x:si>
    <x:t xml:space="preserve">Cooling Fan</x:t>
  </x:si>
  <x:si>
    <x:t xml:space="preserve">Motor Bearings</x:t>
  </x:si>
  <x:si>
    <x:t xml:space="preserve">Shell Alvania EP</x:t>
  </x:si>
  <x:si>
    <x:t xml:space="preserve">2</x:t>
  </x:si>
  <x:si>
    <x:t xml:space="preserve">25</x:t>
  </x:si>
  <x:si>
    <x:t xml:space="preserve">LUBRICANT PRODUCT REGISTER</x:t>
  </x:si>
  <x:si>
    <x:t xml:space="preserve">► List all lubricants used on site. Assign a colour code label for easy identification in the field.</x:t>
  </x:si>
  <x:si>
    <x:t xml:space="preserve">Lubricant Name / Brand</x:t>
  </x:si>
  <x:si>
    <x:t xml:space="preserve">Grade / Viscosity</x:t>
  </x:si>
  <x:si>
    <x:t xml:space="preserve">Application</x:t>
  </x:si>
  <x:si>
    <x:t xml:space="preserve">Colour Code</x:t>
  </x:si>
  <x:si>
    <x:t xml:space="preserve">Storage Location</x:t>
  </x:si>
  <x:si>
    <x:t xml:space="preserve">Min Stock (units)</x:t>
  </x:si>
  <x:si>
    <x:t xml:space="preserve">Current Stock</x:t>
  </x:si>
  <x:si>
    <x:t xml:space="preserve">Shell Gadus S2 V100 2</x:t>
  </x:si>
  <x:si>
    <x:t xml:space="preserve">NLGI 2 Grease</x:t>
  </x:si>
  <x:si>
    <x:t xml:space="preserve">General bearings</x:t>
  </x:si>
  <x:si>
    <x:t xml:space="preserve">Yellow</x:t>
  </x:si>
  <x:si>
    <x:t xml:space="preserve">Lube store Bay A</x:t>
  </x:si>
  <x:si>
    <x:t xml:space="preserve">10 tubs</x:t>
  </x:si>
  <x:si>
    <x:t xml:space="preserve">Shell Gadus S3 V460D 2</x:t>
  </x:si>
  <x:si>
    <x:t xml:space="preserve">Heavy duty bearings</x:t>
  </x:si>
  <x:si>
    <x:t xml:space="preserve">Red</x:t>
  </x:si>
  <x:si>
    <x:t xml:space="preserve">5 tubs</x:t>
  </x:si>
  <x:si>
    <x:t xml:space="preserve">Shell Omala S4 GX 220</x:t>
  </x:si>
  <x:si>
    <x:t xml:space="preserve">ISO VG 220 Gear oil</x:t>
  </x:si>
  <x:si>
    <x:t xml:space="preserve">Gearboxes</x:t>
  </x:si>
  <x:si>
    <x:t xml:space="preserve">Blue</x:t>
  </x:si>
  <x:si>
    <x:t xml:space="preserve">Drum store</x:t>
  </x:si>
  <x:si>
    <x:t xml:space="preserve">2 x 200L</x:t>
  </x:si>
  <x:si>
    <x:t xml:space="preserve">Shell Omala S4 WE 680</x:t>
  </x:si>
  <x:si>
    <x:t xml:space="preserve">ISO VG 680 Gear oil</x:t>
  </x:si>
  <x:si>
    <x:t xml:space="preserve">Mill gearboxes</x:t>
  </x:si>
  <x:si>
    <x:t xml:space="preserve">Blue stripe</x:t>
  </x:si>
  <x:si>
    <x:t xml:space="preserve">1 x 200L</x:t>
  </x:si>
  <x:si>
    <x:t xml:space="preserve">ISO VG 320 Synthetic</x:t>
  </x:si>
  <x:si>
    <x:t xml:space="preserve">High-speed gearbox</x:t>
  </x:si>
  <x:si>
    <x:t xml:space="preserve">Green</x:t>
  </x:si>
  <x:si>
    <x:t xml:space="preserve">NLGI 2 Polyurea</x:t>
  </x:si>
  <x:si>
    <x:t xml:space="preserve">Electric motor bearings</x:t>
  </x:si>
  <x:si>
    <x:t xml:space="preserve">Orange</x:t>
  </x:si>
  <x:si>
    <x:t xml:space="preserve">Lube store Bay B</x:t>
  </x:si>
  <x:si>
    <x:t xml:space="preserve">Atlas Copco Roto-Inject 46</x:t>
  </x:si>
  <x:si>
    <x:t xml:space="preserve">Compressor oil</x:t>
  </x:si>
  <x:si>
    <x:t xml:space="preserve">Air compressors</x:t>
  </x:si>
  <x:si>
    <x:t xml:space="preserve">White</x:t>
  </x:si>
  <x:si>
    <x:t xml:space="preserve">Compressor room</x:t>
  </x:si>
  <x:si>
    <x:t xml:space="preserve">4 x 20L</x:t>
  </x:si>
  <x:si>
    <x:t xml:space="preserve">Shell Alvania EP 2</x:t>
  </x:si>
  <x:si>
    <x:t xml:space="preserve">Fan / light bearings</x:t>
  </x:si>
  <x:si>
    <x:t xml:space="preserve">Green stripe</x:t>
  </x:si>
  <x:si>
    <x:t xml:space="preserve">Clean water (demineralised)</x:t>
  </x:si>
  <x:si>
    <x:t xml:space="preserve">Pump seal flush</x:t>
  </x:si>
  <x:si>
    <x:t xml:space="preserve">Clear</x:t>
  </x:si>
  <x:si>
    <x:t xml:space="preserve">Water supply</x:t>
  </x:si>
  <x:si>
    <x:t xml:space="preserve">Continuous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</x:si>
</x:sst>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200" formatCode="yyyy-mm-dd"/>
    <x:numFmt numFmtId="201" formatCode="0%"/>
  </x:numFmts>
  <x:fonts count="14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color rgb="FFE8A020"/>
      <x:name val="Arial"/>
    </x:font>
    <x:font>
      <x:i/>
      <x:sz val="8"/>
      <x:color rgb="FF717D7E"/>
      <x:name val="Arial"/>
    </x:font>
    <x:font>
      <x:b/>
      <x:sz val="9"/>
      <x:color rgb="FFFFFFFF"/>
      <x:name val="Arial"/>
    </x:font>
    <x:font>
      <x:sz val="9"/>
      <x:color rgb="FF1A1A2E"/>
      <x:name val="Arial"/>
    </x:font>
    <x:font>
      <x:b/>
      <x:sz val="12"/>
      <x:color rgb="FFE8A020"/>
      <x:name val="Arial"/>
    </x:font>
    <x:font>
      <x:b/>
      <x:sz val="16"/>
      <x:color rgb="FFFFFFFF"/>
      <x:name val="Calibri"/>
    </x:font>
    <x:font>
      <x:i/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FFFFFF"/>
      <x:name val="Calibri"/>
    </x:font>
    <x:font>
      <x:b/>
      <x:sz val="11"/>
      <x:color theme="1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1A1A2E"/>
      </x:patternFill>
    </x:fill>
    <x:fill>
      <x:patternFill patternType="solid">
        <x:fgColor rgb="FFFFF9E6"/>
      </x:patternFill>
    </x:fill>
    <x:fill>
      <x:patternFill patternType="solid">
        <x:fgColor rgb="FF16213E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0F766E"/>
      </x:patternFill>
    </x:fill>
    <x:fill>
      <x:patternFill patternType="solid">
        <x:fgColor rgb="FFDBEAFE"/>
      </x:patternFill>
    </x:fill>
  </x:fills>
  <x:borders count="4">
    <x:border diagonalUp="0" diagonalDown="0"/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 diagonalUp="0" diagonalDown="0"/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70">
    <x:xf numFmtId="164" fontId="0" fillId="0" borderId="0" xfId="0" applyFont="0" applyBorder="0" applyAlignment="0">
      <x:alignment horizontal="general" vertical="bottom" wrapText="0"/>
    </x:xf>
    <x:xf numFmtId="164" fontId="0" fillId="2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5" fillId="3" borderId="0" xfId="0" applyFont="1" applyBorder="1" applyAlignment="1">
      <x:alignment horizontal="left" vertical="center" wrapText="0"/>
    </x:xf>
    <x:xf numFmtId="164" fontId="6" fillId="4" borderId="1" xfId="0" applyFont="1" applyBorder="1" applyAlignment="1">
      <x:alignment horizontal="right" vertical="center" wrapText="0"/>
    </x:xf>
    <x:xf numFmtId="164" fontId="0" fillId="3" borderId="1" xfId="0" applyFont="0" applyBorder="1" applyAlignment="0">
      <x:alignment horizontal="general" vertical="bottom" wrapText="0"/>
    </x:xf>
    <x:xf numFmtId="164" fontId="6" fillId="2" borderId="1" xfId="0" applyFont="1" applyBorder="1" applyAlignment="1">
      <x:alignment horizontal="center" vertical="center" wrapText="1"/>
    </x:xf>
    <x:xf numFmtId="164" fontId="7" fillId="3" borderId="1" xfId="0" applyFont="1" applyBorder="1" applyAlignment="1">
      <x:alignment horizontal="center" vertical="center" wrapText="0"/>
    </x:xf>
    <x:xf numFmtId="164" fontId="7" fillId="3" borderId="1" xfId="0" applyFont="1" applyBorder="1" applyAlignment="1">
      <x:alignment horizontal="left" vertical="center" wrapText="0"/>
    </x:xf>
    <x:xf numFmtId="164" fontId="7" fillId="3" borderId="1" xfId="0" applyFont="1" applyBorder="1" applyAlignment="0">
      <x:alignment horizontal="general" vertical="bottom" wrapText="0"/>
    </x:xf>
    <x:xf numFmtId="164" fontId="8" fillId="2" borderId="0" xfId="0" applyFont="1" applyBorder="1" applyAlignment="1">
      <x:alignment horizontal="center" vertical="center" wrapText="0"/>
    </x:xf>
    <x:xf numFmtId="164" fontId="0" fillId="0" borderId="2" xfId="0" applyNumberFormat="1" applyFont="1" applyFill="1" applyBorder="1" applyAlignment="1">
      <x:alignment horizontal="general" vertical="bottom" wrapText="0"/>
    </x:xf>
    <x:xf numFmtId="164" fontId="0" fillId="2" borderId="2" xfId="0" applyNumberFormat="1" applyFont="1" applyFill="1" applyBorder="1" applyAlignment="1">
      <x:alignment horizontal="general" vertical="bottom" wrapText="0"/>
    </x:xf>
    <x:xf numFmtId="164" fontId="4" fillId="2" borderId="2" xfId="0" applyNumberFormat="1" applyFont="1" applyFill="1" applyBorder="1" applyAlignment="1">
      <x:alignment horizontal="center" vertical="center" wrapText="0"/>
    </x:xf>
    <x:xf numFmtId="164" fontId="5" fillId="3" borderId="2" xfId="0" applyNumberFormat="1" applyFont="1" applyFill="1" applyBorder="1" applyAlignment="1">
      <x:alignment horizontal="left" vertical="center" wrapText="0"/>
    </x:xf>
    <x:xf numFmtId="164" fontId="6" fillId="4" borderId="3" xfId="0" applyNumberFormat="1" applyFont="1" applyFill="1" applyBorder="1" applyAlignment="1">
      <x:alignment horizontal="right" vertical="center" wrapText="0"/>
    </x:xf>
    <x:xf numFmtId="164" fontId="0" fillId="3" borderId="3" xfId="0" applyNumberFormat="1" applyFont="1" applyFill="1" applyBorder="1" applyAlignment="1">
      <x:alignment horizontal="general" vertical="bottom" wrapText="0"/>
    </x:xf>
    <x:xf numFmtId="164" fontId="6" fillId="2" borderId="3" xfId="0" applyNumberFormat="1" applyFont="1" applyFill="1" applyBorder="1" applyAlignment="1">
      <x:alignment horizontal="center" vertical="center" wrapText="1"/>
    </x:xf>
    <x:xf numFmtId="164" fontId="7" fillId="3" borderId="3" xfId="0" applyNumberFormat="1" applyFont="1" applyFill="1" applyBorder="1" applyAlignment="1">
      <x:alignment horizontal="center" vertical="center" wrapText="0"/>
    </x:xf>
    <x:xf numFmtId="164" fontId="7" fillId="3" borderId="3" xfId="0" applyNumberFormat="1" applyFont="1" applyFill="1" applyBorder="1" applyAlignment="1">
      <x:alignment horizontal="left" vertical="center" wrapText="0"/>
    </x:xf>
    <x:xf numFmtId="164" fontId="7" fillId="3" borderId="3" xfId="0" applyNumberFormat="1" applyFont="1" applyFill="1" applyBorder="1" applyAlignment="1">
      <x:alignment horizontal="general" vertical="bottom" wrapText="0"/>
    </x:xf>
    <x:xf numFmtId="164" fontId="8" fillId="2" borderId="2" xfId="0" applyNumberFormat="1" applyFont="1" applyFill="1" applyBorder="1" applyAlignment="1">
      <x:alignment horizontal="center" vertical="center" wrapText="0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9" fillId="5" borderId="0" xfId="0" applyNumberFormat="1" applyFont="1" applyFill="1" applyBorder="1" applyAlignment="1">
      <x:alignment horizontal="general" vertical="bottom" wrapText="0"/>
    </x:xf>
    <x:xf numFmtId="164" fontId="9" fillId="5" borderId="0" xfId="0" applyNumberFormat="1" applyFont="1" applyFill="1" applyBorder="1" applyAlignment="1">
      <x:alignment horizontal="left" vertical="bottom" wrapText="0"/>
    </x:xf>
    <x:xf numFmtId="164" fontId="9" fillId="5" borderId="0" xfId="0" applyNumberFormat="1" applyFont="1" applyFill="1" applyBorder="1" applyAlignment="1">
      <x:alignment horizontal="left" vertical="center" wrapText="0"/>
    </x:xf>
    <x:xf numFmtId="164" fontId="0" fillId="5" borderId="2" xfId="0" applyNumberFormat="1" applyFont="1" applyFill="1" applyBorder="1" applyAlignment="1">
      <x:alignment horizontal="general" vertical="bottom" wrapText="0"/>
    </x:xf>
    <x:xf numFmtId="164" fontId="9" fillId="5" borderId="2" xfId="0" applyNumberFormat="1" applyFont="1" applyFill="1" applyBorder="1" applyAlignment="1">
      <x:alignment horizontal="general" vertical="bottom" wrapText="0"/>
    </x:xf>
    <x:xf numFmtId="164" fontId="9" fillId="5" borderId="2" xfId="0" applyNumberFormat="1" applyFont="1" applyFill="1" applyBorder="1" applyAlignment="1">
      <x:alignment horizontal="left" vertical="bottom" wrapText="0"/>
    </x:xf>
    <x:xf numFmtId="164" fontId="9" fillId="5" borderId="2" xfId="0" applyNumberFormat="1" applyFont="1" applyFill="1" applyBorder="1" applyAlignment="1">
      <x:alignment horizontal="left" vertical="center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10" fillId="6" borderId="0" xfId="0" applyNumberFormat="1" applyFont="1" applyFill="1" applyBorder="1" applyAlignment="1">
      <x:alignment horizontal="general" vertical="bottom" wrapText="0"/>
    </x:xf>
    <x:xf numFmtId="164" fontId="10" fillId="6" borderId="0" xfId="0" applyNumberFormat="1" applyFont="1" applyFill="1" applyBorder="1" applyAlignment="1">
      <x:alignment horizontal="general" vertical="bottom" wrapText="1"/>
    </x:xf>
    <x:xf numFmtId="164" fontId="0" fillId="6" borderId="2" xfId="0" applyNumberFormat="1" applyFont="1" applyFill="1" applyBorder="1" applyAlignment="1">
      <x:alignment horizontal="general" vertical="bottom" wrapText="0"/>
    </x:xf>
    <x:xf numFmtId="164" fontId="10" fillId="6" borderId="2" xfId="0" applyNumberFormat="1" applyFont="1" applyFill="1" applyBorder="1" applyAlignment="1">
      <x:alignment horizontal="general" vertical="bottom" wrapText="0"/>
    </x:xf>
    <x:xf numFmtId="164" fontId="10" fillId="6" borderId="2" xfId="0" applyNumberFormat="1" applyFont="1" applyFill="1" applyBorder="1" applyAlignment="1">
      <x:alignment horizontal="general" vertical="bottom" wrapText="1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11" fillId="7" borderId="0" xfId="0" applyNumberFormat="1" applyFont="1" applyFill="1" applyBorder="1" applyAlignment="1">
      <x:alignment horizontal="general" vertical="bottom" wrapText="0"/>
    </x:xf>
    <x:xf numFmtId="164" fontId="11" fillId="7" borderId="0" xfId="0" applyNumberFormat="1" applyFont="1" applyFill="1" applyBorder="1" applyAlignment="1">
      <x:alignment horizontal="general" vertical="bottom" wrapText="1"/>
    </x:xf>
    <x:xf numFmtId="164" fontId="11" fillId="7" borderId="0" xfId="0" applyNumberFormat="1" applyFont="1" applyFill="1" applyBorder="1" applyAlignment="1">
      <x:alignment horizontal="center" vertical="bottom" wrapText="1"/>
    </x:xf>
    <x:xf numFmtId="164" fontId="11" fillId="7" borderId="0" xfId="0" applyNumberFormat="1" applyFont="1" applyFill="1" applyBorder="1" applyAlignment="1">
      <x:alignment horizontal="center" vertical="center" wrapText="1"/>
    </x:xf>
    <x:xf numFmtId="164" fontId="0" fillId="7" borderId="2" xfId="0" applyNumberFormat="1" applyFont="1" applyFill="1" applyBorder="1" applyAlignment="1">
      <x:alignment horizontal="general" vertical="bottom" wrapText="0"/>
    </x:xf>
    <x:xf numFmtId="164" fontId="11" fillId="7" borderId="2" xfId="0" applyNumberFormat="1" applyFont="1" applyFill="1" applyBorder="1" applyAlignment="1">
      <x:alignment horizontal="general" vertical="bottom" wrapText="0"/>
    </x:xf>
    <x:xf numFmtId="164" fontId="11" fillId="7" borderId="2" xfId="0" applyNumberFormat="1" applyFont="1" applyFill="1" applyBorder="1" applyAlignment="1">
      <x:alignment horizontal="general" vertical="bottom" wrapText="1"/>
    </x:xf>
    <x:xf numFmtId="164" fontId="11" fillId="7" borderId="2" xfId="0" applyNumberFormat="1" applyFont="1" applyFill="1" applyBorder="1" applyAlignment="1">
      <x:alignment horizontal="center" vertical="bottom" wrapText="1"/>
    </x:xf>
    <x:xf numFmtId="164" fontId="11" fillId="7" borderId="2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0" borderId="2" xfId="0" applyNumberFormat="1" applyFont="1" applyFill="1" applyBorder="1" applyAlignment="1">
      <x:alignment horizontal="general" vertical="bottom" wrapText="1"/>
    </x:xf>
    <x:xf numFmtId="164" fontId="0" fillId="0" borderId="2" xfId="0" applyNumberFormat="1" applyFont="1" applyFill="1" applyBorder="1" applyAlignment="1">
      <x:alignment horizontal="general" vertical="top" wrapText="1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12" fillId="8" borderId="0" xfId="0" applyNumberFormat="1" applyFont="1" applyFill="1" applyBorder="1" applyAlignment="1">
      <x:alignment horizontal="general" vertical="bottom" wrapText="0"/>
    </x:xf>
    <x:xf numFmtId="164" fontId="0" fillId="8" borderId="2" xfId="0" applyNumberFormat="1" applyFont="1" applyFill="1" applyBorder="1" applyAlignment="1">
      <x:alignment horizontal="general" vertical="bottom" wrapText="0"/>
    </x:xf>
    <x:xf numFmtId="164" fontId="12" fillId="8" borderId="2" xfId="0" applyNumberFormat="1" applyFont="1" applyFill="1" applyBorder="1" applyAlignment="1">
      <x:alignment horizontal="general" vertical="bottom" wrapText="0"/>
    </x:xf>
    <x:xf numFmtId="164" fontId="0" fillId="9" borderId="0" xfId="0" applyNumberFormat="1" applyFont="1" applyFill="1" applyBorder="1" applyAlignment="1">
      <x:alignment horizontal="general" vertical="bottom" wrapText="0"/>
    </x:xf>
    <x:xf numFmtId="164" fontId="0" fillId="9" borderId="0" xfId="0" applyNumberFormat="1" applyFont="1" applyFill="1" applyBorder="1" applyAlignment="1">
      <x:alignment horizontal="general" vertical="bottom" wrapText="1"/>
    </x:xf>
    <x:xf numFmtId="164" fontId="0" fillId="9" borderId="2" xfId="0" applyNumberFormat="1" applyFont="1" applyFill="1" applyBorder="1" applyAlignment="1">
      <x:alignment horizontal="general" vertical="bottom" wrapText="0"/>
    </x:xf>
    <x:xf numFmtId="164" fontId="0" fillId="9" borderId="2" xfId="0" applyNumberFormat="1" applyFont="1" applyFill="1" applyBorder="1" applyAlignment="1">
      <x:alignment horizontal="general" vertical="bottom" wrapText="1"/>
    </x:xf>
    <x:xf numFmtId="164" fontId="12" fillId="7" borderId="0" xfId="0" applyNumberFormat="1" applyFont="1" applyFill="1" applyBorder="1" applyAlignment="1">
      <x:alignment horizontal="general" vertical="bottom" wrapText="0"/>
    </x:xf>
    <x:xf numFmtId="164" fontId="12" fillId="7" borderId="2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top" wrapText="1"/>
    </x:xf>
    <x:xf numFmtId="200" fontId="0" fillId="0" borderId="2" xfId="0" applyNumberFormat="1" applyFont="1" applyFill="1" applyBorder="1" applyAlignment="1">
      <x:alignment horizontal="general" vertical="top" wrapText="1"/>
    </x:xf>
    <x:xf numFmtId="164" fontId="12" fillId="8" borderId="0" xfId="0" applyNumberFormat="1" applyFont="1" applyFill="1" applyBorder="1" applyAlignment="1">
      <x:alignment horizontal="general" vertical="bottom" wrapText="1"/>
    </x:xf>
    <x:xf numFmtId="164" fontId="12" fillId="8" borderId="2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 wrapText="0"/>
    </x:xf>
    <x:xf numFmtId="200" fontId="0" fillId="0" borderId="2" xfId="0" applyNumberFormat="1" applyFont="1" applyFill="1" applyBorder="1" applyAlignment="1">
      <x:alignment horizontal="general" vertical="bottom" wrapText="0"/>
    </x:xf>
    <x:xf numFmtId="164" fontId="13" fillId="6" borderId="0" xfId="0" applyNumberFormat="1" applyFont="1" applyFill="1" applyBorder="1" applyAlignment="1">
      <x:alignment horizontal="general" vertical="bottom" wrapText="0"/>
    </x:xf>
    <x:xf numFmtId="164" fontId="13" fillId="6" borderId="2" xfId="0" applyNumberFormat="1" applyFont="1" applyFill="1" applyBorder="1" applyAlignment="1">
      <x:alignment horizontal="general" vertical="bottom" wrapText="0"/>
    </x:xf>
    <x:xf numFmtId="201" fontId="0" fillId="0" borderId="0" xfId="0" applyNumberFormat="1" applyFont="1" applyFill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7">
    <x:dxf>
      <x:fill>
        <x:patternFill>
          <x:bgColor rgb="FFDCFCE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7950B"/>
      <x:rgbColor rgb="FF800080"/>
      <x:rgbColor rgb="FF008080"/>
      <x:rgbColor rgb="FFCCCCCC"/>
      <x:rgbColor rgb="FF717D7E"/>
      <x:rgbColor rgb="FF9999FF"/>
      <x:rgbColor rgb="FF993366"/>
      <x:rgbColor rgb="FFFFF9E6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E8A020"/>
      <x:rgbColor rgb="FFFF6600"/>
      <x:rgbColor rgb="FF666699"/>
      <x:rgbColor rgb="FF969696"/>
      <x:rgbColor rgb="FF003366"/>
      <x:rgbColor rgb="FF339966"/>
      <x:rgbColor rgb="FF003300"/>
      <x:rgbColor rgb="FF1A1A2E"/>
      <x:rgbColor rgb="FF993300"/>
      <x:rgbColor rgb="FF993366"/>
      <x:rgbColor rgb="FF333399"/>
      <x:rgbColor rgb="FF16213E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97c4d4294847e7" /><Relationship Type="http://schemas.openxmlformats.org/officeDocument/2006/relationships/theme" Target="/xl/theme/theme1.xml" Id="R168c7ce97e624086" /><Relationship Type="http://schemas.openxmlformats.org/officeDocument/2006/relationships/sharedStrings" Target="/xl/sharedStrings.xml" Id="R0b368501f65649fc" /><Relationship Type="http://schemas.openxmlformats.org/officeDocument/2006/relationships/worksheet" Target="/xl/worksheets/sheet1.xml" Id="R6167495ce68146dd" /><Relationship Type="http://schemas.openxmlformats.org/officeDocument/2006/relationships/worksheet" Target="/xl/worksheets/sheet2.xml" Id="Ra43059f0aaa84b6f" /><Relationship Type="http://schemas.openxmlformats.org/officeDocument/2006/relationships/worksheet" Target="/xl/worksheets/sheet3.xml" Id="Ra623bb7b54da4010" /><Relationship Type="http://schemas.openxmlformats.org/officeDocument/2006/relationships/worksheet" Target="/xl/worksheets/sheet4.xml" Id="R43fb9aeb960e44cd" /><Relationship Type="http://schemas.openxmlformats.org/officeDocument/2006/relationships/worksheet" Target="/xl/worksheets/sheet5.xml" Id="R4023ebd1a1e04411" /><Relationship Type="http://schemas.openxmlformats.org/officeDocument/2006/relationships/worksheet" Target="/xl/worksheets/sheet6.xml" Id="R0b3ad17fa1d94b61" /><Relationship Type="http://schemas.openxmlformats.org/officeDocument/2006/relationships/worksheet" Target="/xl/worksheets/sheet7.xml" Id="R0a1dcb1923b04796" /><Relationship Type="http://schemas.openxmlformats.org/officeDocument/2006/relationships/worksheet" Target="/xl/worksheets/sheet8.xml" Id="R53a586f74caf432b" /><Relationship Type="http://schemas.openxmlformats.org/officeDocument/2006/relationships/worksheet" Target="/xl/worksheets/sheet9.xml" Id="R94b419641e4449d6" /></Relationships>
</file>

<file path=xl/tables/table1.xml><?xml version="1.0" encoding="utf-8"?>
<x:table xmlns:x="http://schemas.openxmlformats.org/spreadsheetml/2006/main" id="1" name="LubeActionTracker" displayName="LubeActionTracker" ref="A4:K34" headerRowCount="1">
  <x:tableColumns count="11">
    <x:tableColumn id="1" name="Source/Sheet"/>
    <x:tableColumn id="2" name="Asset / Equipment"/>
    <x:tableColumn id="3" name="Finding / Defect"/>
    <x:tableColumn id="4" name="Risk / Impact"/>
    <x:tableColumn id="5" name="Priority"/>
    <x:tableColumn id="6" name="Responsible Person"/>
    <x:tableColumn id="7" name="Due Date"/>
    <x:tableColumn id="8" name="Status"/>
    <x:tableColumn id="9" name="Close-out Date"/>
    <x:tableColumn id="10" name="Verification / Evidence"/>
    <x:tableColumn id="11" name="Days Overdue"/>
  </x:tableColumns>
  <x:tableStyleInfo name="TableStyleMedium2" showRowStripes="1"/>
</x:table>
</file>

<file path=xl/tables/table2.xml><?xml version="1.0" encoding="utf-8"?>
<x:table xmlns:x="http://schemas.openxmlformats.org/spreadsheetml/2006/main" id="2" name="LubeStock" displayName="LubeStock" ref="A4:J24" headerRowCount="1">
  <x:tableColumns count="10">
    <x:tableColumn id="1" name="Lubricant"/>
    <x:tableColumn id="2" name="Grade/Spec"/>
    <x:tableColumn id="3" name="Container Size"/>
    <x:tableColumn id="4" name="Current Stock Qty"/>
    <x:tableColumn id="5" name="Minimum Stock Qty"/>
    <x:tableColumn id="6" name="Monthly Use Forecast"/>
    <x:tableColumn id="7" name="Reorder Required?"/>
    <x:tableColumn id="8" name="Supplier"/>
    <x:tableColumn id="9" name="Lead Time (days)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LubeRoutes" displayName="LubeRoutes" ref="A4:K19" headerRowCount="1">
  <x:tableColumns count="11">
    <x:tableColumn id="1" name="Route"/>
    <x:tableColumn id="2" name="Due Date"/>
    <x:tableColumn id="3" name="Equip. Tag"/>
    <x:tableColumn id="4" name="Equipment"/>
    <x:tableColumn id="5" name="Lube Point"/>
    <x:tableColumn id="6" name="Lubricant"/>
    <x:tableColumn id="7" name="Qty"/>
    <x:tableColumn id="8" name="Method"/>
    <x:tableColumn id="9" name="Done?"/>
    <x:tableColumn id="10" name="Technician"/>
    <x:tableColumn id="11" name="Comments"/>
  </x:tableColumns>
  <x:tableStyleInfo name="TableStyleMedium2" showRowStripes="1"/>
</x:table>
</file>

<file path=xl/tables/table4.xml><?xml version="1.0" encoding="utf-8"?>
<x:table xmlns:x="http://schemas.openxmlformats.org/spreadsheetml/2006/main" id="4" name="LubeCalendar" displayName="LubeCalendar" ref="A4:N24" headerRowCount="1">
  <x:tableColumns count="14">
    <x:tableColumn id="1" name="Equip. Tag"/>
    <x:tableColumn id="2" name="Lube Point"/>
    <x:tableColumn id="3" name="Jan"/>
    <x:tableColumn id="4" name="Feb"/>
    <x:tableColumn id="5" name="Mar"/>
    <x:tableColumn id="6" name="Apr"/>
    <x:tableColumn id="7" name="May"/>
    <x:tableColumn id="8" name="Jun"/>
    <x:tableColumn id="9" name="Jul"/>
    <x:tableColumn id="10" name="Aug"/>
    <x:tableColumn id="11" name="Sep"/>
    <x:tableColumn id="12" name="Oct"/>
    <x:tableColumn id="13" name="Nov"/>
    <x:tableColumn id="14" name="Dec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87037765accd43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d51ffc9ca5d942e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d877bdb4a29d448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040c709f2a124dcb" /></Relationships>
</file>

<file path=xl/worksheets/sheet1.xml><?xml version="1.0" encoding="utf-8"?>
<x:worksheet xmlns:x="http://schemas.openxmlformats.org/spreadsheetml/2006/main">
  <x:sheetPr>
    <x:tabColor rgb="FFE8A020"/>
  </x:sheetPr>
  <x:sheetViews>
    <x:sheetView showGridLines="0" workbookViewId="0"/>
  </x:sheetViews>
  <x:sheetFormatPr defaultColWidth="8.6796875" defaultRowHeight="15"/>
  <x:cols>
    <x:col min="1" max="1" width="2" hidden="0" customWidth="1"/>
    <x:col min="2" max="2" width="8" hidden="0" customWidth="1"/>
    <x:col min="3" max="3" width="22" hidden="0" customWidth="1"/>
    <x:col min="4" max="4" width="18" hidden="0" customWidth="1"/>
    <x:col min="5" max="5" width="14" hidden="0" customWidth="1"/>
    <x:col min="6" max="6" width="16" hidden="0" customWidth="1"/>
    <x:col min="7" max="7" width="14" hidden="0" customWidth="1"/>
    <x:col min="8" max="11" width="10" hidden="0" customWidth="1"/>
    <x:col min="12" max="12" width="12" hidden="0" customWidth="1"/>
    <x:col min="13" max="13" width="18" hidden="0" customWidth="1"/>
    <x:col min="14" max="14" width="13" hidden="0" customWidth="1"/>
    <x:col min="15" max="15" width="13" hidden="0" customWidth="1"/>
    <x:col min="16" max="16" width="13" hidden="0" customWidth="1"/>
    <x:col min="17" max="17" width="12" hidden="0" customWidth="1"/>
    <x:col min="18" max="18" width="16" hidden="0" customWidth="1"/>
    <x:col min="19" max="19" width="16" hidden="0" customWidth="1"/>
  </x:cols>
  <x:sheetData>
    <x:row r="1" ht="7.5" hidden="0" customHeight="1"/>
    <x:row r="2" ht="37.5" hidden="0" customHeight="1">
      <x:c r="A2" s="1"/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1"/>
    </x:row>
    <x:row r="3" ht="18" hidden="0" customHeight="1">
      <x:c r="B3" s="3" t="s">
        <x:v>1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19.5" hidden="0" customHeight="1">
      <x:c r="B4" s="4" t="s">
        <x:v>2</x:v>
      </x:c>
      <x:c r="C4" s="5"/>
      <x:c r="E4" s="4" t="s">
        <x:v>3</x:v>
      </x:c>
      <x:c r="F4" s="5"/>
      <x:c r="G4" s="4" t="s">
        <x:v>4</x:v>
      </x:c>
      <x:c r="H4" s="5"/>
      <x:c r="J4" s="4" t="s">
        <x:v>5</x:v>
      </x:c>
      <x:c r="K4" s="5"/>
    </x:row>
    <x:row r="5" ht="24" hidden="0" customHeight="1">
      <x:c r="B5" s="6" t="s">
        <x:v>6</x:v>
      </x:c>
      <x:c r="C5" s="6" t="s">
        <x:v>7</x:v>
      </x:c>
      <x:c r="D5" s="6" t="s">
        <x:v>8</x:v>
      </x:c>
      <x:c r="E5" s="6" t="s">
        <x:v>9</x:v>
      </x:c>
      <x:c r="F5" s="6" t="s">
        <x:v>10</x:v>
      </x:c>
      <x:c r="G5" s="6" t="s">
        <x:v>11</x:v>
      </x:c>
      <x:c r="H5" s="6" t="s">
        <x:v>12</x:v>
      </x:c>
      <x:c r="I5" s="6" t="s">
        <x:v>13</x:v>
      </x:c>
      <x:c r="J5" s="6" t="s">
        <x:v>14</x:v>
      </x:c>
      <x:c r="K5" s="6" t="s">
        <x:v>15</x:v>
      </x:c>
      <x:c r="L5" s="6" t="s">
        <x:v>16</x:v>
      </x:c>
      <x:c r="M5" s="6" t="s">
        <x:v>17</x:v>
      </x:c>
      <x:c r="N5" s="63" t="str">
        <x:v>Last Done</x:v>
      </x:c>
      <x:c r="O5" s="63" t="str">
        <x:v>Next Due</x:v>
      </x:c>
      <x:c r="P5" s="63" t="str">
        <x:v>Completed?</x:v>
      </x:c>
      <x:c r="Q5" s="63" t="str">
        <x:v>Overdue?</x:v>
      </x:c>
      <x:c r="R5" s="63" t="str">
        <x:v>Route</x:v>
      </x:c>
      <x:c r="S5" s="63" t="str">
        <x:v>Responsible</x:v>
      </x:c>
    </x:row>
    <x:row r="6" ht="18" hidden="0" customHeight="1">
      <x:c r="B6" s="7" t="s">
        <x:v>18</x:v>
      </x:c>
      <x:c r="C6" s="8" t="s">
        <x:v>19</x:v>
      </x:c>
      <x:c r="D6" s="8" t="s">
        <x:v>20</x:v>
      </x:c>
      <x:c r="E6" s="7" t="s">
        <x:v>21</x:v>
      </x:c>
      <x:c r="F6" s="7" t="s">
        <x:v>22</x:v>
      </x:c>
      <x:c r="G6" s="7" t="s">
        <x:v>23</x:v>
      </x:c>
      <x:c r="H6" s="7" t="s">
        <x:v>24</x:v>
      </x:c>
      <x:c r="I6" s="7" t="s">
        <x:v>25</x:v>
      </x:c>
      <x:c r="J6" s="7" t="s">
        <x:v>26</x:v>
      </x:c>
      <x:c r="K6" s="7" t="s">
        <x:v>27</x:v>
      </x:c>
      <x:c r="L6" s="7" t="s">
        <x:v>28</x:v>
      </x:c>
      <x:c r="M6" s="7" t="s">
        <x:v>29</x:v>
      </x:c>
      <x:c r="N6" s="65"/>
      <x:c r="O6" s="65" t="str">
        <x:f>IF(N6="","",N6+IF(G6="D",1,IF(G6="W",7,IF(G6="M",30,IF(G6="Q",91,IF(G6="A",365,IF(G6="6M",182,30)))))))</x:f>
      </x:c>
      <x:c r="Q6" t="str">
        <x:f>IF(O6="","",IF(O6&lt;TODAY(),"YES","NO"))</x:f>
      </x:c>
    </x:row>
    <x:row r="7" ht="18" hidden="0" customHeight="1">
      <x:c r="B7" s="7" t="s">
        <x:v>18</x:v>
      </x:c>
      <x:c r="C7" s="8" t="s">
        <x:v>19</x:v>
      </x:c>
      <x:c r="D7" s="8" t="s">
        <x:v>30</x:v>
      </x:c>
      <x:c r="E7" s="7" t="s">
        <x:v>21</x:v>
      </x:c>
      <x:c r="F7" s="7" t="s">
        <x:v>22</x:v>
      </x:c>
      <x:c r="G7" s="7" t="s">
        <x:v>23</x:v>
      </x:c>
      <x:c r="H7" s="7" t="s">
        <x:v>31</x:v>
      </x:c>
      <x:c r="I7" s="7" t="s">
        <x:v>25</x:v>
      </x:c>
      <x:c r="J7" s="7"/>
      <x:c r="K7" s="7"/>
      <x:c r="L7" s="7"/>
      <x:c r="M7" s="7"/>
      <x:c r="N7" s="65"/>
      <x:c r="O7" s="65" t="str">
        <x:f>IF(N7="","",N7+IF(G7="D",1,IF(G7="W",7,IF(G7="M",30,IF(G7="Q",91,IF(G7="A",365,IF(G7="6M",182,30)))))))</x:f>
      </x:c>
      <x:c r="Q7" t="str">
        <x:f>IF(O7="","",IF(O7&lt;TODAY(),"YES","NO"))</x:f>
      </x:c>
    </x:row>
    <x:row r="8" ht="18" hidden="0" customHeight="1">
      <x:c r="B8" s="7" t="s">
        <x:v>18</x:v>
      </x:c>
      <x:c r="C8" s="8" t="s">
        <x:v>19</x:v>
      </x:c>
      <x:c r="D8" s="8" t="s">
        <x:v>32</x:v>
      </x:c>
      <x:c r="E8" s="7" t="s">
        <x:v>33</x:v>
      </x:c>
      <x:c r="F8" s="7" t="s">
        <x:v>34</x:v>
      </x:c>
      <x:c r="G8" s="7" t="s">
        <x:v>35</x:v>
      </x:c>
      <x:c r="H8" s="7" t="s">
        <x:v>36</x:v>
      </x:c>
      <x:c r="I8" s="7" t="s">
        <x:v>37</x:v>
      </x:c>
      <x:c r="J8" s="7"/>
      <x:c r="K8" s="7"/>
      <x:c r="L8" s="7"/>
      <x:c r="M8" s="7"/>
      <x:c r="N8" s="65"/>
      <x:c r="O8" s="65" t="str">
        <x:f>IF(N8="","",N8+IF(G8="D",1,IF(G8="W",7,IF(G8="M",30,IF(G8="Q",91,IF(G8="A",365,IF(G8="6M",182,30)))))))</x:f>
      </x:c>
      <x:c r="Q8" t="str">
        <x:f>IF(O8="","",IF(O8&lt;TODAY(),"YES","NO"))</x:f>
      </x:c>
    </x:row>
    <x:row r="9" ht="18" hidden="0" customHeight="1">
      <x:c r="B9" s="7" t="s">
        <x:v>38</x:v>
      </x:c>
      <x:c r="C9" s="8" t="s">
        <x:v>39</x:v>
      </x:c>
      <x:c r="D9" s="8" t="s">
        <x:v>20</x:v>
      </x:c>
      <x:c r="E9" s="7" t="s">
        <x:v>40</x:v>
      </x:c>
      <x:c r="F9" s="7" t="s">
        <x:v>41</x:v>
      </x:c>
      <x:c r="G9" s="7" t="s">
        <x:v>23</x:v>
      </x:c>
      <x:c r="H9" s="7" t="s">
        <x:v>24</x:v>
      </x:c>
      <x:c r="I9" s="7" t="s">
        <x:v>25</x:v>
      </x:c>
      <x:c r="J9" s="7"/>
      <x:c r="K9" s="7"/>
      <x:c r="L9" s="7"/>
      <x:c r="M9" s="7"/>
      <x:c r="N9" s="65"/>
      <x:c r="O9" s="65" t="str">
        <x:f>IF(N9="","",N9+IF(G9="D",1,IF(G9="W",7,IF(G9="M",30,IF(G9="Q",91,IF(G9="A",365,IF(G9="6M",182,30)))))))</x:f>
      </x:c>
      <x:c r="Q9" t="str">
        <x:f>IF(O9="","",IF(O9&lt;TODAY(),"YES","NO"))</x:f>
      </x:c>
    </x:row>
    <x:row r="10" ht="18" hidden="0" customHeight="1">
      <x:c r="B10" s="7" t="s">
        <x:v>42</x:v>
      </x:c>
      <x:c r="C10" s="8" t="s">
        <x:v>43</x:v>
      </x:c>
      <x:c r="D10" s="8" t="s">
        <x:v>44</x:v>
      </x:c>
      <x:c r="E10" s="7" t="s">
        <x:v>45</x:v>
      </x:c>
      <x:c r="F10" s="7" t="s">
        <x:v>46</x:v>
      </x:c>
      <x:c r="G10" s="7" t="s">
        <x:v>47</x:v>
      </x:c>
      <x:c r="H10" s="7" t="s">
        <x:v>48</x:v>
      </x:c>
      <x:c r="I10" s="7" t="s">
        <x:v>25</x:v>
      </x:c>
      <x:c r="J10" s="7"/>
      <x:c r="K10" s="7"/>
      <x:c r="L10" s="7"/>
      <x:c r="M10" s="7"/>
      <x:c r="N10" s="65"/>
      <x:c r="O10" s="65" t="str">
        <x:f>IF(N10="","",N10+IF(G10="D",1,IF(G10="W",7,IF(G10="M",30,IF(G10="Q",91,IF(G10="A",365,IF(G10="6M",182,30)))))))</x:f>
      </x:c>
      <x:c r="Q10" t="str">
        <x:f>IF(O10="","",IF(O10&lt;TODAY(),"YES","NO"))</x:f>
      </x:c>
    </x:row>
    <x:row r="11" ht="18" hidden="0" customHeight="1">
      <x:c r="B11" s="7" t="s">
        <x:v>42</x:v>
      </x:c>
      <x:c r="C11" s="8" t="s">
        <x:v>43</x:v>
      </x:c>
      <x:c r="D11" s="8" t="s">
        <x:v>49</x:v>
      </x:c>
      <x:c r="E11" s="7" t="s">
        <x:v>45</x:v>
      </x:c>
      <x:c r="F11" s="7" t="s">
        <x:v>46</x:v>
      </x:c>
      <x:c r="G11" s="7" t="s">
        <x:v>47</x:v>
      </x:c>
      <x:c r="H11" s="7" t="s">
        <x:v>48</x:v>
      </x:c>
      <x:c r="I11" s="7" t="s">
        <x:v>25</x:v>
      </x:c>
      <x:c r="J11" s="7"/>
      <x:c r="K11" s="7"/>
      <x:c r="L11" s="7"/>
      <x:c r="M11" s="7"/>
      <x:c r="N11" s="65"/>
      <x:c r="O11" s="65" t="str">
        <x:f>IF(N11="","",N11+IF(G11="D",1,IF(G11="W",7,IF(G11="M",30,IF(G11="Q",91,IF(G11="A",365,IF(G11="6M",182,30)))))))</x:f>
      </x:c>
      <x:c r="Q11" t="str">
        <x:f>IF(O11="","",IF(O11&lt;TODAY(),"YES","NO"))</x:f>
      </x:c>
    </x:row>
    <x:row r="12" ht="18" hidden="0" customHeight="1">
      <x:c r="B12" s="7" t="s">
        <x:v>42</x:v>
      </x:c>
      <x:c r="C12" s="8" t="s">
        <x:v>43</x:v>
      </x:c>
      <x:c r="D12" s="8" t="s">
        <x:v>50</x:v>
      </x:c>
      <x:c r="E12" s="7" t="s">
        <x:v>21</x:v>
      </x:c>
      <x:c r="F12" s="7" t="s">
        <x:v>22</x:v>
      </x:c>
      <x:c r="G12" s="7" t="s">
        <x:v>51</x:v>
      </x:c>
      <x:c r="H12" s="7" t="s">
        <x:v>52</x:v>
      </x:c>
      <x:c r="I12" s="7" t="s">
        <x:v>25</x:v>
      </x:c>
      <x:c r="J12" s="7"/>
      <x:c r="K12" s="7"/>
      <x:c r="L12" s="7"/>
      <x:c r="M12" s="7"/>
      <x:c r="N12" s="65"/>
      <x:c r="O12" s="65" t="str">
        <x:f>IF(N12="","",N12+IF(G12="D",1,IF(G12="W",7,IF(G12="M",30,IF(G12="Q",91,IF(G12="A",365,IF(G12="6M",182,30)))))))</x:f>
      </x:c>
      <x:c r="Q12" t="str">
        <x:f>IF(O12="","",IF(O12&lt;TODAY(),"YES","NO"))</x:f>
      </x:c>
    </x:row>
    <x:row r="13" ht="18" hidden="0" customHeight="1">
      <x:c r="B13" s="7" t="s">
        <x:v>53</x:v>
      </x:c>
      <x:c r="C13" s="8" t="s">
        <x:v>54</x:v>
      </x:c>
      <x:c r="D13" s="8" t="s">
        <x:v>55</x:v>
      </x:c>
      <x:c r="E13" s="7" t="s">
        <x:v>56</x:v>
      </x:c>
      <x:c r="F13" s="7" t="s">
        <x:v>57</x:v>
      </x:c>
      <x:c r="G13" s="7" t="s">
        <x:v>58</x:v>
      </x:c>
      <x:c r="H13" s="7" t="s">
        <x:v>59</x:v>
      </x:c>
      <x:c r="I13" s="7" t="s">
        <x:v>60</x:v>
      </x:c>
      <x:c r="J13" s="7"/>
      <x:c r="K13" s="7"/>
      <x:c r="L13" s="7"/>
      <x:c r="M13" s="7"/>
      <x:c r="N13" s="65"/>
      <x:c r="O13" s="65" t="str">
        <x:f>IF(N13="","",N13+IF(G13="D",1,IF(G13="W",7,IF(G13="M",30,IF(G13="Q",91,IF(G13="A",365,IF(G13="6M",182,30)))))))</x:f>
      </x:c>
      <x:c r="Q13" t="str">
        <x:f>IF(O13="","",IF(O13&lt;TODAY(),"YES","NO"))</x:f>
      </x:c>
    </x:row>
    <x:row r="14" ht="18" hidden="0" customHeight="1">
      <x:c r="B14" s="7" t="s">
        <x:v>53</x:v>
      </x:c>
      <x:c r="C14" s="8" t="s">
        <x:v>54</x:v>
      </x:c>
      <x:c r="D14" s="8" t="s">
        <x:v>61</x:v>
      </x:c>
      <x:c r="E14" s="7" t="s">
        <x:v>56</x:v>
      </x:c>
      <x:c r="F14" s="7" t="s">
        <x:v>57</x:v>
      </x:c>
      <x:c r="G14" s="7" t="s">
        <x:v>23</x:v>
      </x:c>
      <x:c r="H14" s="7" t="s">
        <x:v>62</x:v>
      </x:c>
      <x:c r="I14" s="7" t="s">
        <x:v>63</x:v>
      </x:c>
      <x:c r="J14" s="7"/>
      <x:c r="K14" s="7"/>
      <x:c r="L14" s="7"/>
      <x:c r="M14" s="7"/>
      <x:c r="N14" s="65"/>
      <x:c r="O14" s="65" t="str">
        <x:f>IF(N14="","",N14+IF(G14="D",1,IF(G14="W",7,IF(G14="M",30,IF(G14="Q",91,IF(G14="A",365,IF(G14="6M",182,30)))))))</x:f>
      </x:c>
      <x:c r="Q14" t="str">
        <x:f>IF(O14="","",IF(O14&lt;TODAY(),"YES","NO"))</x:f>
      </x:c>
    </x:row>
    <x:row r="15" ht="18" hidden="0" customHeight="1">
      <x:c r="B15" s="7" t="s">
        <x:v>64</x:v>
      </x:c>
      <x:c r="C15" s="8" t="s">
        <x:v>65</x:v>
      </x:c>
      <x:c r="D15" s="8" t="s">
        <x:v>55</x:v>
      </x:c>
      <x:c r="E15" s="7" t="s">
        <x:v>66</x:v>
      </x:c>
      <x:c r="F15" s="7" t="s">
        <x:v>67</x:v>
      </x:c>
      <x:c r="G15" s="7" t="s">
        <x:v>58</x:v>
      </x:c>
      <x:c r="H15" s="7" t="s">
        <x:v>68</x:v>
      </x:c>
      <x:c r="I15" s="7" t="s">
        <x:v>60</x:v>
      </x:c>
      <x:c r="J15" s="7"/>
      <x:c r="K15" s="7"/>
      <x:c r="L15" s="7"/>
      <x:c r="M15" s="7"/>
      <x:c r="N15" s="65"/>
      <x:c r="O15" s="65" t="str">
        <x:f>IF(N15="","",N15+IF(G15="D",1,IF(G15="W",7,IF(G15="M",30,IF(G15="Q",91,IF(G15="A",365,IF(G15="6M",182,30)))))))</x:f>
      </x:c>
      <x:c r="Q15" t="str">
        <x:f>IF(O15="","",IF(O15&lt;TODAY(),"YES","NO"))</x:f>
      </x:c>
    </x:row>
    <x:row r="16" ht="18" hidden="0" customHeight="1">
      <x:c r="B16" s="7" t="s">
        <x:v>69</x:v>
      </x:c>
      <x:c r="C16" s="8" t="s">
        <x:v>70</x:v>
      </x:c>
      <x:c r="D16" s="8" t="s">
        <x:v>71</x:v>
      </x:c>
      <x:c r="E16" s="7" t="s">
        <x:v>72</x:v>
      </x:c>
      <x:c r="F16" s="7" t="s">
        <x:v>36</x:v>
      </x:c>
      <x:c r="G16" s="7" t="s">
        <x:v>23</x:v>
      </x:c>
      <x:c r="H16" s="7" t="s">
        <x:v>73</x:v>
      </x:c>
      <x:c r="I16" s="7" t="s">
        <x:v>25</x:v>
      </x:c>
      <x:c r="J16" s="7"/>
      <x:c r="K16" s="7"/>
      <x:c r="L16" s="7"/>
      <x:c r="M16" s="7"/>
      <x:c r="N16" s="65"/>
      <x:c r="O16" s="65" t="str">
        <x:f>IF(N16="","",N16+IF(G16="D",1,IF(G16="W",7,IF(G16="M",30,IF(G16="Q",91,IF(G16="A",365,IF(G16="6M",182,30)))))))</x:f>
      </x:c>
      <x:c r="Q16" t="str">
        <x:f>IF(O16="","",IF(O16&lt;TODAY(),"YES","NO"))</x:f>
      </x:c>
    </x:row>
    <x:row r="17" ht="18" hidden="0" customHeight="1">
      <x:c r="B17" s="7" t="s">
        <x:v>74</x:v>
      </x:c>
      <x:c r="C17" s="8" t="s">
        <x:v>75</x:v>
      </x:c>
      <x:c r="D17" s="8" t="s">
        <x:v>76</x:v>
      </x:c>
      <x:c r="E17" s="7" t="s">
        <x:v>77</x:v>
      </x:c>
      <x:c r="F17" s="7" t="s">
        <x:v>78</x:v>
      </x:c>
      <x:c r="G17" s="7" t="s">
        <x:v>79</x:v>
      </x:c>
      <x:c r="H17" s="7" t="s">
        <x:v>80</x:v>
      </x:c>
      <x:c r="I17" s="7" t="s">
        <x:v>81</x:v>
      </x:c>
      <x:c r="J17" s="7"/>
      <x:c r="K17" s="7"/>
      <x:c r="L17" s="7"/>
      <x:c r="M17" s="7"/>
      <x:c r="N17" s="65"/>
      <x:c r="O17" s="65" t="str">
        <x:f>IF(N17="","",N17+IF(G17="D",1,IF(G17="W",7,IF(G17="M",30,IF(G17="Q",91,IF(G17="A",365,IF(G17="6M",182,30)))))))</x:f>
      </x:c>
      <x:c r="Q17" t="str">
        <x:f>IF(O17="","",IF(O17&lt;TODAY(),"YES","NO"))</x:f>
      </x:c>
    </x:row>
    <x:row r="18" ht="18" hidden="0" customHeight="1">
      <x:c r="B18" s="7" t="s">
        <x:v>82</x:v>
      </x:c>
      <x:c r="C18" s="8" t="s">
        <x:v>83</x:v>
      </x:c>
      <x:c r="D18" s="8" t="s">
        <x:v>84</x:v>
      </x:c>
      <x:c r="E18" s="7" t="s">
        <x:v>85</x:v>
      </x:c>
      <x:c r="F18" s="7" t="s">
        <x:v>86</x:v>
      </x:c>
      <x:c r="G18" s="7" t="s">
        <x:v>47</x:v>
      </x:c>
      <x:c r="H18" s="7" t="s">
        <x:v>87</x:v>
      </x:c>
      <x:c r="I18" s="7" t="s">
        <x:v>60</x:v>
      </x:c>
      <x:c r="J18" s="7"/>
      <x:c r="K18" s="7"/>
      <x:c r="L18" s="7"/>
      <x:c r="M18" s="7"/>
      <x:c r="N18" s="65"/>
      <x:c r="O18" s="65" t="str">
        <x:f>IF(N18="","",N18+IF(G18="D",1,IF(G18="W",7,IF(G18="M",30,IF(G18="Q",91,IF(G18="A",365,IF(G18="6M",182,30)))))))</x:f>
      </x:c>
      <x:c r="Q18" t="str">
        <x:f>IF(O18="","",IF(O18&lt;TODAY(),"YES","NO"))</x:f>
      </x:c>
    </x:row>
    <x:row r="19" ht="18" hidden="0" customHeight="1">
      <x:c r="B19" s="7" t="s">
        <x:v>88</x:v>
      </x:c>
      <x:c r="C19" s="8" t="s">
        <x:v>89</x:v>
      </x:c>
      <x:c r="D19" s="8" t="s">
        <x:v>90</x:v>
      </x:c>
      <x:c r="E19" s="7" t="s">
        <x:v>91</x:v>
      </x:c>
      <x:c r="F19" s="7" t="s">
        <x:v>92</x:v>
      </x:c>
      <x:c r="G19" s="7" t="s">
        <x:v>51</x:v>
      </x:c>
      <x:c r="H19" s="7" t="s">
        <x:v>93</x:v>
      </x:c>
      <x:c r="I19" s="7" t="s">
        <x:v>25</x:v>
      </x:c>
      <x:c r="J19" s="7"/>
      <x:c r="K19" s="7"/>
      <x:c r="L19" s="7"/>
      <x:c r="M19" s="7"/>
    </x:row>
    <x:row r="20" ht="18" hidden="0" customHeight="1">
      <x:c r="B20" s="9"/>
      <x:c r="C20" s="9"/>
      <x:c r="D20" s="9"/>
      <x:c r="E20" s="9"/>
      <x:c r="F20" s="9"/>
      <x:c r="G20" s="9"/>
      <x:c r="H20" s="9"/>
      <x:c r="I20" s="9"/>
      <x:c r="J20" s="9"/>
      <x:c r="K20" s="9"/>
      <x:c r="L20" s="9"/>
      <x:c r="M20" s="9"/>
    </x:row>
    <x:row r="21" ht="18" hidden="0" customHeight="1">
      <x:c r="B21" s="9"/>
      <x:c r="C21" s="9"/>
      <x:c r="D21" s="9"/>
      <x:c r="E21" s="9"/>
      <x:c r="F21" s="9"/>
      <x:c r="G21" s="9"/>
      <x:c r="H21" s="9"/>
      <x:c r="I21" s="9"/>
      <x:c r="J21" s="9"/>
      <x:c r="K21" s="9"/>
      <x:c r="L21" s="9"/>
      <x:c r="M21" s="9"/>
    </x:row>
    <x:row r="22" ht="18" hidden="0" customHeight="1">
      <x:c r="B22" s="9"/>
      <x:c r="C22" s="9"/>
      <x:c r="D22" s="9"/>
      <x:c r="E22" s="9"/>
      <x:c r="F22" s="9"/>
      <x:c r="G22" s="9"/>
      <x:c r="H22" s="9"/>
      <x:c r="I22" s="9"/>
      <x:c r="J22" s="9"/>
      <x:c r="K22" s="9"/>
      <x:c r="L22" s="9"/>
      <x:c r="M22" s="9"/>
    </x:row>
    <x:row r="23" ht="18" hidden="0" customHeight="1">
      <x:c r="B23" s="9"/>
      <x:c r="C23" s="9"/>
      <x:c r="D23" s="9"/>
      <x:c r="E23" s="9"/>
      <x:c r="F23" s="9"/>
      <x:c r="G23" s="9"/>
      <x:c r="H23" s="9"/>
      <x:c r="I23" s="9"/>
      <x:c r="J23" s="9"/>
      <x:c r="K23" s="9"/>
      <x:c r="L23" s="9"/>
      <x:c r="M23" s="9"/>
    </x:row>
    <x:row r="24" ht="18" hidden="0" customHeight="1">
      <x:c r="B24" s="9"/>
      <x:c r="C24" s="9"/>
      <x:c r="D24" s="9"/>
      <x:c r="E24" s="9"/>
      <x:c r="F24" s="9"/>
      <x:c r="G24" s="9"/>
      <x:c r="H24" s="9"/>
      <x:c r="I24" s="9"/>
      <x:c r="J24" s="9"/>
      <x:c r="K24" s="9"/>
      <x:c r="L24" s="9"/>
      <x:c r="M24" s="9"/>
    </x:row>
    <x:row r="25" ht="18" hidden="0" customHeight="1">
      <x:c r="B25" s="9"/>
      <x:c r="C25" s="9"/>
      <x:c r="D25" s="9"/>
      <x:c r="E25" s="9"/>
      <x:c r="F25" s="9"/>
      <x:c r="G25" s="9"/>
      <x:c r="H25" s="9"/>
      <x:c r="I25" s="9"/>
      <x:c r="J25" s="9"/>
      <x:c r="K25" s="9"/>
      <x:c r="L25" s="9"/>
      <x:c r="M25" s="9"/>
    </x:row>
    <x:row r="26" ht="18" hidden="0" customHeight="1">
      <x:c r="B26" s="9"/>
      <x:c r="C26" s="9"/>
      <x:c r="D26" s="9"/>
      <x:c r="E26" s="9"/>
      <x:c r="F26" s="9"/>
      <x:c r="G26" s="9"/>
      <x:c r="H26" s="9"/>
      <x:c r="I26" s="9"/>
      <x:c r="J26" s="9"/>
      <x:c r="K26" s="9"/>
      <x:c r="L26" s="9"/>
      <x:c r="M26" s="9"/>
    </x:row>
    <x:row r="27" ht="18" hidden="0" customHeight="1"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9"/>
      <x:c r="M27" s="9"/>
    </x:row>
    <x:row r="28" ht="18" hidden="0" customHeight="1">
      <x:c r="B28" s="9"/>
      <x:c r="C28" s="9"/>
      <x:c r="D28" s="9"/>
      <x:c r="E28" s="9"/>
      <x:c r="F28" s="9"/>
      <x:c r="G28" s="9"/>
      <x:c r="H28" s="9"/>
      <x:c r="I28" s="9"/>
      <x:c r="J28" s="9"/>
      <x:c r="K28" s="9"/>
      <x:c r="L28" s="9"/>
      <x:c r="M28" s="9"/>
    </x:row>
    <x:row r="29" ht="18" hidden="0" customHeight="1">
      <x:c r="B29" s="9"/>
      <x:c r="C29" s="9"/>
      <x:c r="D29" s="9"/>
      <x:c r="E29" s="9"/>
      <x:c r="F29" s="9"/>
      <x:c r="G29" s="9"/>
      <x:c r="H29" s="9"/>
      <x:c r="I29" s="9"/>
      <x:c r="J29" s="9"/>
      <x:c r="K29" s="9"/>
      <x:c r="L29" s="9"/>
      <x:c r="M29" s="9"/>
    </x:row>
    <x:row r="30" ht="18" hidden="0" customHeight="1">
      <x:c r="B30" s="9"/>
      <x:c r="C30" s="9"/>
      <x:c r="D30" s="9"/>
      <x:c r="E30" s="9"/>
      <x:c r="F30" s="9"/>
      <x:c r="G30" s="9"/>
      <x:c r="H30" s="9"/>
      <x:c r="I30" s="9"/>
      <x:c r="J30" s="9"/>
      <x:c r="K30" s="9"/>
      <x:c r="L30" s="9"/>
      <x:c r="M30" s="9"/>
    </x:row>
    <x:row r="31" ht="18" hidden="0" customHeight="1">
      <x:c r="B31" s="9"/>
      <x:c r="C31" s="9"/>
      <x:c r="D31" s="9"/>
      <x:c r="E31" s="9"/>
      <x:c r="F31" s="9"/>
      <x:c r="G31" s="9"/>
      <x:c r="H31" s="9"/>
      <x:c r="I31" s="9"/>
      <x:c r="J31" s="9"/>
      <x:c r="K31" s="9"/>
      <x:c r="L31" s="9"/>
      <x:c r="M31" s="9"/>
    </x:row>
    <x:row r="32" ht="18" hidden="0" customHeight="1">
      <x:c r="B32" s="9"/>
      <x:c r="C32" s="9"/>
      <x:c r="D32" s="9"/>
      <x:c r="E32" s="9"/>
      <x:c r="F32" s="9"/>
      <x:c r="G32" s="9"/>
      <x:c r="H32" s="9"/>
      <x:c r="I32" s="9"/>
      <x:c r="J32" s="9"/>
      <x:c r="K32" s="9"/>
      <x:c r="L32" s="9"/>
      <x:c r="M32" s="9"/>
    </x:row>
    <x:row r="33" ht="18" hidden="0" customHeight="1"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9"/>
      <x:c r="M33" s="9"/>
    </x:row>
    <x:row r="34" ht="18" hidden="0" customHeight="1">
      <x:c r="B34" s="9"/>
      <x:c r="C34" s="9"/>
      <x:c r="D34" s="9"/>
      <x:c r="E34" s="9"/>
      <x:c r="F34" s="9"/>
      <x:c r="G34" s="9"/>
      <x:c r="H34" s="9"/>
      <x:c r="I34" s="9"/>
      <x:c r="J34" s="9"/>
      <x:c r="K34" s="9"/>
      <x:c r="L34" s="9"/>
      <x:c r="M34" s="9"/>
    </x:row>
    <x:row r="35" ht="18" hidden="0" customHeight="1"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9"/>
      <x:c r="M35" s="9"/>
    </x:row>
    <x:row r="36" ht="18" hidden="0" customHeight="1">
      <x:c r="B36" s="9"/>
      <x:c r="C36" s="9"/>
      <x:c r="D36" s="9"/>
      <x:c r="E36" s="9"/>
      <x:c r="F36" s="9"/>
      <x:c r="G36" s="9"/>
      <x:c r="H36" s="9"/>
      <x:c r="I36" s="9"/>
      <x:c r="J36" s="9"/>
      <x:c r="K36" s="9"/>
      <x:c r="L36" s="9"/>
      <x:c r="M36" s="9"/>
    </x:row>
    <x:row r="37" ht="18" hidden="0" customHeight="1">
      <x:c r="B37" s="9"/>
      <x:c r="C37" s="9"/>
      <x:c r="D37" s="9"/>
      <x:c r="E37" s="9"/>
      <x:c r="F37" s="9"/>
      <x:c r="G37" s="9"/>
      <x:c r="H37" s="9"/>
      <x:c r="I37" s="9"/>
      <x:c r="J37" s="9"/>
      <x:c r="K37" s="9"/>
      <x:c r="L37" s="9"/>
      <x:c r="M37" s="9"/>
    </x:row>
    <x:row r="38" ht="18" hidden="0" customHeight="1">
      <x:c r="B38" s="9"/>
      <x:c r="C38" s="9"/>
      <x:c r="D38" s="9"/>
      <x:c r="E38" s="9"/>
      <x:c r="F38" s="9"/>
      <x:c r="G38" s="9"/>
      <x:c r="H38" s="9"/>
      <x:c r="I38" s="9"/>
      <x:c r="J38" s="9"/>
      <x:c r="K38" s="9"/>
      <x:c r="L38" s="9"/>
      <x:c r="M38" s="9"/>
    </x:row>
    <x:row r="39" ht="18" hidden="0" customHeight="1">
      <x:c r="B39" s="9"/>
      <x:c r="C39" s="9"/>
      <x:c r="D39" s="9"/>
      <x:c r="E39" s="9"/>
      <x:c r="F39" s="9"/>
      <x:c r="G39" s="9"/>
      <x:c r="H39" s="9"/>
      <x:c r="I39" s="9"/>
      <x:c r="J39" s="9"/>
      <x:c r="K39" s="9"/>
      <x:c r="L39" s="9"/>
      <x:c r="M39" s="9"/>
    </x:row>
    <x:row r="40" ht="18" hidden="0" customHeight="1">
      <x:c r="B40" s="9"/>
      <x:c r="C40" s="9"/>
      <x:c r="D40" s="9"/>
      <x:c r="E40" s="9"/>
      <x:c r="F40" s="9"/>
      <x:c r="G40" s="9"/>
      <x:c r="H40" s="9"/>
      <x:c r="I40" s="9"/>
      <x:c r="J40" s="9"/>
      <x:c r="K40" s="9"/>
      <x:c r="L40" s="9"/>
      <x:c r="M40" s="9"/>
    </x:row>
    <x:row r="41" ht="18" hidden="0" customHeight="1">
      <x:c r="B41" s="9"/>
      <x:c r="C41" s="9"/>
      <x:c r="D41" s="9"/>
      <x:c r="E41" s="9"/>
      <x:c r="F41" s="9"/>
      <x:c r="G41" s="9"/>
      <x:c r="H41" s="9"/>
      <x:c r="I41" s="9"/>
      <x:c r="J41" s="9"/>
      <x:c r="K41" s="9"/>
      <x:c r="L41" s="9"/>
      <x:c r="M41" s="9"/>
    </x:row>
    <x:row r="42" ht="18" hidden="0" customHeight="1">
      <x:c r="B42" s="9"/>
      <x:c r="C42" s="9"/>
      <x:c r="D42" s="9"/>
      <x:c r="E42" s="9"/>
      <x:c r="F42" s="9"/>
      <x:c r="G42" s="9"/>
      <x:c r="H42" s="9"/>
      <x:c r="I42" s="9"/>
      <x:c r="J42" s="9"/>
      <x:c r="K42" s="9"/>
      <x:c r="L42" s="9"/>
      <x:c r="M42" s="9"/>
    </x:row>
    <x:row r="43" ht="18" hidden="0" customHeight="1">
      <x:c r="B43" s="9"/>
      <x:c r="C43" s="9"/>
      <x:c r="D43" s="9"/>
      <x:c r="E43" s="9"/>
      <x:c r="F43" s="9"/>
      <x:c r="G43" s="9"/>
      <x:c r="H43" s="9"/>
      <x:c r="I43" s="9"/>
      <x:c r="J43" s="9"/>
      <x:c r="K43" s="9"/>
      <x:c r="L43" s="9"/>
      <x:c r="M43" s="9"/>
    </x:row>
    <x:row r="44" ht="18" hidden="0" customHeight="1">
      <x:c r="B44" s="9"/>
      <x:c r="C44" s="9"/>
      <x:c r="D44" s="9"/>
      <x:c r="E44" s="9"/>
      <x:c r="F44" s="9"/>
      <x:c r="G44" s="9"/>
      <x:c r="H44" s="9"/>
      <x:c r="I44" s="9"/>
      <x:c r="J44" s="9"/>
      <x:c r="K44" s="9"/>
      <x:c r="L44" s="9"/>
      <x:c r="M44" s="9"/>
    </x:row>
    <x:row r="45" ht="18" hidden="0" customHeight="1">
      <x:c r="B45" s="9"/>
      <x:c r="C45" s="9"/>
      <x:c r="D45" s="9"/>
      <x:c r="E45" s="9"/>
      <x:c r="F45" s="9"/>
      <x:c r="G45" s="9"/>
      <x:c r="H45" s="9"/>
      <x:c r="I45" s="9"/>
      <x:c r="J45" s="9"/>
      <x:c r="K45" s="9"/>
      <x:c r="L45" s="9"/>
      <x:c r="M45" s="9"/>
    </x:row>
    <x:row r="46" ht="18" hidden="0" customHeight="1">
      <x:c r="B46" s="9"/>
      <x:c r="C46" s="9"/>
      <x:c r="D46" s="9"/>
      <x:c r="E46" s="9"/>
      <x:c r="F46" s="9"/>
      <x:c r="G46" s="9"/>
      <x:c r="H46" s="9"/>
      <x:c r="I46" s="9"/>
      <x:c r="J46" s="9"/>
      <x:c r="K46" s="9"/>
      <x:c r="L46" s="9"/>
      <x:c r="M46" s="9"/>
    </x:row>
    <x:row r="47" ht="18" hidden="0" customHeight="1">
      <x:c r="B47" s="9"/>
      <x:c r="C47" s="9"/>
      <x:c r="D47" s="9"/>
      <x:c r="E47" s="9"/>
      <x:c r="F47" s="9"/>
      <x:c r="G47" s="9"/>
      <x:c r="H47" s="9"/>
      <x:c r="I47" s="9"/>
      <x:c r="J47" s="9"/>
      <x:c r="K47" s="9"/>
      <x:c r="L47" s="9"/>
      <x:c r="M47" s="9"/>
    </x:row>
    <x:row r="48" ht="18" hidden="0" customHeight="1">
      <x:c r="B48" s="9"/>
      <x:c r="C48" s="9"/>
      <x:c r="D48" s="9"/>
      <x:c r="E48" s="9"/>
      <x:c r="F48" s="9"/>
      <x:c r="G48" s="9"/>
      <x:c r="H48" s="9"/>
      <x:c r="I48" s="9"/>
      <x:c r="J48" s="9"/>
      <x:c r="K48" s="9"/>
      <x:c r="L48" s="9"/>
      <x:c r="M48" s="9"/>
    </x:row>
    <x:row r="49" ht="18" hidden="0" customHeight="1">
      <x:c r="B49" s="9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9"/>
    </x:row>
    <x:row r="50" ht="18" hidden="0" customHeight="1">
      <x:c r="B50" s="9"/>
      <x:c r="C50" s="9"/>
      <x:c r="D50" s="9"/>
      <x:c r="E50" s="9"/>
      <x:c r="F50" s="9"/>
      <x:c r="G50" s="9"/>
      <x:c r="H50" s="9"/>
      <x:c r="I50" s="9"/>
      <x:c r="J50" s="9"/>
      <x:c r="K50" s="9"/>
      <x:c r="L50" s="9"/>
      <x:c r="M50" s="9"/>
    </x:row>
    <x:row r="51" ht="18" hidden="0" customHeight="1">
      <x:c r="B51" s="9"/>
      <x:c r="C51" s="9"/>
      <x:c r="D51" s="9"/>
      <x:c r="E51" s="9"/>
      <x:c r="F51" s="9"/>
      <x:c r="G51" s="9"/>
      <x:c r="H51" s="9"/>
      <x:c r="I51" s="9"/>
      <x:c r="J51" s="9"/>
      <x:c r="K51" s="9"/>
      <x:c r="L51" s="9"/>
      <x:c r="M51" s="9"/>
    </x:row>
    <x:row r="52" ht="18" hidden="0" customHeight="1">
      <x:c r="B52" s="9"/>
      <x:c r="C52" s="9"/>
      <x:c r="D52" s="9"/>
      <x:c r="E52" s="9"/>
      <x:c r="F52" s="9"/>
      <x:c r="G52" s="9"/>
      <x:c r="H52" s="9"/>
      <x:c r="I52" s="9"/>
      <x:c r="J52" s="9"/>
      <x:c r="K52" s="9"/>
      <x:c r="L52" s="9"/>
      <x:c r="M52" s="9"/>
    </x:row>
    <x:row r="53" ht="18" hidden="0" customHeight="1">
      <x:c r="B53" s="9"/>
      <x:c r="C53" s="9"/>
      <x:c r="D53" s="9"/>
      <x:c r="E53" s="9"/>
      <x:c r="F53" s="9"/>
      <x:c r="G53" s="9"/>
      <x:c r="H53" s="9"/>
      <x:c r="I53" s="9"/>
      <x:c r="J53" s="9"/>
      <x:c r="K53" s="9"/>
      <x:c r="L53" s="9"/>
      <x:c r="M53" s="9"/>
    </x:row>
    <x:row r="54" ht="18" hidden="0" customHeight="1">
      <x:c r="B54" s="9"/>
      <x:c r="C54" s="9"/>
      <x:c r="D54" s="9"/>
      <x:c r="E54" s="9"/>
      <x:c r="F54" s="9"/>
      <x:c r="G54" s="9"/>
      <x:c r="H54" s="9"/>
      <x:c r="I54" s="9"/>
      <x:c r="J54" s="9"/>
      <x:c r="K54" s="9"/>
      <x:c r="L54" s="9"/>
      <x:c r="M54" s="9"/>
    </x:row>
    <x:row r="55" ht="18" hidden="0" customHeight="1">
      <x:c r="B55" s="9"/>
      <x:c r="C55" s="9"/>
      <x:c r="D55" s="9"/>
      <x:c r="E55" s="9"/>
      <x:c r="F55" s="9"/>
      <x:c r="G55" s="9"/>
      <x:c r="H55" s="9"/>
      <x:c r="I55" s="9"/>
      <x:c r="J55" s="9"/>
      <x:c r="K55" s="9"/>
      <x:c r="L55" s="9"/>
      <x:c r="M55" s="9"/>
    </x:row>
  </x:sheetData>
  <x:mergeCells>
    <x:mergeCell ref="B2:M2"/>
    <x:mergeCell ref="B3:L3"/>
  </x:mergeCells>
  <x:conditionalFormatting sqref="Q6:Q18">
    <x:cfRule type="cellIs" dxfId="5" priority="1">
      <x:formula>"YES"</x:formula>
    </x:cfRule>
  </x:conditionalFormatting>
  <x:dataValidations count="4">
    <x:dataValidation type="list" errorStyle="stop" operator="between" allowBlank="1" showDropDown="0" showInputMessage="0" showErrorMessage="0" sqref="G6:G105">
      <x:formula1>"D,W,M,Q,A,6M"</x:formula1>
      <x:formula2>0</x:formula2>
    </x:dataValidation>
    <x:dataValidation type="list" errorStyle="stop" operator="between" allowBlank="1" showDropDown="0" showInputMessage="0" showErrorMessage="0" sqref="I6:I105">
      <x:formula1>"Grease gun,Oil can,Drip feed,Splash,Pressure,Spray,Manual"</x:formula1>
      <x:formula2>0</x:formula2>
    </x:dataValidation>
    <x:dataValidation type="list" sqref="P6:P18">
      <x:formula1>"Yes,No,Partial,N/A"</x:formula1>
    </x:dataValidation>
    <x:dataValidation type="list" sqref="Q6:Q18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7950B"/>
  </x:sheetPr>
  <x:sheetViews>
    <x:sheetView showGridLines="0" workbookViewId="0"/>
  </x:sheetViews>
  <x:sheetFormatPr defaultColWidth="8.6796875" defaultRowHeight="15"/>
  <x:cols>
    <x:col min="1" max="1" width="2" hidden="0" customWidth="1"/>
    <x:col min="2" max="2" width="24" hidden="0" customWidth="1"/>
    <x:col min="3" max="3" width="18" hidden="0" customWidth="1"/>
    <x:col min="4" max="4" width="16" hidden="0" customWidth="1"/>
    <x:col min="5" max="5" width="14" hidden="0" customWidth="1"/>
    <x:col min="6" max="6" width="12" hidden="0" customWidth="1"/>
    <x:col min="7" max="7" width="14" hidden="0" customWidth="1"/>
    <x:col min="8" max="8" width="16" hidden="0" customWidth="1"/>
    <x:col min="9" max="9" width="2" hidden="0" customWidth="1"/>
  </x:cols>
  <x:sheetData>
    <x:row r="2" ht="36" hidden="0" customHeight="1">
      <x:c r="A2" s="1"/>
      <x:c r="B2" s="10" t="s">
        <x:v>94</x:v>
      </x:c>
      <x:c r="C2" s="10"/>
      <x:c r="D2" s="10"/>
      <x:c r="E2" s="10"/>
      <x:c r="F2" s="10"/>
      <x:c r="G2" s="10"/>
      <x:c r="H2" s="10"/>
      <x:c r="I2" s="1"/>
    </x:row>
    <x:row r="3" ht="18" hidden="0" customHeight="1">
      <x:c r="B3" s="3" t="s">
        <x:v>95</x:v>
      </x:c>
      <x:c r="C3" s="3"/>
      <x:c r="D3" s="3"/>
      <x:c r="E3" s="3"/>
      <x:c r="F3" s="3"/>
      <x:c r="G3" s="3"/>
    </x:row>
    <x:row r="4" ht="21.75" hidden="0" customHeight="1">
      <x:c r="B4" s="6" t="s">
        <x:v>96</x:v>
      </x:c>
      <x:c r="C4" s="6" t="s">
        <x:v>97</x:v>
      </x:c>
      <x:c r="D4" s="6" t="s">
        <x:v>98</x:v>
      </x:c>
      <x:c r="E4" s="6" t="s">
        <x:v>99</x:v>
      </x:c>
      <x:c r="F4" s="6" t="s">
        <x:v>100</x:v>
      </x:c>
      <x:c r="G4" s="6" t="s">
        <x:v>101</x:v>
      </x:c>
      <x:c r="H4" s="6" t="s">
        <x:v>102</x:v>
      </x:c>
    </x:row>
    <x:row r="5" ht="18" hidden="0" customHeight="1">
      <x:c r="B5" s="8" t="s">
        <x:v>103</x:v>
      </x:c>
      <x:c r="C5" s="8" t="s">
        <x:v>104</x:v>
      </x:c>
      <x:c r="D5" s="8" t="s">
        <x:v>105</x:v>
      </x:c>
      <x:c r="E5" s="7" t="s">
        <x:v>106</x:v>
      </x:c>
      <x:c r="F5" s="7" t="s">
        <x:v>107</x:v>
      </x:c>
      <x:c r="G5" s="7" t="s">
        <x:v>108</x:v>
      </x:c>
      <x:c r="H5" s="7"/>
    </x:row>
    <x:row r="6" ht="18" hidden="0" customHeight="1">
      <x:c r="B6" s="8" t="s">
        <x:v>109</x:v>
      </x:c>
      <x:c r="C6" s="8" t="s">
        <x:v>104</x:v>
      </x:c>
      <x:c r="D6" s="8" t="s">
        <x:v>110</x:v>
      </x:c>
      <x:c r="E6" s="7" t="s">
        <x:v>111</x:v>
      </x:c>
      <x:c r="F6" s="7" t="s">
        <x:v>107</x:v>
      </x:c>
      <x:c r="G6" s="7" t="s">
        <x:v>112</x:v>
      </x:c>
      <x:c r="H6" s="7"/>
    </x:row>
    <x:row r="7" ht="18" hidden="0" customHeight="1">
      <x:c r="B7" s="8" t="s">
        <x:v>113</x:v>
      </x:c>
      <x:c r="C7" s="8" t="s">
        <x:v>114</x:v>
      </x:c>
      <x:c r="D7" s="8" t="s">
        <x:v>115</x:v>
      </x:c>
      <x:c r="E7" s="7" t="s">
        <x:v>116</x:v>
      </x:c>
      <x:c r="F7" s="7" t="s">
        <x:v>117</x:v>
      </x:c>
      <x:c r="G7" s="7" t="s">
        <x:v>118</x:v>
      </x:c>
      <x:c r="H7" s="7"/>
    </x:row>
    <x:row r="8" ht="18" hidden="0" customHeight="1">
      <x:c r="B8" s="8" t="s">
        <x:v>119</x:v>
      </x:c>
      <x:c r="C8" s="8" t="s">
        <x:v>120</x:v>
      </x:c>
      <x:c r="D8" s="8" t="s">
        <x:v>121</x:v>
      </x:c>
      <x:c r="E8" s="7" t="s">
        <x:v>122</x:v>
      </x:c>
      <x:c r="F8" s="7" t="s">
        <x:v>117</x:v>
      </x:c>
      <x:c r="G8" s="7" t="s">
        <x:v>123</x:v>
      </x:c>
      <x:c r="H8" s="7"/>
    </x:row>
    <x:row r="9" ht="18" hidden="0" customHeight="1">
      <x:c r="B9" s="8" t="s">
        <x:v>66</x:v>
      </x:c>
      <x:c r="C9" s="8" t="s">
        <x:v>124</x:v>
      </x:c>
      <x:c r="D9" s="8" t="s">
        <x:v>125</x:v>
      </x:c>
      <x:c r="E9" s="7" t="s">
        <x:v>126</x:v>
      </x:c>
      <x:c r="F9" s="7" t="s">
        <x:v>117</x:v>
      </x:c>
      <x:c r="G9" s="7" t="s">
        <x:v>123</x:v>
      </x:c>
      <x:c r="H9" s="7"/>
    </x:row>
    <x:row r="10" ht="18" hidden="0" customHeight="1">
      <x:c r="B10" s="8" t="s">
        <x:v>40</x:v>
      </x:c>
      <x:c r="C10" s="8" t="s">
        <x:v>127</x:v>
      </x:c>
      <x:c r="D10" s="8" t="s">
        <x:v>128</x:v>
      </x:c>
      <x:c r="E10" s="7" t="s">
        <x:v>129</x:v>
      </x:c>
      <x:c r="F10" s="7" t="s">
        <x:v>130</x:v>
      </x:c>
      <x:c r="G10" s="7" t="s">
        <x:v>112</x:v>
      </x:c>
      <x:c r="H10" s="7"/>
    </x:row>
    <x:row r="11" ht="18" hidden="0" customHeight="1">
      <x:c r="B11" s="8" t="s">
        <x:v>131</x:v>
      </x:c>
      <x:c r="C11" s="8" t="s">
        <x:v>132</x:v>
      </x:c>
      <x:c r="D11" s="8" t="s">
        <x:v>133</x:v>
      </x:c>
      <x:c r="E11" s="7" t="s">
        <x:v>134</x:v>
      </x:c>
      <x:c r="F11" s="7" t="s">
        <x:v>135</x:v>
      </x:c>
      <x:c r="G11" s="7" t="s">
        <x:v>136</x:v>
      </x:c>
      <x:c r="H11" s="7"/>
    </x:row>
    <x:row r="12" ht="18" hidden="0" customHeight="1">
      <x:c r="B12" s="8" t="s">
        <x:v>137</x:v>
      </x:c>
      <x:c r="C12" s="8" t="s">
        <x:v>104</x:v>
      </x:c>
      <x:c r="D12" s="8" t="s">
        <x:v>138</x:v>
      </x:c>
      <x:c r="E12" s="7" t="s">
        <x:v>139</x:v>
      </x:c>
      <x:c r="F12" s="7" t="s">
        <x:v>130</x:v>
      </x:c>
      <x:c r="G12" s="7" t="s">
        <x:v>112</x:v>
      </x:c>
      <x:c r="H12" s="7"/>
    </x:row>
    <x:row r="13" ht="18" hidden="0" customHeight="1">
      <x:c r="B13" s="8" t="s">
        <x:v>140</x:v>
      </x:c>
      <x:c r="C13" s="8" t="s">
        <x:v>34</x:v>
      </x:c>
      <x:c r="D13" s="8" t="s">
        <x:v>141</x:v>
      </x:c>
      <x:c r="E13" s="7" t="s">
        <x:v>142</x:v>
      </x:c>
      <x:c r="F13" s="7" t="s">
        <x:v>143</x:v>
      </x:c>
      <x:c r="G13" s="7" t="s">
        <x:v>144</x:v>
      </x:c>
      <x:c r="H13" s="7"/>
    </x:row>
    <x:row r="14" ht="18" hidden="0" customHeight="1">
      <x:c r="B14" s="5"/>
      <x:c r="C14" s="5"/>
      <x:c r="D14" s="5"/>
      <x:c r="E14" s="5"/>
      <x:c r="F14" s="5"/>
      <x:c r="G14" s="5"/>
      <x:c r="H14" s="5"/>
    </x:row>
    <x:row r="15" ht="18" hidden="0" customHeight="1">
      <x:c r="B15" s="5"/>
      <x:c r="C15" s="5"/>
      <x:c r="D15" s="5"/>
      <x:c r="E15" s="5"/>
      <x:c r="F15" s="5"/>
      <x:c r="G15" s="5"/>
      <x:c r="H15" s="5"/>
    </x:row>
    <x:row r="16" ht="18" hidden="0" customHeight="1">
      <x:c r="B16" s="5"/>
      <x:c r="C16" s="5"/>
      <x:c r="D16" s="5"/>
      <x:c r="E16" s="5"/>
      <x:c r="F16" s="5"/>
      <x:c r="G16" s="5"/>
      <x:c r="H16" s="5"/>
    </x:row>
    <x:row r="17" ht="18" hidden="0" customHeight="1">
      <x:c r="B17" s="5"/>
      <x:c r="C17" s="5"/>
      <x:c r="D17" s="5"/>
      <x:c r="E17" s="5"/>
      <x:c r="F17" s="5"/>
      <x:c r="G17" s="5"/>
      <x:c r="H17" s="5"/>
    </x:row>
    <x:row r="18" ht="18" hidden="0" customHeight="1">
      <x:c r="B18" s="5"/>
      <x:c r="C18" s="5"/>
      <x:c r="D18" s="5"/>
      <x:c r="E18" s="5"/>
      <x:c r="F18" s="5"/>
      <x:c r="G18" s="5"/>
      <x:c r="H18" s="5"/>
    </x:row>
    <x:row r="19" ht="18" hidden="0" customHeight="1">
      <x:c r="B19" s="5"/>
      <x:c r="C19" s="5"/>
      <x:c r="D19" s="5"/>
      <x:c r="E19" s="5"/>
      <x:c r="F19" s="5"/>
      <x:c r="G19" s="5"/>
      <x:c r="H19" s="5"/>
    </x:row>
    <x:row r="20" ht="18" hidden="0" customHeight="1">
      <x:c r="B20" s="5"/>
      <x:c r="C20" s="5"/>
      <x:c r="D20" s="5"/>
      <x:c r="E20" s="5"/>
      <x:c r="F20" s="5"/>
      <x:c r="G20" s="5"/>
      <x:c r="H20" s="5"/>
    </x:row>
    <x:row r="21" ht="18" hidden="0" customHeight="1">
      <x:c r="B21" s="5"/>
      <x:c r="C21" s="5"/>
      <x:c r="D21" s="5"/>
      <x:c r="E21" s="5"/>
      <x:c r="F21" s="5"/>
      <x:c r="G21" s="5"/>
      <x:c r="H21" s="5"/>
    </x:row>
    <x:row r="22" ht="18" hidden="0" customHeight="1">
      <x:c r="B22" s="5"/>
      <x:c r="C22" s="5"/>
      <x:c r="D22" s="5"/>
      <x:c r="E22" s="5"/>
      <x:c r="F22" s="5"/>
      <x:c r="G22" s="5"/>
      <x:c r="H22" s="5"/>
    </x:row>
    <x:row r="23" ht="18" hidden="0" customHeight="1">
      <x:c r="B23" s="5"/>
      <x:c r="C23" s="5"/>
      <x:c r="D23" s="5"/>
      <x:c r="E23" s="5"/>
      <x:c r="F23" s="5"/>
      <x:c r="G23" s="5"/>
      <x:c r="H23" s="5"/>
    </x:row>
    <x:row r="24" ht="18" hidden="0" customHeight="1">
      <x:c r="B24" s="5"/>
      <x:c r="C24" s="5"/>
      <x:c r="D24" s="5"/>
      <x:c r="E24" s="5"/>
      <x:c r="F24" s="5"/>
      <x:c r="G24" s="5"/>
      <x:c r="H24" s="5"/>
    </x:row>
  </x:sheetData>
  <x:mergeCells>
    <x:mergeCell ref="B2:H2"/>
    <x:mergeCell ref="B3:G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80" hidden="0" customWidth="1"/>
  </x:cols>
  <x:sheetData>
    <x:row r="1" ht="30" customHeight="1">
      <x:c r="A1" s="25" t="str">
        <x:v>Lubrication Schedule Template — PREMIUM UPGRADE GUIDE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</x:row>
    <x:row r="2" ht="32" customHeight="1">
      <x:c r="A2" s="32" t="str">
        <x:v>Original template preserved. Added premium sheets turn the file into a semi-automated maintenance management tool.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</x:row>
    <x:row r="4" ht="26" customHeight="1">
      <x:c r="A4" s="40" t="str">
        <x:v>Step</x:v>
      </x:c>
      <x:c r="B4" s="40" t="str">
        <x:v>What to do</x:v>
      </x:c>
      <x:c r="C4" s="40" t="str">
        <x:v>Outcome</x:v>
      </x:c>
    </x:row>
    <x:row r="5">
      <x:c r="A5" s="48" t="str">
        <x:v>1</x:v>
      </x:c>
      <x:c r="B5" s="48" t="str">
        <x:v>Enter field data</x:v>
      </x:c>
      <x:c r="C5" s="48" t="str">
        <x:v>Complete the original inspection/report sheet. Yellow cells and result columns are input fields.</x:v>
      </x:c>
    </x:row>
    <x:row r="6">
      <x:c r="A6" s="48" t="str">
        <x:v>2</x:v>
      </x:c>
      <x:c r="B6" s="48" t="str">
        <x:v>Use dropdowns</x:v>
      </x:c>
      <x:c r="C6" s="48" t="str">
        <x:v>Use standardised results, priority, status, criticality and RCA decision fields to keep data clean.</x:v>
      </x:c>
    </x:row>
    <x:row r="7">
      <x:c r="A7" s="48" t="str">
        <x:v>3</x:v>
      </x:c>
      <x:c r="B7" s="48" t="str">
        <x:v>Review dashboard</x:v>
      </x:c>
      <x:c r="C7" s="48" t="str">
        <x:v>Open the dashboard/summary sheet to view compliance, open actions, overdue actions and management risk indicators.</x:v>
      </x:c>
    </x:row>
    <x:row r="8">
      <x:c r="A8" s="48" t="str">
        <x:v>4</x:v>
      </x:c>
      <x:c r="B8" s="48" t="str">
        <x:v>Close actions</x:v>
      </x:c>
      <x:c r="C8" s="48" t="str">
        <x:v>Transfer defects/recommendations to the Action Tracker with owner, due date, status and verification evidence.</x:v>
      </x:c>
    </x:row>
    <x:row r="9">
      <x:c r="A9" s="48" t="str">
        <x:v>5</x:v>
      </x:c>
      <x:c r="B9" s="48" t="str">
        <x:v>Issue report</x:v>
      </x:c>
      <x:c r="C9" s="48" t="str">
        <x:v>Use the original form for site records and the added registers for meetings, audits and maintenance planning.</x:v>
      </x:c>
    </x:row>
    <x:row r="12">
      <x:c r="A12" s="52" t="str">
        <x:v>Upgrades Implemented</x:v>
      </x:c>
      <x:c r="B12" s="52"/>
      <x:c r="C12" s="52"/>
      <x:c r="D12" s="52"/>
      <x:c r="E12" s="52"/>
      <x:c r="F12" s="52"/>
      <x:c r="G12" s="52"/>
      <x:c r="H12" s="52"/>
      <x:c r="I12" s="52"/>
      <x:c r="J12" s="52"/>
      <x:c r="K12" s="52"/>
    </x:row>
    <x:row r="13">
      <x:c r="A13" s="56" t="str">
        <x:v>• Next due date, completion status and overdue logic added to the schedule.</x:v>
      </x:c>
      <x:c r="B13" s="56" t="str"/>
      <x:c r="C13" s="56" t="str"/>
      <x:c r="D13" s="56" t="str"/>
      <x:c r="E13" s="56" t="str"/>
      <x:c r="F13" s="56" t="str"/>
      <x:c r="G13" s="56" t="str"/>
      <x:c r="H13" s="56" t="str"/>
      <x:c r="I13" s="56" t="str"/>
      <x:c r="J13" s="56" t="str"/>
      <x:c r="K13" s="56" t="str"/>
    </x:row>
    <x:row r="14">
      <x:c r="A14" s="56" t="str">
        <x:v>• Lubricant stock/reorder tracker added with minimum stock and reorder alert.</x:v>
      </x:c>
      <x:c r="B14" s="56" t="str"/>
      <x:c r="C14" s="56" t="str"/>
      <x:c r="D14" s="56" t="str"/>
      <x:c r="E14" s="56" t="str"/>
      <x:c r="F14" s="56" t="str"/>
      <x:c r="G14" s="56" t="str"/>
      <x:c r="H14" s="56" t="str"/>
      <x:c r="I14" s="56" t="str"/>
      <x:c r="J14" s="56" t="str"/>
      <x:c r="K14" s="56" t="str"/>
    </x:row>
    <x:row r="15">
      <x:c r="A15" s="56" t="str">
        <x:v>• Route-based lubrication sheet added for technician execution.</x:v>
      </x:c>
      <x:c r="B15" s="56" t="str"/>
      <x:c r="C15" s="56" t="str"/>
      <x:c r="D15" s="56" t="str"/>
      <x:c r="E15" s="56" t="str"/>
      <x:c r="F15" s="56" t="str"/>
      <x:c r="G15" s="56" t="str"/>
      <x:c r="H15" s="56" t="str"/>
      <x:c r="I15" s="56" t="str"/>
      <x:c r="J15" s="56" t="str"/>
      <x:c r="K15" s="56" t="str"/>
    </x:row>
    <x:row r="16">
      <x:c r="A16" s="56" t="str">
        <x:v>• Monthly lubrication calendar added for planning due work.</x:v>
      </x:c>
      <x:c r="B16" s="56" t="str"/>
      <x:c r="C16" s="56" t="str"/>
      <x:c r="D16" s="56" t="str"/>
      <x:c r="E16" s="56" t="str"/>
      <x:c r="F16" s="56" t="str"/>
      <x:c r="G16" s="56" t="str"/>
      <x:c r="H16" s="56" t="str"/>
      <x:c r="I16" s="56" t="str"/>
      <x:c r="J16" s="56" t="str"/>
      <x:c r="K16" s="56" t="str"/>
    </x:row>
    <x:row r="17">
      <x:c r="A17" s="56" t="str">
        <x:v>• Compliance dashboard added for due, completed, overdue and low-stock indicators.</x:v>
      </x:c>
      <x:c r="B17" s="56" t="str"/>
      <x:c r="C17" s="56" t="str"/>
      <x:c r="D17" s="56" t="str"/>
      <x:c r="E17" s="56" t="str"/>
      <x:c r="F17" s="56" t="str"/>
      <x:c r="G17" s="56" t="str"/>
      <x:c r="H17" s="56" t="str"/>
      <x:c r="I17" s="56" t="str"/>
      <x:c r="J17" s="56" t="str"/>
      <x:c r="K17" s="56" t="str"/>
    </x:row>
  </x:sheetData>
  <x:mergeCells>
    <x:mergeCell ref="A1:K1"/>
    <x:mergeCell ref="A2:K2"/>
    <x:mergeCell ref="A13:K13"/>
    <x:mergeCell ref="A14:K14"/>
    <x:mergeCell ref="A15:K15"/>
    <x:mergeCell ref="A16:K16"/>
    <x:mergeCell ref="A17:K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59.5" hidden="0" customWidth="1"/>
    <x:col min="2" max="2" width="6.880000114440918" hidden="0" customWidth="1"/>
    <x:col min="3" max="3" width="6.630000114440918" hidden="0" customWidth="1"/>
    <x:col min="4" max="4" width="6.75" hidden="0" customWidth="1"/>
    <x:col min="5" max="5" width="12.630000114440918" hidden="0" customWidth="1"/>
    <x:col min="6" max="6" width="10.5" hidden="0" customWidth="1"/>
    <x:col min="7" max="7" width="4.630000114440918" hidden="0" customWidth="1"/>
    <x:col min="8" max="8" width="11" hidden="0" customWidth="1"/>
  </x:cols>
  <x:sheetData>
    <x:row r="1" ht="30" customHeight="1">
      <x:c r="A1" s="25" t="str">
        <x:v>CONTROL LISTS / DROPDOWNS</x:v>
      </x:c>
      <x:c r="B1" s="25"/>
      <x:c r="C1" s="25"/>
      <x:c r="D1" s="25"/>
      <x:c r="E1" s="25"/>
      <x:c r="F1" s="25"/>
      <x:c r="G1" s="25"/>
      <x:c r="H1" s="25"/>
    </x:row>
    <x:row r="2" ht="32" customHeight="1">
      <x:c r="A2" s="32" t="str">
        <x:v>Edit these lists if your site uses different status, priority, failure mode or criticality labels.</x:v>
      </x:c>
      <x:c r="B2" s="32"/>
      <x:c r="C2" s="32"/>
      <x:c r="D2" s="32"/>
      <x:c r="E2" s="32"/>
      <x:c r="F2" s="32"/>
      <x:c r="G2" s="32"/>
      <x:c r="H2" s="32"/>
    </x:row>
    <x:row r="4">
      <x:c r="A4" s="59" t="str">
        <x:v>Status</x:v>
      </x:c>
      <x:c r="B4" s="59" t="str">
        <x:v>Priority</x:v>
      </x:c>
      <x:c r="C4" s="59" t="str">
        <x:v>Result</x:v>
      </x:c>
      <x:c r="D4" s="59" t="str">
        <x:v>Severity</x:v>
      </x:c>
      <x:c r="E4" s="59" t="str">
        <x:v>Failure Mode</x:v>
      </x:c>
      <x:c r="F4" s="59" t="str">
        <x:v>Criticality</x:v>
      </x:c>
      <x:c r="G4" s="59" t="str">
        <x:v>Shift</x:v>
      </x:c>
      <x:c r="H4" s="59" t="str">
        <x:v>RCA Required</x:v>
      </x:c>
    </x:row>
    <x:row r="5">
      <x:c r="A5" t="str">
        <x:v>Open</x:v>
      </x:c>
      <x:c r="B5" t="str">
        <x:v>Critical</x:v>
      </x:c>
      <x:c r="C5" t="str">
        <x:v>✓</x:v>
      </x:c>
      <x:c r="D5" t="n">
        <x:v>1</x:v>
      </x:c>
      <x:c r="E5" t="str">
        <x:v>Mechanical</x:v>
      </x:c>
      <x:c r="F5" t="str">
        <x:v>A - Critical</x:v>
      </x:c>
      <x:c r="G5" t="str">
        <x:v>Day</x:v>
      </x:c>
      <x:c r="H5" t="str">
        <x:v>Yes</x:v>
      </x:c>
    </x:row>
    <x:row r="6">
      <x:c r="A6" t="str">
        <x:v>In Progress</x:v>
      </x:c>
      <x:c r="B6" t="str">
        <x:v>High</x:v>
      </x:c>
      <x:c r="C6" t="str">
        <x:v>✗</x:v>
      </x:c>
      <x:c r="D6" t="n">
        <x:v>2</x:v>
      </x:c>
      <x:c r="E6" t="str">
        <x:v>Electrical</x:v>
      </x:c>
      <x:c r="F6" t="str">
        <x:v>B - Important</x:v>
      </x:c>
      <x:c r="G6" t="str">
        <x:v>Night</x:v>
      </x:c>
      <x:c r="H6" t="str">
        <x:v>No</x:v>
      </x:c>
    </x:row>
    <x:row r="7">
      <x:c r="A7" t="str">
        <x:v>Complete</x:v>
      </x:c>
      <x:c r="B7" t="str">
        <x:v>Medium</x:v>
      </x:c>
      <x:c r="C7" t="str">
        <x:v>N/A</x:v>
      </x:c>
      <x:c r="D7" t="n">
        <x:v>3</x:v>
      </x:c>
      <x:c r="E7" t="str">
        <x:v>Lubrication</x:v>
      </x:c>
      <x:c r="F7" t="str">
        <x:v>C - General</x:v>
      </x:c>
      <x:c r="G7" t="str">
        <x:v>A</x:v>
      </x:c>
      <x:c r="H7" t="str">
        <x:v>TBC</x:v>
      </x:c>
    </x:row>
    <x:row r="8">
      <x:c r="A8" t="str">
        <x:v>Overdue</x:v>
      </x:c>
      <x:c r="B8" t="str">
        <x:v>Low</x:v>
      </x:c>
      <x:c r="C8" t="str">
        <x:v>Monitor</x:v>
      </x:c>
      <x:c r="D8" t="n">
        <x:v>4</x:v>
      </x:c>
      <x:c r="E8" t="str">
        <x:v>Hydraulic</x:v>
      </x:c>
      <x:c r="G8" t="str">
        <x:v>B</x:v>
      </x:c>
    </x:row>
    <x:row r="9">
      <x:c r="A9" t="str">
        <x:v>Deferred</x:v>
      </x:c>
      <x:c r="B9" t="str">
        <x:v>Monitor</x:v>
      </x:c>
      <x:c r="D9" t="n">
        <x:v>5</x:v>
      </x:c>
      <x:c r="E9" t="str">
        <x:v>Pneumatic</x:v>
      </x:c>
      <x:c r="G9" t="str">
        <x:v>C</x:v>
      </x:c>
    </x:row>
    <x:row r="10">
      <x:c r="A10" t="str">
        <x:v>Cancelled</x:v>
      </x:c>
      <x:c r="E10" t="str">
        <x:v>Instrumentation</x:v>
      </x:c>
      <x:c r="G10" t="str">
        <x:v>D</x:v>
      </x:c>
    </x:row>
    <x:row r="11">
      <x:c r="A11" t="str">
        <x:v>Verified</x:v>
      </x:c>
      <x:c r="E11" t="str">
        <x:v>Process</x:v>
      </x:c>
    </x:row>
    <x:row r="12">
      <x:c r="E12" t="str">
        <x:v>Operator</x:v>
      </x:c>
    </x:row>
    <x:row r="13">
      <x:c r="E13" t="str">
        <x:v>Design</x:v>
      </x:c>
    </x:row>
    <x:row r="14">
      <x:c r="E14" t="str">
        <x:v>Unknown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26" hidden="0" customWidth="1"/>
    <x:col min="5" max="5" width="13" hidden="0" customWidth="1"/>
    <x:col min="6" max="6" width="18" hidden="0" customWidth="1"/>
    <x:col min="7" max="7" width="13" hidden="0" customWidth="1"/>
    <x:col min="8" max="8" width="14" hidden="0" customWidth="1"/>
    <x:col min="9" max="9" width="13" hidden="0" customWidth="1"/>
    <x:col min="10" max="10" width="32" hidden="0" customWidth="1"/>
    <x:col min="11" max="11" width="12" hidden="0" customWidth="1"/>
  </x:cols>
  <x:sheetData>
    <x:row r="1" ht="30" customHeight="1">
      <x:c r="A1" s="25" t="str">
        <x:v>ACTION TRACKER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</x:row>
    <x:row r="2" ht="32" customHeight="1">
      <x:c r="A2" s="32" t="str">
        <x:v>Central register for defects, recommendations, close-out dates, and verification.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</x:row>
    <x:row r="4" ht="26" customHeight="1">
      <x:c r="A4" s="40" t="str">
        <x:v>Source/Sheet</x:v>
      </x:c>
      <x:c r="B4" s="40" t="str">
        <x:v>Asset / Equipment</x:v>
      </x:c>
      <x:c r="C4" s="40" t="str">
        <x:v>Finding / Defect</x:v>
      </x:c>
      <x:c r="D4" s="40" t="str">
        <x:v>Risk / Impact</x:v>
      </x:c>
      <x:c r="E4" s="40" t="str">
        <x:v>Priority</x:v>
      </x:c>
      <x:c r="F4" s="40" t="str">
        <x:v>Responsible Person</x:v>
      </x:c>
      <x:c r="G4" s="40" t="str">
        <x:v>Due Date</x:v>
      </x:c>
      <x:c r="H4" s="40" t="str">
        <x:v>Status</x:v>
      </x:c>
      <x:c r="I4" s="40" t="str">
        <x:v>Close-out Date</x:v>
      </x:c>
      <x:c r="J4" s="40" t="str">
        <x:v>Verification / Evidence</x:v>
      </x:c>
      <x:c r="K4" s="40" t="str">
        <x:v>Days Overdue</x:v>
      </x:c>
    </x:row>
    <x:row r="5">
      <x:c r="A5" s="48" t="str"/>
      <x:c r="B5" s="48" t="str"/>
      <x:c r="C5" s="48" t="str"/>
      <x:c r="D5" s="48" t="str"/>
      <x:c r="E5" s="48" t="str"/>
      <x:c r="F5" s="48" t="str"/>
      <x:c r="G5" s="61" t="str"/>
      <x:c r="H5" s="48" t="str">
        <x:v>Open</x:v>
      </x:c>
      <x:c r="I5" s="61" t="str"/>
      <x:c r="J5" s="48" t="str"/>
      <x:c r="K5" s="48" t="n">
        <x:f>IF(AND(G5&lt;&gt;"",H5&lt;&gt;"Complete",H5&lt;&gt;"Verified"),MAX(0,TODAY()-G5),0)</x:f>
        <x:v>0</x:v>
      </x:c>
    </x:row>
    <x:row r="6">
      <x:c r="A6" s="48" t="str"/>
      <x:c r="B6" s="48" t="str"/>
      <x:c r="C6" s="48" t="str"/>
      <x:c r="D6" s="48" t="str"/>
      <x:c r="E6" s="48" t="str"/>
      <x:c r="F6" s="48" t="str"/>
      <x:c r="G6" s="61" t="str"/>
      <x:c r="H6" s="48" t="str">
        <x:v>Open</x:v>
      </x:c>
      <x:c r="I6" s="61" t="str"/>
      <x:c r="J6" s="48" t="str"/>
      <x:c r="K6" s="48" t="n">
        <x:f>IF(AND(G6&lt;&gt;"",H6&lt;&gt;"Complete",H6&lt;&gt;"Verified"),MAX(0,TODAY()-G6),0)</x:f>
        <x:v>0</x:v>
      </x:c>
    </x:row>
    <x:row r="7">
      <x:c r="A7" s="48" t="str"/>
      <x:c r="B7" s="48" t="str"/>
      <x:c r="C7" s="48" t="str"/>
      <x:c r="D7" s="48" t="str"/>
      <x:c r="E7" s="48" t="str"/>
      <x:c r="F7" s="48" t="str"/>
      <x:c r="G7" s="61" t="str"/>
      <x:c r="H7" s="48" t="str">
        <x:v>Open</x:v>
      </x:c>
      <x:c r="I7" s="61" t="str"/>
      <x:c r="J7" s="48" t="str"/>
      <x:c r="K7" s="48" t="n">
        <x:f>IF(AND(G7&lt;&gt;"",H7&lt;&gt;"Complete",H7&lt;&gt;"Verified"),MAX(0,TODAY()-G7),0)</x:f>
        <x:v>0</x:v>
      </x:c>
    </x:row>
    <x:row r="8">
      <x:c r="A8" s="48" t="str"/>
      <x:c r="B8" s="48" t="str"/>
      <x:c r="C8" s="48" t="str"/>
      <x:c r="D8" s="48" t="str"/>
      <x:c r="E8" s="48" t="str"/>
      <x:c r="F8" s="48" t="str"/>
      <x:c r="G8" s="61" t="str"/>
      <x:c r="H8" s="48" t="str">
        <x:v>Open</x:v>
      </x:c>
      <x:c r="I8" s="61" t="str"/>
      <x:c r="J8" s="48" t="str"/>
      <x:c r="K8" s="48" t="n">
        <x:f>IF(AND(G8&lt;&gt;"",H8&lt;&gt;"Complete",H8&lt;&gt;"Verified"),MAX(0,TODAY()-G8),0)</x:f>
        <x:v>0</x:v>
      </x:c>
    </x:row>
    <x:row r="9">
      <x:c r="A9" s="48" t="str"/>
      <x:c r="B9" s="48" t="str"/>
      <x:c r="C9" s="48" t="str"/>
      <x:c r="D9" s="48" t="str"/>
      <x:c r="E9" s="48" t="str"/>
      <x:c r="F9" s="48" t="str"/>
      <x:c r="G9" s="61" t="str"/>
      <x:c r="H9" s="48" t="str">
        <x:v>Open</x:v>
      </x:c>
      <x:c r="I9" s="61" t="str"/>
      <x:c r="J9" s="48" t="str"/>
      <x:c r="K9" s="48" t="n">
        <x:f>IF(AND(G9&lt;&gt;"",H9&lt;&gt;"Complete",H9&lt;&gt;"Verified"),MAX(0,TODAY()-G9),0)</x:f>
        <x:v>0</x:v>
      </x:c>
    </x:row>
    <x:row r="10">
      <x:c r="A10" s="48" t="str"/>
      <x:c r="B10" s="48" t="str"/>
      <x:c r="C10" s="48" t="str"/>
      <x:c r="D10" s="48" t="str"/>
      <x:c r="E10" s="48" t="str"/>
      <x:c r="F10" s="48" t="str"/>
      <x:c r="G10" s="61" t="str"/>
      <x:c r="H10" s="48" t="str">
        <x:v>Open</x:v>
      </x:c>
      <x:c r="I10" s="61" t="str"/>
      <x:c r="J10" s="48" t="str"/>
      <x:c r="K10" s="48" t="n">
        <x:f>IF(AND(G10&lt;&gt;"",H10&lt;&gt;"Complete",H10&lt;&gt;"Verified"),MAX(0,TODAY()-G10),0)</x:f>
        <x:v>0</x:v>
      </x:c>
    </x:row>
    <x:row r="11">
      <x:c r="A11" s="48" t="str"/>
      <x:c r="B11" s="48" t="str"/>
      <x:c r="C11" s="48" t="str"/>
      <x:c r="D11" s="48" t="str"/>
      <x:c r="E11" s="48" t="str"/>
      <x:c r="F11" s="48" t="str"/>
      <x:c r="G11" s="61" t="str"/>
      <x:c r="H11" s="48" t="str">
        <x:v>Open</x:v>
      </x:c>
      <x:c r="I11" s="61" t="str"/>
      <x:c r="J11" s="48" t="str"/>
      <x:c r="K11" s="48" t="n">
        <x:f>IF(AND(G11&lt;&gt;"",H11&lt;&gt;"Complete",H11&lt;&gt;"Verified"),MAX(0,TODAY()-G11),0)</x:f>
        <x:v>0</x:v>
      </x:c>
    </x:row>
    <x:row r="12">
      <x:c r="A12" s="48" t="str"/>
      <x:c r="B12" s="48" t="str"/>
      <x:c r="C12" s="48" t="str"/>
      <x:c r="D12" s="48" t="str"/>
      <x:c r="E12" s="48" t="str"/>
      <x:c r="F12" s="48" t="str"/>
      <x:c r="G12" s="61" t="str"/>
      <x:c r="H12" s="48" t="str">
        <x:v>Open</x:v>
      </x:c>
      <x:c r="I12" s="61" t="str"/>
      <x:c r="J12" s="48" t="str"/>
      <x:c r="K12" s="48" t="n">
        <x:f>IF(AND(G12&lt;&gt;"",H12&lt;&gt;"Complete",H12&lt;&gt;"Verified"),MAX(0,TODAY()-G12),0)</x:f>
        <x:v>0</x:v>
      </x:c>
    </x:row>
    <x:row r="13">
      <x:c r="A13" s="48" t="str"/>
      <x:c r="B13" s="48" t="str"/>
      <x:c r="C13" s="48" t="str"/>
      <x:c r="D13" s="48" t="str"/>
      <x:c r="E13" s="48" t="str"/>
      <x:c r="F13" s="48" t="str"/>
      <x:c r="G13" s="61" t="str"/>
      <x:c r="H13" s="48" t="str">
        <x:v>Open</x:v>
      </x:c>
      <x:c r="I13" s="61" t="str"/>
      <x:c r="J13" s="48" t="str"/>
      <x:c r="K13" s="48" t="n">
        <x:f>IF(AND(G13&lt;&gt;"",H13&lt;&gt;"Complete",H13&lt;&gt;"Verified"),MAX(0,TODAY()-G13),0)</x:f>
        <x:v>0</x:v>
      </x:c>
    </x:row>
    <x:row r="14">
      <x:c r="A14" s="48" t="str"/>
      <x:c r="B14" s="48" t="str"/>
      <x:c r="C14" s="48" t="str"/>
      <x:c r="D14" s="48" t="str"/>
      <x:c r="E14" s="48" t="str"/>
      <x:c r="F14" s="48" t="str"/>
      <x:c r="G14" s="61" t="str"/>
      <x:c r="H14" s="48" t="str">
        <x:v>Open</x:v>
      </x:c>
      <x:c r="I14" s="61" t="str"/>
      <x:c r="J14" s="48" t="str"/>
      <x:c r="K14" s="48" t="n">
        <x:f>IF(AND(G14&lt;&gt;"",H14&lt;&gt;"Complete",H14&lt;&gt;"Verified"),MAX(0,TODAY()-G14),0)</x:f>
        <x:v>0</x:v>
      </x:c>
    </x:row>
    <x:row r="15">
      <x:c r="A15" s="48" t="str"/>
      <x:c r="B15" s="48" t="str"/>
      <x:c r="C15" s="48" t="str"/>
      <x:c r="D15" s="48" t="str"/>
      <x:c r="E15" s="48" t="str"/>
      <x:c r="F15" s="48" t="str"/>
      <x:c r="G15" s="61" t="str"/>
      <x:c r="H15" s="48" t="str">
        <x:v>Open</x:v>
      </x:c>
      <x:c r="I15" s="61" t="str"/>
      <x:c r="J15" s="48" t="str"/>
      <x:c r="K15" s="48" t="n">
        <x:f>IF(AND(G15&lt;&gt;"",H15&lt;&gt;"Complete",H15&lt;&gt;"Verified"),MAX(0,TODAY()-G15),0)</x:f>
        <x:v>0</x:v>
      </x:c>
    </x:row>
    <x:row r="16">
      <x:c r="A16" s="48" t="str"/>
      <x:c r="B16" s="48" t="str"/>
      <x:c r="C16" s="48" t="str"/>
      <x:c r="D16" s="48" t="str"/>
      <x:c r="E16" s="48" t="str"/>
      <x:c r="F16" s="48" t="str"/>
      <x:c r="G16" s="61" t="str"/>
      <x:c r="H16" s="48" t="str">
        <x:v>Open</x:v>
      </x:c>
      <x:c r="I16" s="61" t="str"/>
      <x:c r="J16" s="48" t="str"/>
      <x:c r="K16" s="48" t="n">
        <x:f>IF(AND(G16&lt;&gt;"",H16&lt;&gt;"Complete",H16&lt;&gt;"Verified"),MAX(0,TODAY()-G16),0)</x:f>
        <x:v>0</x:v>
      </x:c>
    </x:row>
    <x:row r="17">
      <x:c r="A17" s="48" t="str"/>
      <x:c r="B17" s="48" t="str"/>
      <x:c r="C17" s="48" t="str"/>
      <x:c r="D17" s="48" t="str"/>
      <x:c r="E17" s="48" t="str"/>
      <x:c r="F17" s="48" t="str"/>
      <x:c r="G17" s="61" t="str"/>
      <x:c r="H17" s="48" t="str">
        <x:v>Open</x:v>
      </x:c>
      <x:c r="I17" s="61" t="str"/>
      <x:c r="J17" s="48" t="str"/>
      <x:c r="K17" s="48" t="n">
        <x:f>IF(AND(G17&lt;&gt;"",H17&lt;&gt;"Complete",H17&lt;&gt;"Verified"),MAX(0,TODAY()-G17),0)</x:f>
        <x:v>0</x:v>
      </x:c>
    </x:row>
    <x:row r="18">
      <x:c r="A18" s="48" t="str"/>
      <x:c r="B18" s="48" t="str"/>
      <x:c r="C18" s="48" t="str"/>
      <x:c r="D18" s="48" t="str"/>
      <x:c r="E18" s="48" t="str"/>
      <x:c r="F18" s="48" t="str"/>
      <x:c r="G18" s="61" t="str"/>
      <x:c r="H18" s="48" t="str">
        <x:v>Open</x:v>
      </x:c>
      <x:c r="I18" s="61" t="str"/>
      <x:c r="J18" s="48" t="str"/>
      <x:c r="K18" s="48" t="n">
        <x:f>IF(AND(G18&lt;&gt;"",H18&lt;&gt;"Complete",H18&lt;&gt;"Verified"),MAX(0,TODAY()-G18),0)</x:f>
        <x:v>0</x:v>
      </x:c>
    </x:row>
    <x:row r="19">
      <x:c r="A19" s="48" t="str"/>
      <x:c r="B19" s="48" t="str"/>
      <x:c r="C19" s="48" t="str"/>
      <x:c r="D19" s="48" t="str"/>
      <x:c r="E19" s="48" t="str"/>
      <x:c r="F19" s="48" t="str"/>
      <x:c r="G19" s="61" t="str"/>
      <x:c r="H19" s="48" t="str">
        <x:v>Open</x:v>
      </x:c>
      <x:c r="I19" s="61" t="str"/>
      <x:c r="J19" s="48" t="str"/>
      <x:c r="K19" s="48" t="n">
        <x:f>IF(AND(G19&lt;&gt;"",H19&lt;&gt;"Complete",H19&lt;&gt;"Verified"),MAX(0,TODAY()-G19),0)</x:f>
        <x:v>0</x:v>
      </x:c>
    </x:row>
    <x:row r="20">
      <x:c r="A20" s="48" t="str"/>
      <x:c r="B20" s="48" t="str"/>
      <x:c r="C20" s="48" t="str"/>
      <x:c r="D20" s="48" t="str"/>
      <x:c r="E20" s="48" t="str"/>
      <x:c r="F20" s="48" t="str"/>
      <x:c r="G20" s="61" t="str"/>
      <x:c r="H20" s="48" t="str">
        <x:v>Open</x:v>
      </x:c>
      <x:c r="I20" s="61" t="str"/>
      <x:c r="J20" s="48" t="str"/>
      <x:c r="K20" s="48" t="n">
        <x:f>IF(AND(G20&lt;&gt;"",H20&lt;&gt;"Complete",H20&lt;&gt;"Verified"),MAX(0,TODAY()-G20),0)</x:f>
        <x:v>0</x:v>
      </x:c>
    </x:row>
    <x:row r="21">
      <x:c r="A21" s="48" t="str"/>
      <x:c r="B21" s="48" t="str"/>
      <x:c r="C21" s="48" t="str"/>
      <x:c r="D21" s="48" t="str"/>
      <x:c r="E21" s="48" t="str"/>
      <x:c r="F21" s="48" t="str"/>
      <x:c r="G21" s="61" t="str"/>
      <x:c r="H21" s="48" t="str">
        <x:v>Open</x:v>
      </x:c>
      <x:c r="I21" s="61" t="str"/>
      <x:c r="J21" s="48" t="str"/>
      <x:c r="K21" s="48" t="n">
        <x:f>IF(AND(G21&lt;&gt;"",H21&lt;&gt;"Complete",H21&lt;&gt;"Verified"),MAX(0,TODAY()-G21),0)</x:f>
        <x:v>0</x:v>
      </x:c>
    </x:row>
    <x:row r="22">
      <x:c r="A22" s="48" t="str"/>
      <x:c r="B22" s="48" t="str"/>
      <x:c r="C22" s="48" t="str"/>
      <x:c r="D22" s="48" t="str"/>
      <x:c r="E22" s="48" t="str"/>
      <x:c r="F22" s="48" t="str"/>
      <x:c r="G22" s="61" t="str"/>
      <x:c r="H22" s="48" t="str">
        <x:v>Open</x:v>
      </x:c>
      <x:c r="I22" s="61" t="str"/>
      <x:c r="J22" s="48" t="str"/>
      <x:c r="K22" s="48" t="n">
        <x:f>IF(AND(G22&lt;&gt;"",H22&lt;&gt;"Complete",H22&lt;&gt;"Verified"),MAX(0,TODAY()-G22),0)</x:f>
        <x:v>0</x:v>
      </x:c>
    </x:row>
    <x:row r="23">
      <x:c r="A23" s="48" t="str"/>
      <x:c r="B23" s="48" t="str"/>
      <x:c r="C23" s="48" t="str"/>
      <x:c r="D23" s="48" t="str"/>
      <x:c r="E23" s="48" t="str"/>
      <x:c r="F23" s="48" t="str"/>
      <x:c r="G23" s="61" t="str"/>
      <x:c r="H23" s="48" t="str">
        <x:v>Open</x:v>
      </x:c>
      <x:c r="I23" s="61" t="str"/>
      <x:c r="J23" s="48" t="str"/>
      <x:c r="K23" s="48" t="n">
        <x:f>IF(AND(G23&lt;&gt;"",H23&lt;&gt;"Complete",H23&lt;&gt;"Verified"),MAX(0,TODAY()-G23),0)</x:f>
        <x:v>0</x:v>
      </x:c>
    </x:row>
    <x:row r="24">
      <x:c r="A24" s="48" t="str"/>
      <x:c r="B24" s="48" t="str"/>
      <x:c r="C24" s="48" t="str"/>
      <x:c r="D24" s="48" t="str"/>
      <x:c r="E24" s="48" t="str"/>
      <x:c r="F24" s="48" t="str"/>
      <x:c r="G24" s="61" t="str"/>
      <x:c r="H24" s="48" t="str">
        <x:v>Open</x:v>
      </x:c>
      <x:c r="I24" s="61" t="str"/>
      <x:c r="J24" s="48" t="str"/>
      <x:c r="K24" s="48" t="n">
        <x:f>IF(AND(G24&lt;&gt;"",H24&lt;&gt;"Complete",H24&lt;&gt;"Verified"),MAX(0,TODAY()-G24),0)</x:f>
        <x:v>0</x:v>
      </x:c>
    </x:row>
    <x:row r="25">
      <x:c r="A25" s="48" t="str"/>
      <x:c r="B25" s="48" t="str"/>
      <x:c r="C25" s="48" t="str"/>
      <x:c r="D25" s="48" t="str"/>
      <x:c r="E25" s="48" t="str"/>
      <x:c r="F25" s="48" t="str"/>
      <x:c r="G25" s="61" t="str"/>
      <x:c r="H25" s="48" t="str">
        <x:v>Open</x:v>
      </x:c>
      <x:c r="I25" s="61" t="str"/>
      <x:c r="J25" s="48" t="str"/>
      <x:c r="K25" s="48" t="n">
        <x:f>IF(AND(G25&lt;&gt;"",H25&lt;&gt;"Complete",H25&lt;&gt;"Verified"),MAX(0,TODAY()-G25),0)</x:f>
        <x:v>0</x:v>
      </x:c>
    </x:row>
    <x:row r="26">
      <x:c r="A26" s="48" t="str"/>
      <x:c r="B26" s="48" t="str"/>
      <x:c r="C26" s="48" t="str"/>
      <x:c r="D26" s="48" t="str"/>
      <x:c r="E26" s="48" t="str"/>
      <x:c r="F26" s="48" t="str"/>
      <x:c r="G26" s="61" t="str"/>
      <x:c r="H26" s="48" t="str">
        <x:v>Open</x:v>
      </x:c>
      <x:c r="I26" s="61" t="str"/>
      <x:c r="J26" s="48" t="str"/>
      <x:c r="K26" s="48" t="n">
        <x:f>IF(AND(G26&lt;&gt;"",H26&lt;&gt;"Complete",H26&lt;&gt;"Verified"),MAX(0,TODAY()-G26),0)</x:f>
        <x:v>0</x:v>
      </x:c>
    </x:row>
    <x:row r="27">
      <x:c r="A27" s="48" t="str"/>
      <x:c r="B27" s="48" t="str"/>
      <x:c r="C27" s="48" t="str"/>
      <x:c r="D27" s="48" t="str"/>
      <x:c r="E27" s="48" t="str"/>
      <x:c r="F27" s="48" t="str"/>
      <x:c r="G27" s="61" t="str"/>
      <x:c r="H27" s="48" t="str">
        <x:v>Open</x:v>
      </x:c>
      <x:c r="I27" s="61" t="str"/>
      <x:c r="J27" s="48" t="str"/>
      <x:c r="K27" s="48" t="n">
        <x:f>IF(AND(G27&lt;&gt;"",H27&lt;&gt;"Complete",H27&lt;&gt;"Verified"),MAX(0,TODAY()-G27),0)</x:f>
        <x:v>0</x:v>
      </x:c>
    </x:row>
    <x:row r="28">
      <x:c r="A28" s="48" t="str"/>
      <x:c r="B28" s="48" t="str"/>
      <x:c r="C28" s="48" t="str"/>
      <x:c r="D28" s="48" t="str"/>
      <x:c r="E28" s="48" t="str"/>
      <x:c r="F28" s="48" t="str"/>
      <x:c r="G28" s="61" t="str"/>
      <x:c r="H28" s="48" t="str">
        <x:v>Open</x:v>
      </x:c>
      <x:c r="I28" s="61" t="str"/>
      <x:c r="J28" s="48" t="str"/>
      <x:c r="K28" s="48" t="n">
        <x:f>IF(AND(G28&lt;&gt;"",H28&lt;&gt;"Complete",H28&lt;&gt;"Verified"),MAX(0,TODAY()-G28),0)</x:f>
        <x:v>0</x:v>
      </x:c>
    </x:row>
    <x:row r="29">
      <x:c r="A29" s="48" t="str"/>
      <x:c r="B29" s="48" t="str"/>
      <x:c r="C29" s="48" t="str"/>
      <x:c r="D29" s="48" t="str"/>
      <x:c r="E29" s="48" t="str"/>
      <x:c r="F29" s="48" t="str"/>
      <x:c r="G29" s="61" t="str"/>
      <x:c r="H29" s="48" t="str">
        <x:v>Open</x:v>
      </x:c>
      <x:c r="I29" s="61" t="str"/>
      <x:c r="J29" s="48" t="str"/>
      <x:c r="K29" s="48" t="n">
        <x:f>IF(AND(G29&lt;&gt;"",H29&lt;&gt;"Complete",H29&lt;&gt;"Verified"),MAX(0,TODAY()-G29),0)</x:f>
        <x:v>0</x:v>
      </x:c>
    </x:row>
    <x:row r="30">
      <x:c r="A30" s="48" t="str"/>
      <x:c r="B30" s="48" t="str"/>
      <x:c r="C30" s="48" t="str"/>
      <x:c r="D30" s="48" t="str"/>
      <x:c r="E30" s="48" t="str"/>
      <x:c r="F30" s="48" t="str"/>
      <x:c r="G30" s="61" t="str"/>
      <x:c r="H30" s="48" t="str">
        <x:v>Open</x:v>
      </x:c>
      <x:c r="I30" s="61" t="str"/>
      <x:c r="J30" s="48" t="str"/>
      <x:c r="K30" s="48" t="n">
        <x:f>IF(AND(G30&lt;&gt;"",H30&lt;&gt;"Complete",H30&lt;&gt;"Verified"),MAX(0,TODAY()-G30),0)</x:f>
        <x:v>0</x:v>
      </x:c>
    </x:row>
    <x:row r="31">
      <x:c r="A31" s="48" t="str"/>
      <x:c r="B31" s="48" t="str"/>
      <x:c r="C31" s="48" t="str"/>
      <x:c r="D31" s="48" t="str"/>
      <x:c r="E31" s="48" t="str"/>
      <x:c r="F31" s="48" t="str"/>
      <x:c r="G31" s="61" t="str"/>
      <x:c r="H31" s="48" t="str">
        <x:v>Open</x:v>
      </x:c>
      <x:c r="I31" s="61" t="str"/>
      <x:c r="J31" s="48" t="str"/>
      <x:c r="K31" s="48" t="n">
        <x:f>IF(AND(G31&lt;&gt;"",H31&lt;&gt;"Complete",H31&lt;&gt;"Verified"),MAX(0,TODAY()-G31),0)</x:f>
        <x:v>0</x:v>
      </x:c>
    </x:row>
    <x:row r="32">
      <x:c r="A32" s="48" t="str"/>
      <x:c r="B32" s="48" t="str"/>
      <x:c r="C32" s="48" t="str"/>
      <x:c r="D32" s="48" t="str"/>
      <x:c r="E32" s="48" t="str"/>
      <x:c r="F32" s="48" t="str"/>
      <x:c r="G32" s="61" t="str"/>
      <x:c r="H32" s="48" t="str">
        <x:v>Open</x:v>
      </x:c>
      <x:c r="I32" s="61" t="str"/>
      <x:c r="J32" s="48" t="str"/>
      <x:c r="K32" s="48" t="n">
        <x:f>IF(AND(G32&lt;&gt;"",H32&lt;&gt;"Complete",H32&lt;&gt;"Verified"),MAX(0,TODAY()-G32),0)</x:f>
        <x:v>0</x:v>
      </x:c>
    </x:row>
    <x:row r="33">
      <x:c r="A33" s="48" t="str"/>
      <x:c r="B33" s="48" t="str"/>
      <x:c r="C33" s="48" t="str"/>
      <x:c r="D33" s="48" t="str"/>
      <x:c r="E33" s="48" t="str"/>
      <x:c r="F33" s="48" t="str"/>
      <x:c r="G33" s="61" t="str"/>
      <x:c r="H33" s="48" t="str">
        <x:v>Open</x:v>
      </x:c>
      <x:c r="I33" s="61" t="str"/>
      <x:c r="J33" s="48" t="str"/>
      <x:c r="K33" s="48" t="n">
        <x:f>IF(AND(G33&lt;&gt;"",H33&lt;&gt;"Complete",H33&lt;&gt;"Verified"),MAX(0,TODAY()-G33),0)</x:f>
        <x:v>0</x:v>
      </x:c>
    </x:row>
    <x:row r="34">
      <x:c r="A34" s="48" t="str"/>
      <x:c r="B34" s="48" t="str"/>
      <x:c r="C34" s="48" t="str"/>
      <x:c r="D34" s="48" t="str"/>
      <x:c r="E34" s="48" t="str"/>
      <x:c r="F34" s="48" t="str"/>
      <x:c r="G34" s="61" t="str"/>
      <x:c r="H34" s="48" t="str">
        <x:v>Open</x:v>
      </x:c>
      <x:c r="I34" s="61" t="str"/>
      <x:c r="J34" s="48" t="str"/>
      <x:c r="K34" s="48" t="n">
        <x:f>IF(AND(G34&lt;&gt;"",H34&lt;&gt;"Complete",H34&lt;&gt;"Verified"),MAX(0,TODAY()-G34),0)</x:f>
        <x:v>0</x:v>
      </x:c>
    </x:row>
  </x:sheetData>
  <x:mergeCells>
    <x:mergeCell ref="A1:K1"/>
    <x:mergeCell ref="A2:K2"/>
  </x:mergeCells>
  <x:conditionalFormatting sqref="H5:H34">
    <x:cfRule type="cellIs" dxfId="0" priority="1">
      <x:formula>"Complete"</x:formula>
    </x:cfRule>
    <x:cfRule type="cellIs" dxfId="1" priority="2">
      <x:formula>"Verified"</x:formula>
    </x:cfRule>
    <x:cfRule type="cellIs" dxfId="2" priority="3">
      <x:formula>"Overdue"</x:formula>
    </x:cfRule>
    <x:cfRule type="cellIs" dxfId="3" priority="4">
      <x:formula>"Open"</x:formula>
    </x:cfRule>
  </x:conditionalFormatting>
  <x:conditionalFormatting sqref="K5:K34">
    <x:cfRule type="cellIs" dxfId="4" priority="5" operator="greaterThan">
      <x:formula>0</x:formula>
    </x:cfRule>
  </x:conditionalFormatting>
  <x:dataValidations count="2">
    <x:dataValidation type="list" sqref="E5:E34">
      <x:formula1>"Critical,High,Medium,Low,Monitor"</x:formula1>
    </x:dataValidation>
    <x:dataValidation type="list" sqref="H5:H34">
      <x:formula1>"Open,In Progress,Complete,Overdue,Deferred,Cancelled,Verified"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037765accd43f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.5" hidden="0" customWidth="1"/>
    <x:col min="2" max="2" width="11.130000114440918" hidden="0" customWidth="1"/>
    <x:col min="3" max="3" width="12.880000114440918" hidden="0" customWidth="1"/>
    <x:col min="4" max="4" width="15.25" hidden="0" customWidth="1"/>
    <x:col min="5" max="5" width="16.8799991607666" hidden="0" customWidth="1"/>
    <x:col min="6" max="6" width="18.1299991607666" hidden="0" customWidth="1"/>
    <x:col min="7" max="7" width="16" hidden="0" customWidth="1"/>
    <x:col min="8" max="8" width="8.75" hidden="0" customWidth="1"/>
    <x:col min="9" max="9" width="14.630000114440918" hidden="0" customWidth="1"/>
    <x:col min="10" max="10" width="7.130000114440918" hidden="0" customWidth="1"/>
  </x:cols>
  <x:sheetData>
    <x:row r="1" ht="30" customHeight="1">
      <x:c r="A1" s="25" t="str">
        <x:v>LUBRICANT STOCK &amp; REORDER TRACKER</x:v>
      </x:c>
      <x:c r="B1" s="25"/>
      <x:c r="C1" s="25"/>
      <x:c r="D1" s="25"/>
      <x:c r="E1" s="25"/>
      <x:c r="F1" s="25"/>
      <x:c r="G1" s="25"/>
      <x:c r="H1" s="25"/>
      <x:c r="I1" s="25"/>
      <x:c r="J1" s="25"/>
    </x:row>
    <x:row r="2" ht="32" customHeight="1">
      <x:c r="A2" s="32" t="str">
        <x:v>Control lubricant availability and reduce missed lubrication due to stock-outs.</x:v>
      </x:c>
      <x:c r="B2" s="32"/>
      <x:c r="C2" s="32"/>
      <x:c r="D2" s="32"/>
      <x:c r="E2" s="32"/>
      <x:c r="F2" s="32"/>
      <x:c r="G2" s="32"/>
      <x:c r="H2" s="32"/>
      <x:c r="I2" s="32"/>
      <x:c r="J2" s="32"/>
    </x:row>
    <x:row r="4" ht="26" customHeight="1">
      <x:c r="A4" s="40" t="str">
        <x:v>Lubricant</x:v>
      </x:c>
      <x:c r="B4" s="40" t="str">
        <x:v>Grade/Spec</x:v>
      </x:c>
      <x:c r="C4" s="40" t="str">
        <x:v>Container Size</x:v>
      </x:c>
      <x:c r="D4" s="40" t="str">
        <x:v>Current Stock Qty</x:v>
      </x:c>
      <x:c r="E4" s="40" t="str">
        <x:v>Minimum Stock Qty</x:v>
      </x:c>
      <x:c r="F4" s="40" t="str">
        <x:v>Monthly Use Forecast</x:v>
      </x:c>
      <x:c r="G4" s="40" t="str">
        <x:v>Reorder Required?</x:v>
      </x:c>
      <x:c r="H4" s="40" t="str">
        <x:v>Supplier</x:v>
      </x:c>
      <x:c r="I4" s="40" t="str">
        <x:v>Lead Time (days)</x:v>
      </x:c>
      <x:c r="J4" s="40" t="str">
        <x:v>Notes</x:v>
      </x:c>
    </x:row>
    <x:row r="5">
      <x:c r="A5" s="48" t="str"/>
      <x:c r="B5" s="48" t="str"/>
      <x:c r="C5" s="48" t="str"/>
      <x:c r="D5" s="48" t="str"/>
      <x:c r="E5" s="48" t="str"/>
      <x:c r="F5" s="48" t="str"/>
      <x:c r="G5" s="48" t="str">
        <x:f>IF(OR(D5="",E5=""),"",IF(D5&lt;=E5,"YES","NO"))</x:f>
      </x:c>
      <x:c r="H5" s="48" t="str"/>
      <x:c r="I5" s="48" t="str"/>
      <x:c r="J5" s="48" t="str"/>
    </x:row>
    <x:row r="6">
      <x:c r="A6" s="48" t="str"/>
      <x:c r="B6" s="48" t="str"/>
      <x:c r="C6" s="48" t="str"/>
      <x:c r="D6" s="48" t="str"/>
      <x:c r="E6" s="48" t="str"/>
      <x:c r="F6" s="48" t="str"/>
      <x:c r="G6" s="48" t="str">
        <x:f>IF(OR(D6="",E6=""),"",IF(D6&lt;=E6,"YES","NO"))</x:f>
      </x:c>
      <x:c r="H6" s="48" t="str"/>
      <x:c r="I6" s="48" t="str"/>
      <x:c r="J6" s="48" t="str"/>
    </x:row>
    <x:row r="7">
      <x:c r="A7" s="48" t="str"/>
      <x:c r="B7" s="48" t="str"/>
      <x:c r="C7" s="48" t="str"/>
      <x:c r="D7" s="48" t="str"/>
      <x:c r="E7" s="48" t="str"/>
      <x:c r="F7" s="48" t="str"/>
      <x:c r="G7" s="48" t="str">
        <x:f>IF(OR(D7="",E7=""),"",IF(D7&lt;=E7,"YES","NO"))</x:f>
      </x:c>
      <x:c r="H7" s="48" t="str"/>
      <x:c r="I7" s="48" t="str"/>
      <x:c r="J7" s="48" t="str"/>
    </x:row>
    <x:row r="8">
      <x:c r="A8" s="48" t="str"/>
      <x:c r="B8" s="48" t="str"/>
      <x:c r="C8" s="48" t="str"/>
      <x:c r="D8" s="48" t="str"/>
      <x:c r="E8" s="48" t="str"/>
      <x:c r="F8" s="48" t="str"/>
      <x:c r="G8" s="48" t="str">
        <x:f>IF(OR(D8="",E8=""),"",IF(D8&lt;=E8,"YES","NO"))</x:f>
      </x:c>
      <x:c r="H8" s="48" t="str"/>
      <x:c r="I8" s="48" t="str"/>
      <x:c r="J8" s="48" t="str"/>
    </x:row>
    <x:row r="9">
      <x:c r="A9" s="48" t="str"/>
      <x:c r="B9" s="48" t="str"/>
      <x:c r="C9" s="48" t="str"/>
      <x:c r="D9" s="48" t="str"/>
      <x:c r="E9" s="48" t="str"/>
      <x:c r="F9" s="48" t="str"/>
      <x:c r="G9" s="48" t="str">
        <x:f>IF(OR(D9="",E9=""),"",IF(D9&lt;=E9,"YES","NO"))</x:f>
      </x:c>
      <x:c r="H9" s="48" t="str"/>
      <x:c r="I9" s="48" t="str"/>
      <x:c r="J9" s="48" t="str"/>
    </x:row>
    <x:row r="10">
      <x:c r="A10" s="48" t="str"/>
      <x:c r="B10" s="48" t="str"/>
      <x:c r="C10" s="48" t="str"/>
      <x:c r="D10" s="48" t="str"/>
      <x:c r="E10" s="48" t="str"/>
      <x:c r="F10" s="48" t="str"/>
      <x:c r="G10" s="48" t="str">
        <x:f>IF(OR(D10="",E10=""),"",IF(D10&lt;=E10,"YES","NO"))</x:f>
      </x:c>
      <x:c r="H10" s="48" t="str"/>
      <x:c r="I10" s="48" t="str"/>
      <x:c r="J10" s="48" t="str"/>
    </x:row>
    <x:row r="11">
      <x:c r="A11" s="48" t="str"/>
      <x:c r="B11" s="48" t="str"/>
      <x:c r="C11" s="48" t="str"/>
      <x:c r="D11" s="48" t="str"/>
      <x:c r="E11" s="48" t="str"/>
      <x:c r="F11" s="48" t="str"/>
      <x:c r="G11" s="48" t="str">
        <x:f>IF(OR(D11="",E11=""),"",IF(D11&lt;=E11,"YES","NO"))</x:f>
      </x:c>
      <x:c r="H11" s="48" t="str"/>
      <x:c r="I11" s="48" t="str"/>
      <x:c r="J11" s="48" t="str"/>
    </x:row>
    <x:row r="12">
      <x:c r="A12" s="48" t="str"/>
      <x:c r="B12" s="48" t="str"/>
      <x:c r="C12" s="48" t="str"/>
      <x:c r="D12" s="48" t="str"/>
      <x:c r="E12" s="48" t="str"/>
      <x:c r="F12" s="48" t="str"/>
      <x:c r="G12" s="48" t="str">
        <x:f>IF(OR(D12="",E12=""),"",IF(D12&lt;=E12,"YES","NO"))</x:f>
      </x:c>
      <x:c r="H12" s="48" t="str"/>
      <x:c r="I12" s="48" t="str"/>
      <x:c r="J12" s="48" t="str"/>
    </x:row>
    <x:row r="13">
      <x:c r="A13" s="48" t="str"/>
      <x:c r="B13" s="48" t="str"/>
      <x:c r="C13" s="48" t="str"/>
      <x:c r="D13" s="48" t="str"/>
      <x:c r="E13" s="48" t="str"/>
      <x:c r="F13" s="48" t="str"/>
      <x:c r="G13" s="48" t="str">
        <x:f>IF(OR(D13="",E13=""),"",IF(D13&lt;=E13,"YES","NO"))</x:f>
      </x:c>
      <x:c r="H13" s="48" t="str"/>
      <x:c r="I13" s="48" t="str"/>
      <x:c r="J13" s="48" t="str"/>
    </x:row>
    <x:row r="14">
      <x:c r="A14" s="48" t="str"/>
      <x:c r="B14" s="48" t="str"/>
      <x:c r="C14" s="48" t="str"/>
      <x:c r="D14" s="48" t="str"/>
      <x:c r="E14" s="48" t="str"/>
      <x:c r="F14" s="48" t="str"/>
      <x:c r="G14" s="48" t="str">
        <x:f>IF(OR(D14="",E14=""),"",IF(D14&lt;=E14,"YES","NO"))</x:f>
      </x:c>
      <x:c r="H14" s="48" t="str"/>
      <x:c r="I14" s="48" t="str"/>
      <x:c r="J14" s="48" t="str"/>
    </x:row>
    <x:row r="15">
      <x:c r="A15" s="48" t="str"/>
      <x:c r="B15" s="48" t="str"/>
      <x:c r="C15" s="48" t="str"/>
      <x:c r="D15" s="48" t="str"/>
      <x:c r="E15" s="48" t="str"/>
      <x:c r="F15" s="48" t="str"/>
      <x:c r="G15" s="48" t="str">
        <x:f>IF(OR(D15="",E15=""),"",IF(D15&lt;=E15,"YES","NO"))</x:f>
      </x:c>
      <x:c r="H15" s="48" t="str"/>
      <x:c r="I15" s="48" t="str"/>
      <x:c r="J15" s="48" t="str"/>
    </x:row>
    <x:row r="16">
      <x:c r="A16" s="48" t="str"/>
      <x:c r="B16" s="48" t="str"/>
      <x:c r="C16" s="48" t="str"/>
      <x:c r="D16" s="48" t="str"/>
      <x:c r="E16" s="48" t="str"/>
      <x:c r="F16" s="48" t="str"/>
      <x:c r="G16" s="48" t="str">
        <x:f>IF(OR(D16="",E16=""),"",IF(D16&lt;=E16,"YES","NO"))</x:f>
      </x:c>
      <x:c r="H16" s="48" t="str"/>
      <x:c r="I16" s="48" t="str"/>
      <x:c r="J16" s="48" t="str"/>
    </x:row>
    <x:row r="17">
      <x:c r="A17" s="48" t="str"/>
      <x:c r="B17" s="48" t="str"/>
      <x:c r="C17" s="48" t="str"/>
      <x:c r="D17" s="48" t="str"/>
      <x:c r="E17" s="48" t="str"/>
      <x:c r="F17" s="48" t="str"/>
      <x:c r="G17" s="48" t="str">
        <x:f>IF(OR(D17="",E17=""),"",IF(D17&lt;=E17,"YES","NO"))</x:f>
      </x:c>
      <x:c r="H17" s="48" t="str"/>
      <x:c r="I17" s="48" t="str"/>
      <x:c r="J17" s="48" t="str"/>
    </x:row>
    <x:row r="18">
      <x:c r="A18" s="48" t="str"/>
      <x:c r="B18" s="48" t="str"/>
      <x:c r="C18" s="48" t="str"/>
      <x:c r="D18" s="48" t="str"/>
      <x:c r="E18" s="48" t="str"/>
      <x:c r="F18" s="48" t="str"/>
      <x:c r="G18" s="48" t="str">
        <x:f>IF(OR(D18="",E18=""),"",IF(D18&lt;=E18,"YES","NO"))</x:f>
      </x:c>
      <x:c r="H18" s="48" t="str"/>
      <x:c r="I18" s="48" t="str"/>
      <x:c r="J18" s="48" t="str"/>
    </x:row>
    <x:row r="19">
      <x:c r="A19" s="48" t="str"/>
      <x:c r="B19" s="48" t="str"/>
      <x:c r="C19" s="48" t="str"/>
      <x:c r="D19" s="48" t="str"/>
      <x:c r="E19" s="48" t="str"/>
      <x:c r="F19" s="48" t="str"/>
      <x:c r="G19" s="48" t="str">
        <x:f>IF(OR(D19="",E19=""),"",IF(D19&lt;=E19,"YES","NO"))</x:f>
      </x:c>
      <x:c r="H19" s="48" t="str"/>
      <x:c r="I19" s="48" t="str"/>
      <x:c r="J19" s="48" t="str"/>
    </x:row>
    <x:row r="20">
      <x:c r="A20" s="48" t="str"/>
      <x:c r="B20" s="48" t="str"/>
      <x:c r="C20" s="48" t="str"/>
      <x:c r="D20" s="48" t="str"/>
      <x:c r="E20" s="48" t="str"/>
      <x:c r="F20" s="48" t="str"/>
      <x:c r="G20" s="48" t="str">
        <x:f>IF(OR(D20="",E20=""),"",IF(D20&lt;=E20,"YES","NO"))</x:f>
      </x:c>
      <x:c r="H20" s="48" t="str"/>
      <x:c r="I20" s="48" t="str"/>
      <x:c r="J20" s="48" t="str"/>
    </x:row>
    <x:row r="21">
      <x:c r="A21" s="48" t="str"/>
      <x:c r="B21" s="48" t="str"/>
      <x:c r="C21" s="48" t="str"/>
      <x:c r="D21" s="48" t="str"/>
      <x:c r="E21" s="48" t="str"/>
      <x:c r="F21" s="48" t="str"/>
      <x:c r="G21" s="48" t="str">
        <x:f>IF(OR(D21="",E21=""),"",IF(D21&lt;=E21,"YES","NO"))</x:f>
      </x:c>
      <x:c r="H21" s="48" t="str"/>
      <x:c r="I21" s="48" t="str"/>
      <x:c r="J21" s="48" t="str"/>
    </x:row>
    <x:row r="22">
      <x:c r="A22" s="48" t="str"/>
      <x:c r="B22" s="48" t="str"/>
      <x:c r="C22" s="48" t="str"/>
      <x:c r="D22" s="48" t="str"/>
      <x:c r="E22" s="48" t="str"/>
      <x:c r="F22" s="48" t="str"/>
      <x:c r="G22" s="48" t="str">
        <x:f>IF(OR(D22="",E22=""),"",IF(D22&lt;=E22,"YES","NO"))</x:f>
      </x:c>
      <x:c r="H22" s="48" t="str"/>
      <x:c r="I22" s="48" t="str"/>
      <x:c r="J22" s="48" t="str"/>
    </x:row>
    <x:row r="23">
      <x:c r="A23" s="48" t="str"/>
      <x:c r="B23" s="48" t="str"/>
      <x:c r="C23" s="48" t="str"/>
      <x:c r="D23" s="48" t="str"/>
      <x:c r="E23" s="48" t="str"/>
      <x:c r="F23" s="48" t="str"/>
      <x:c r="G23" s="48" t="str">
        <x:f>IF(OR(D23="",E23=""),"",IF(D23&lt;=E23,"YES","NO"))</x:f>
      </x:c>
      <x:c r="H23" s="48" t="str"/>
      <x:c r="I23" s="48" t="str"/>
      <x:c r="J23" s="48" t="str"/>
    </x:row>
    <x:row r="24">
      <x:c r="A24" s="48" t="str"/>
      <x:c r="B24" s="48" t="str"/>
      <x:c r="C24" s="48" t="str"/>
      <x:c r="D24" s="48" t="str"/>
      <x:c r="E24" s="48" t="str"/>
      <x:c r="F24" s="48" t="str"/>
      <x:c r="G24" s="48" t="str">
        <x:f>IF(OR(D24="",E24=""),"",IF(D24&lt;=E24,"YES","NO"))</x:f>
      </x:c>
      <x:c r="H24" s="48" t="str"/>
      <x:c r="I24" s="48" t="str"/>
      <x:c r="J24" s="48" t="str"/>
    </x:row>
  </x:sheetData>
  <x:mergeCells>
    <x:mergeCell ref="A1:J1"/>
    <x:mergeCell ref="A2:J2"/>
  </x:mergeCells>
  <x:conditionalFormatting sqref="G5:G24">
    <x:cfRule type="cellIs" dxfId="6" priority="1">
      <x:formula>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51ffc9ca5d942e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7.130000114440918" hidden="0" customWidth="1"/>
    <x:col min="2" max="2" width="9.5" hidden="0" customWidth="1"/>
    <x:col min="3" max="3" width="10.130000114440918" hidden="0" customWidth="1"/>
    <x:col min="4" max="4" width="10.630000114440918" hidden="0" customWidth="1"/>
    <x:col min="5" max="5" width="10.380000114440918" hidden="0" customWidth="1"/>
    <x:col min="6" max="6" width="9.5" hidden="0" customWidth="1"/>
    <x:col min="7" max="7" width="5.630000114440918" hidden="0" customWidth="1"/>
    <x:col min="8" max="8" width="8.630000114440918" hidden="0" customWidth="1"/>
    <x:col min="9" max="9" width="7.5" hidden="0" customWidth="1"/>
    <x:col min="10" max="10" width="10.25" hidden="0" customWidth="1"/>
    <x:col min="11" max="11" width="10.5" hidden="0" customWidth="1"/>
  </x:cols>
  <x:sheetData>
    <x:row r="1" ht="30" customHeight="1">
      <x:c r="A1" s="25" t="str">
        <x:v>ROUTE-BASED LUBRICATION EXECUTION SHEET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</x:row>
    <x:row r="2" ht="32" customHeight="1">
      <x:c r="A2" s="32" t="str">
        <x:v>Filter or copy rows by route for daily/weekly technician work packs.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</x:row>
    <x:row r="4" ht="26" customHeight="1">
      <x:c r="A4" s="40" t="str">
        <x:v>Route</x:v>
      </x:c>
      <x:c r="B4" s="40" t="str">
        <x:v>Due Date</x:v>
      </x:c>
      <x:c r="C4" s="40" t="str">
        <x:v>Equip. Tag</x:v>
      </x:c>
      <x:c r="D4" s="40" t="str">
        <x:v>Equipment</x:v>
      </x:c>
      <x:c r="E4" s="40" t="str">
        <x:v>Lube Point</x:v>
      </x:c>
      <x:c r="F4" s="40" t="str">
        <x:v>Lubricant</x:v>
      </x:c>
      <x:c r="G4" s="40" t="str">
        <x:v>Qty</x:v>
      </x:c>
      <x:c r="H4" s="40" t="str">
        <x:v>Method</x:v>
      </x:c>
      <x:c r="I4" s="40" t="str">
        <x:v>Done?</x:v>
      </x:c>
      <x:c r="J4" s="40" t="str">
        <x:v>Technician</x:v>
      </x:c>
      <x:c r="K4" s="40" t="str">
        <x:v>Comments</x:v>
      </x:c>
    </x:row>
    <x:row r="5">
      <x:c r="A5" s="48" t="str">
        <x:v>Route 1</x:v>
      </x:c>
      <x:c r="B5" s="61" t="str"/>
      <x:c r="C5" s="48" t="str"/>
      <x:c r="D5" s="48" t="str"/>
      <x:c r="E5" s="48" t="str"/>
      <x:c r="F5" s="48" t="str"/>
      <x:c r="G5" s="48" t="str"/>
      <x:c r="H5" s="48" t="str"/>
      <x:c r="I5" s="48" t="str">
        <x:v>No</x:v>
      </x:c>
      <x:c r="J5" s="48" t="str"/>
      <x:c r="K5" s="48" t="str"/>
    </x:row>
    <x:row r="6">
      <x:c r="A6" s="48" t="str">
        <x:v>Route 1</x:v>
      </x:c>
      <x:c r="B6" s="61" t="str"/>
      <x:c r="C6" s="48" t="str"/>
      <x:c r="D6" s="48" t="str"/>
      <x:c r="E6" s="48" t="str"/>
      <x:c r="F6" s="48" t="str"/>
      <x:c r="G6" s="48" t="str"/>
      <x:c r="H6" s="48" t="str"/>
      <x:c r="I6" s="48" t="str">
        <x:v>No</x:v>
      </x:c>
      <x:c r="J6" s="48" t="str"/>
      <x:c r="K6" s="48" t="str"/>
    </x:row>
    <x:row r="7">
      <x:c r="A7" s="48" t="str">
        <x:v>Route 1</x:v>
      </x:c>
      <x:c r="B7" s="61" t="str"/>
      <x:c r="C7" s="48" t="str"/>
      <x:c r="D7" s="48" t="str"/>
      <x:c r="E7" s="48" t="str"/>
      <x:c r="F7" s="48" t="str"/>
      <x:c r="G7" s="48" t="str"/>
      <x:c r="H7" s="48" t="str"/>
      <x:c r="I7" s="48" t="str">
        <x:v>No</x:v>
      </x:c>
      <x:c r="J7" s="48" t="str"/>
      <x:c r="K7" s="48" t="str"/>
    </x:row>
    <x:row r="8">
      <x:c r="A8" s="48" t="str">
        <x:v>Route 1</x:v>
      </x:c>
      <x:c r="B8" s="61" t="str"/>
      <x:c r="C8" s="48" t="str"/>
      <x:c r="D8" s="48" t="str"/>
      <x:c r="E8" s="48" t="str"/>
      <x:c r="F8" s="48" t="str"/>
      <x:c r="G8" s="48" t="str"/>
      <x:c r="H8" s="48" t="str"/>
      <x:c r="I8" s="48" t="str">
        <x:v>No</x:v>
      </x:c>
      <x:c r="J8" s="48" t="str"/>
      <x:c r="K8" s="48" t="str"/>
    </x:row>
    <x:row r="9">
      <x:c r="A9" s="48" t="str">
        <x:v>Route 1</x:v>
      </x:c>
      <x:c r="B9" s="61" t="str"/>
      <x:c r="C9" s="48" t="str"/>
      <x:c r="D9" s="48" t="str"/>
      <x:c r="E9" s="48" t="str"/>
      <x:c r="F9" s="48" t="str"/>
      <x:c r="G9" s="48" t="str"/>
      <x:c r="H9" s="48" t="str"/>
      <x:c r="I9" s="48" t="str">
        <x:v>No</x:v>
      </x:c>
      <x:c r="J9" s="48" t="str"/>
      <x:c r="K9" s="48" t="str"/>
    </x:row>
    <x:row r="10">
      <x:c r="A10" s="48" t="str">
        <x:v>Route 1</x:v>
      </x:c>
      <x:c r="B10" s="61" t="str"/>
      <x:c r="C10" s="48" t="str"/>
      <x:c r="D10" s="48" t="str"/>
      <x:c r="E10" s="48" t="str"/>
      <x:c r="F10" s="48" t="str"/>
      <x:c r="G10" s="48" t="str"/>
      <x:c r="H10" s="48" t="str"/>
      <x:c r="I10" s="48" t="str">
        <x:v>No</x:v>
      </x:c>
      <x:c r="J10" s="48" t="str"/>
      <x:c r="K10" s="48" t="str"/>
    </x:row>
    <x:row r="11">
      <x:c r="A11" s="48" t="str">
        <x:v>Route 1</x:v>
      </x:c>
      <x:c r="B11" s="61" t="str"/>
      <x:c r="C11" s="48" t="str"/>
      <x:c r="D11" s="48" t="str"/>
      <x:c r="E11" s="48" t="str"/>
      <x:c r="F11" s="48" t="str"/>
      <x:c r="G11" s="48" t="str"/>
      <x:c r="H11" s="48" t="str"/>
      <x:c r="I11" s="48" t="str">
        <x:v>No</x:v>
      </x:c>
      <x:c r="J11" s="48" t="str"/>
      <x:c r="K11" s="48" t="str"/>
    </x:row>
    <x:row r="12">
      <x:c r="A12" s="48" t="str">
        <x:v>Route 1</x:v>
      </x:c>
      <x:c r="B12" s="61" t="str"/>
      <x:c r="C12" s="48" t="str"/>
      <x:c r="D12" s="48" t="str"/>
      <x:c r="E12" s="48" t="str"/>
      <x:c r="F12" s="48" t="str"/>
      <x:c r="G12" s="48" t="str"/>
      <x:c r="H12" s="48" t="str"/>
      <x:c r="I12" s="48" t="str">
        <x:v>No</x:v>
      </x:c>
      <x:c r="J12" s="48" t="str"/>
      <x:c r="K12" s="48" t="str"/>
    </x:row>
    <x:row r="13">
      <x:c r="A13" s="48" t="str">
        <x:v>Route 1</x:v>
      </x:c>
      <x:c r="B13" s="61" t="str"/>
      <x:c r="C13" s="48" t="str"/>
      <x:c r="D13" s="48" t="str"/>
      <x:c r="E13" s="48" t="str"/>
      <x:c r="F13" s="48" t="str"/>
      <x:c r="G13" s="48" t="str"/>
      <x:c r="H13" s="48" t="str"/>
      <x:c r="I13" s="48" t="str">
        <x:v>No</x:v>
      </x:c>
      <x:c r="J13" s="48" t="str"/>
      <x:c r="K13" s="48" t="str"/>
    </x:row>
    <x:row r="14">
      <x:c r="A14" s="48" t="str">
        <x:v>Route 1</x:v>
      </x:c>
      <x:c r="B14" s="61" t="str"/>
      <x:c r="C14" s="48" t="str"/>
      <x:c r="D14" s="48" t="str"/>
      <x:c r="E14" s="48" t="str"/>
      <x:c r="F14" s="48" t="str"/>
      <x:c r="G14" s="48" t="str"/>
      <x:c r="H14" s="48" t="str"/>
      <x:c r="I14" s="48" t="str">
        <x:v>No</x:v>
      </x:c>
      <x:c r="J14" s="48" t="str"/>
      <x:c r="K14" s="48" t="str"/>
    </x:row>
    <x:row r="15">
      <x:c r="A15" s="48" t="str">
        <x:v>Route 1</x:v>
      </x:c>
      <x:c r="B15" s="61" t="str"/>
      <x:c r="C15" s="48" t="str"/>
      <x:c r="D15" s="48" t="str"/>
      <x:c r="E15" s="48" t="str"/>
      <x:c r="F15" s="48" t="str"/>
      <x:c r="G15" s="48" t="str"/>
      <x:c r="H15" s="48" t="str"/>
      <x:c r="I15" s="48" t="str">
        <x:v>No</x:v>
      </x:c>
      <x:c r="J15" s="48" t="str"/>
      <x:c r="K15" s="48" t="str"/>
    </x:row>
    <x:row r="16">
      <x:c r="A16" s="48" t="str">
        <x:v>Route 1</x:v>
      </x:c>
      <x:c r="B16" s="61" t="str"/>
      <x:c r="C16" s="48" t="str"/>
      <x:c r="D16" s="48" t="str"/>
      <x:c r="E16" s="48" t="str"/>
      <x:c r="F16" s="48" t="str"/>
      <x:c r="G16" s="48" t="str"/>
      <x:c r="H16" s="48" t="str"/>
      <x:c r="I16" s="48" t="str">
        <x:v>No</x:v>
      </x:c>
      <x:c r="J16" s="48" t="str"/>
      <x:c r="K16" s="48" t="str"/>
    </x:row>
    <x:row r="17">
      <x:c r="A17" s="48" t="str">
        <x:v>Route 1</x:v>
      </x:c>
      <x:c r="B17" s="61" t="str"/>
      <x:c r="C17" s="48" t="str"/>
      <x:c r="D17" s="48" t="str"/>
      <x:c r="E17" s="48" t="str"/>
      <x:c r="F17" s="48" t="str"/>
      <x:c r="G17" s="48" t="str"/>
      <x:c r="H17" s="48" t="str"/>
      <x:c r="I17" s="48" t="str">
        <x:v>No</x:v>
      </x:c>
      <x:c r="J17" s="48" t="str"/>
      <x:c r="K17" s="48" t="str"/>
    </x:row>
    <x:row r="18">
      <x:c r="A18" s="48" t="str">
        <x:v>Route 1</x:v>
      </x:c>
      <x:c r="B18" s="61" t="str"/>
      <x:c r="C18" s="48" t="str"/>
      <x:c r="D18" s="48" t="str"/>
      <x:c r="E18" s="48" t="str"/>
      <x:c r="F18" s="48" t="str"/>
      <x:c r="G18" s="48" t="str"/>
      <x:c r="H18" s="48" t="str"/>
      <x:c r="I18" s="48" t="str">
        <x:v>No</x:v>
      </x:c>
      <x:c r="J18" s="48" t="str"/>
      <x:c r="K18" s="48" t="str"/>
    </x:row>
    <x:row r="19">
      <x:c r="A19" s="48" t="str">
        <x:v>Route 1</x:v>
      </x:c>
      <x:c r="B19" s="61" t="str"/>
      <x:c r="C19" s="48" t="str"/>
      <x:c r="D19" s="48" t="str"/>
      <x:c r="E19" s="48" t="str"/>
      <x:c r="F19" s="48" t="str"/>
      <x:c r="G19" s="48" t="str"/>
      <x:c r="H19" s="48" t="str"/>
      <x:c r="I19" s="48" t="str">
        <x:v>No</x:v>
      </x:c>
      <x:c r="J19" s="48" t="str"/>
      <x:c r="K19" s="48" t="str"/>
    </x:row>
  </x:sheetData>
  <x:mergeCells>
    <x:mergeCell ref="A1:K1"/>
    <x:mergeCell ref="A2:K2"/>
  </x:mergeCells>
  <x:dataValidations count="1">
    <x:dataValidation type="list" sqref="I5:I19">
      <x:formula1>"Yes,No,Partial,N/A"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77bdb4a29d448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0.130000114440918" hidden="0" customWidth="1"/>
    <x:col min="2" max="2" width="10.380000114440918" hidden="0" customWidth="1"/>
    <x:col min="3" max="3" width="5.380000114440918" hidden="0" customWidth="1"/>
    <x:col min="4" max="4" width="5.5" hidden="0" customWidth="1"/>
    <x:col min="5" max="5" width="5.880000114440918" hidden="0" customWidth="1"/>
    <x:col min="6" max="6" width="5.5" hidden="0" customWidth="1"/>
    <x:col min="7" max="7" width="6.130000114440918" hidden="0" customWidth="1"/>
    <x:col min="8" max="8" width="5.380000114440918" hidden="0" customWidth="1"/>
    <x:col min="9" max="9" width="4.880000114440918" hidden="0" customWidth="1"/>
    <x:col min="10" max="10" width="5.75" hidden="0" customWidth="1"/>
    <x:col min="11" max="11" width="5.630000114440918" hidden="0" customWidth="1"/>
    <x:col min="12" max="12" width="5.5" hidden="0" customWidth="1"/>
    <x:col min="13" max="13" width="5.880000114440918" hidden="0" customWidth="1"/>
    <x:col min="14" max="14" width="5.630000114440918" hidden="0" customWidth="1"/>
  </x:cols>
  <x:sheetData>
    <x:row r="1" ht="30" customHeight="1">
      <x:c r="A1" s="25" t="str">
        <x:v>MONTHLY LUBRICATION CALENDAR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 ht="32" customHeight="1">
      <x:c r="A2" s="32" t="str">
        <x:v>Use for planning and reviewing due lubrication work by month.</x:v>
      </x:c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</x:row>
    <x:row r="4" ht="26" customHeight="1">
      <x:c r="A4" s="40" t="str">
        <x:v>Equip. Tag</x:v>
      </x:c>
      <x:c r="B4" s="40" t="str">
        <x:v>Lube Point</x:v>
      </x:c>
      <x:c r="C4" s="40" t="str">
        <x:v>Jan</x:v>
      </x:c>
      <x:c r="D4" s="40" t="str">
        <x:v>Feb</x:v>
      </x:c>
      <x:c r="E4" s="40" t="str">
        <x:v>Mar</x:v>
      </x:c>
      <x:c r="F4" s="40" t="str">
        <x:v>Apr</x:v>
      </x:c>
      <x:c r="G4" s="40" t="str">
        <x:v>May</x:v>
      </x:c>
      <x:c r="H4" s="40" t="str">
        <x:v>Jun</x:v>
      </x:c>
      <x:c r="I4" s="40" t="str">
        <x:v>Jul</x:v>
      </x:c>
      <x:c r="J4" s="40" t="str">
        <x:v>Aug</x:v>
      </x:c>
      <x:c r="K4" s="40" t="str">
        <x:v>Sep</x:v>
      </x:c>
      <x:c r="L4" s="40" t="str">
        <x:v>Oct</x:v>
      </x:c>
      <x:c r="M4" s="40" t="str">
        <x:v>Nov</x:v>
      </x:c>
      <x:c r="N4" s="40" t="str">
        <x:v>Dec</x:v>
      </x:c>
    </x:row>
    <x:row r="5">
      <x:c r="A5" s="48" t="str"/>
      <x:c r="B5" s="48" t="str"/>
      <x:c r="C5" s="48" t="str"/>
      <x:c r="D5" s="48" t="str"/>
      <x:c r="E5" s="48" t="str"/>
      <x:c r="F5" s="48" t="str"/>
      <x:c r="G5" s="48" t="str"/>
      <x:c r="H5" s="48" t="str"/>
      <x:c r="I5" s="48" t="str"/>
      <x:c r="J5" s="48" t="str"/>
      <x:c r="K5" s="48" t="str"/>
      <x:c r="L5" s="48" t="str"/>
      <x:c r="M5" s="48" t="str"/>
      <x:c r="N5" s="48" t="str"/>
    </x:row>
    <x:row r="6">
      <x:c r="A6" s="48" t="str"/>
      <x:c r="B6" s="48" t="str"/>
      <x:c r="C6" s="48" t="str"/>
      <x:c r="D6" s="48" t="str"/>
      <x:c r="E6" s="48" t="str"/>
      <x:c r="F6" s="48" t="str"/>
      <x:c r="G6" s="48" t="str"/>
      <x:c r="H6" s="48" t="str"/>
      <x:c r="I6" s="48" t="str"/>
      <x:c r="J6" s="48" t="str"/>
      <x:c r="K6" s="48" t="str"/>
      <x:c r="L6" s="48" t="str"/>
      <x:c r="M6" s="48" t="str"/>
      <x:c r="N6" s="48" t="str"/>
    </x:row>
    <x:row r="7">
      <x:c r="A7" s="48" t="str"/>
      <x:c r="B7" s="48" t="str"/>
      <x:c r="C7" s="48" t="str"/>
      <x:c r="D7" s="48" t="str"/>
      <x:c r="E7" s="48" t="str"/>
      <x:c r="F7" s="48" t="str"/>
      <x:c r="G7" s="48" t="str"/>
      <x:c r="H7" s="48" t="str"/>
      <x:c r="I7" s="48" t="str"/>
      <x:c r="J7" s="48" t="str"/>
      <x:c r="K7" s="48" t="str"/>
      <x:c r="L7" s="48" t="str"/>
      <x:c r="M7" s="48" t="str"/>
      <x:c r="N7" s="48" t="str"/>
    </x:row>
    <x:row r="8">
      <x:c r="A8" s="48" t="str"/>
      <x:c r="B8" s="48" t="str"/>
      <x:c r="C8" s="48" t="str"/>
      <x:c r="D8" s="48" t="str"/>
      <x:c r="E8" s="48" t="str"/>
      <x:c r="F8" s="48" t="str"/>
      <x:c r="G8" s="48" t="str"/>
      <x:c r="H8" s="48" t="str"/>
      <x:c r="I8" s="48" t="str"/>
      <x:c r="J8" s="48" t="str"/>
      <x:c r="K8" s="48" t="str"/>
      <x:c r="L8" s="48" t="str"/>
      <x:c r="M8" s="48" t="str"/>
      <x:c r="N8" s="48" t="str"/>
    </x:row>
    <x:row r="9">
      <x:c r="A9" s="48" t="str"/>
      <x:c r="B9" s="48" t="str"/>
      <x:c r="C9" s="48" t="str"/>
      <x:c r="D9" s="48" t="str"/>
      <x:c r="E9" s="48" t="str"/>
      <x:c r="F9" s="48" t="str"/>
      <x:c r="G9" s="48" t="str"/>
      <x:c r="H9" s="48" t="str"/>
      <x:c r="I9" s="48" t="str"/>
      <x:c r="J9" s="48" t="str"/>
      <x:c r="K9" s="48" t="str"/>
      <x:c r="L9" s="48" t="str"/>
      <x:c r="M9" s="48" t="str"/>
      <x:c r="N9" s="48" t="str"/>
    </x:row>
    <x:row r="10">
      <x:c r="A10" s="48" t="str"/>
      <x:c r="B10" s="48" t="str"/>
      <x:c r="C10" s="48" t="str"/>
      <x:c r="D10" s="48" t="str"/>
      <x:c r="E10" s="48" t="str"/>
      <x:c r="F10" s="48" t="str"/>
      <x:c r="G10" s="48" t="str"/>
      <x:c r="H10" s="48" t="str"/>
      <x:c r="I10" s="48" t="str"/>
      <x:c r="J10" s="48" t="str"/>
      <x:c r="K10" s="48" t="str"/>
      <x:c r="L10" s="48" t="str"/>
      <x:c r="M10" s="48" t="str"/>
      <x:c r="N10" s="48" t="str"/>
    </x:row>
    <x:row r="11">
      <x:c r="A11" s="48" t="str"/>
      <x:c r="B11" s="48" t="str"/>
      <x:c r="C11" s="48" t="str"/>
      <x:c r="D11" s="48" t="str"/>
      <x:c r="E11" s="48" t="str"/>
      <x:c r="F11" s="48" t="str"/>
      <x:c r="G11" s="48" t="str"/>
      <x:c r="H11" s="48" t="str"/>
      <x:c r="I11" s="48" t="str"/>
      <x:c r="J11" s="48" t="str"/>
      <x:c r="K11" s="48" t="str"/>
      <x:c r="L11" s="48" t="str"/>
      <x:c r="M11" s="48" t="str"/>
      <x:c r="N11" s="48" t="str"/>
    </x:row>
    <x:row r="12">
      <x:c r="A12" s="48" t="str"/>
      <x:c r="B12" s="48" t="str"/>
      <x:c r="C12" s="48" t="str"/>
      <x:c r="D12" s="48" t="str"/>
      <x:c r="E12" s="48" t="str"/>
      <x:c r="F12" s="48" t="str"/>
      <x:c r="G12" s="48" t="str"/>
      <x:c r="H12" s="48" t="str"/>
      <x:c r="I12" s="48" t="str"/>
      <x:c r="J12" s="48" t="str"/>
      <x:c r="K12" s="48" t="str"/>
      <x:c r="L12" s="48" t="str"/>
      <x:c r="M12" s="48" t="str"/>
      <x:c r="N12" s="48" t="str"/>
    </x:row>
    <x:row r="13">
      <x:c r="A13" s="48" t="str"/>
      <x:c r="B13" s="48" t="str"/>
      <x:c r="C13" s="48" t="str"/>
      <x:c r="D13" s="48" t="str"/>
      <x:c r="E13" s="48" t="str"/>
      <x:c r="F13" s="48" t="str"/>
      <x:c r="G13" s="48" t="str"/>
      <x:c r="H13" s="48" t="str"/>
      <x:c r="I13" s="48" t="str"/>
      <x:c r="J13" s="48" t="str"/>
      <x:c r="K13" s="48" t="str"/>
      <x:c r="L13" s="48" t="str"/>
      <x:c r="M13" s="48" t="str"/>
      <x:c r="N13" s="48" t="str"/>
    </x:row>
    <x:row r="14">
      <x:c r="A14" s="48" t="str"/>
      <x:c r="B14" s="48" t="str"/>
      <x:c r="C14" s="48" t="str"/>
      <x:c r="D14" s="48" t="str"/>
      <x:c r="E14" s="48" t="str"/>
      <x:c r="F14" s="48" t="str"/>
      <x:c r="G14" s="48" t="str"/>
      <x:c r="H14" s="48" t="str"/>
      <x:c r="I14" s="48" t="str"/>
      <x:c r="J14" s="48" t="str"/>
      <x:c r="K14" s="48" t="str"/>
      <x:c r="L14" s="48" t="str"/>
      <x:c r="M14" s="48" t="str"/>
      <x:c r="N14" s="48" t="str"/>
    </x:row>
    <x:row r="15">
      <x:c r="A15" s="48" t="str"/>
      <x:c r="B15" s="48" t="str"/>
      <x:c r="C15" s="48" t="str"/>
      <x:c r="D15" s="48" t="str"/>
      <x:c r="E15" s="48" t="str"/>
      <x:c r="F15" s="48" t="str"/>
      <x:c r="G15" s="48" t="str"/>
      <x:c r="H15" s="48" t="str"/>
      <x:c r="I15" s="48" t="str"/>
      <x:c r="J15" s="48" t="str"/>
      <x:c r="K15" s="48" t="str"/>
      <x:c r="L15" s="48" t="str"/>
      <x:c r="M15" s="48" t="str"/>
      <x:c r="N15" s="48" t="str"/>
    </x:row>
    <x:row r="16">
      <x:c r="A16" s="48" t="str"/>
      <x:c r="B16" s="48" t="str"/>
      <x:c r="C16" s="48" t="str"/>
      <x:c r="D16" s="48" t="str"/>
      <x:c r="E16" s="48" t="str"/>
      <x:c r="F16" s="48" t="str"/>
      <x:c r="G16" s="48" t="str"/>
      <x:c r="H16" s="48" t="str"/>
      <x:c r="I16" s="48" t="str"/>
      <x:c r="J16" s="48" t="str"/>
      <x:c r="K16" s="48" t="str"/>
      <x:c r="L16" s="48" t="str"/>
      <x:c r="M16" s="48" t="str"/>
      <x:c r="N16" s="48" t="str"/>
    </x:row>
    <x:row r="17">
      <x:c r="A17" s="48" t="str"/>
      <x:c r="B17" s="48" t="str"/>
      <x:c r="C17" s="48" t="str"/>
      <x:c r="D17" s="48" t="str"/>
      <x:c r="E17" s="48" t="str"/>
      <x:c r="F17" s="48" t="str"/>
      <x:c r="G17" s="48" t="str"/>
      <x:c r="H17" s="48" t="str"/>
      <x:c r="I17" s="48" t="str"/>
      <x:c r="J17" s="48" t="str"/>
      <x:c r="K17" s="48" t="str"/>
      <x:c r="L17" s="48" t="str"/>
      <x:c r="M17" s="48" t="str"/>
      <x:c r="N17" s="48" t="str"/>
    </x:row>
    <x:row r="18">
      <x:c r="A18" s="48" t="str"/>
      <x:c r="B18" s="48" t="str"/>
      <x:c r="C18" s="48" t="str"/>
      <x:c r="D18" s="48" t="str"/>
      <x:c r="E18" s="48" t="str"/>
      <x:c r="F18" s="48" t="str"/>
      <x:c r="G18" s="48" t="str"/>
      <x:c r="H18" s="48" t="str"/>
      <x:c r="I18" s="48" t="str"/>
      <x:c r="J18" s="48" t="str"/>
      <x:c r="K18" s="48" t="str"/>
      <x:c r="L18" s="48" t="str"/>
      <x:c r="M18" s="48" t="str"/>
      <x:c r="N18" s="48" t="str"/>
    </x:row>
    <x:row r="19">
      <x:c r="A19" s="48" t="str"/>
      <x:c r="B19" s="48" t="str"/>
      <x:c r="C19" s="48" t="str"/>
      <x:c r="D19" s="48" t="str"/>
      <x:c r="E19" s="48" t="str"/>
      <x:c r="F19" s="48" t="str"/>
      <x:c r="G19" s="48" t="str"/>
      <x:c r="H19" s="48" t="str"/>
      <x:c r="I19" s="48" t="str"/>
      <x:c r="J19" s="48" t="str"/>
      <x:c r="K19" s="48" t="str"/>
      <x:c r="L19" s="48" t="str"/>
      <x:c r="M19" s="48" t="str"/>
      <x:c r="N19" s="48" t="str"/>
    </x:row>
    <x:row r="20">
      <x:c r="A20" s="48" t="str"/>
      <x:c r="B20" s="48" t="str"/>
      <x:c r="C20" s="48" t="str"/>
      <x:c r="D20" s="48" t="str"/>
      <x:c r="E20" s="48" t="str"/>
      <x:c r="F20" s="48" t="str"/>
      <x:c r="G20" s="48" t="str"/>
      <x:c r="H20" s="48" t="str"/>
      <x:c r="I20" s="48" t="str"/>
      <x:c r="J20" s="48" t="str"/>
      <x:c r="K20" s="48" t="str"/>
      <x:c r="L20" s="48" t="str"/>
      <x:c r="M20" s="48" t="str"/>
      <x:c r="N20" s="48" t="str"/>
    </x:row>
    <x:row r="21">
      <x:c r="A21" s="48" t="str"/>
      <x:c r="B21" s="48" t="str"/>
      <x:c r="C21" s="48" t="str"/>
      <x:c r="D21" s="48" t="str"/>
      <x:c r="E21" s="48" t="str"/>
      <x:c r="F21" s="48" t="str"/>
      <x:c r="G21" s="48" t="str"/>
      <x:c r="H21" s="48" t="str"/>
      <x:c r="I21" s="48" t="str"/>
      <x:c r="J21" s="48" t="str"/>
      <x:c r="K21" s="48" t="str"/>
      <x:c r="L21" s="48" t="str"/>
      <x:c r="M21" s="48" t="str"/>
      <x:c r="N21" s="48" t="str"/>
    </x:row>
    <x:row r="22">
      <x:c r="A22" s="48" t="str"/>
      <x:c r="B22" s="48" t="str"/>
      <x:c r="C22" s="48" t="str"/>
      <x:c r="D22" s="48" t="str"/>
      <x:c r="E22" s="48" t="str"/>
      <x:c r="F22" s="48" t="str"/>
      <x:c r="G22" s="48" t="str"/>
      <x:c r="H22" s="48" t="str"/>
      <x:c r="I22" s="48" t="str"/>
      <x:c r="J22" s="48" t="str"/>
      <x:c r="K22" s="48" t="str"/>
      <x:c r="L22" s="48" t="str"/>
      <x:c r="M22" s="48" t="str"/>
      <x:c r="N22" s="48" t="str"/>
    </x:row>
    <x:row r="23">
      <x:c r="A23" s="48" t="str"/>
      <x:c r="B23" s="48" t="str"/>
      <x:c r="C23" s="48" t="str"/>
      <x:c r="D23" s="48" t="str"/>
      <x:c r="E23" s="48" t="str"/>
      <x:c r="F23" s="48" t="str"/>
      <x:c r="G23" s="48" t="str"/>
      <x:c r="H23" s="48" t="str"/>
      <x:c r="I23" s="48" t="str"/>
      <x:c r="J23" s="48" t="str"/>
      <x:c r="K23" s="48" t="str"/>
      <x:c r="L23" s="48" t="str"/>
      <x:c r="M23" s="48" t="str"/>
      <x:c r="N23" s="48" t="str"/>
    </x:row>
    <x:row r="24">
      <x:c r="A24" s="48" t="str"/>
      <x:c r="B24" s="48" t="str"/>
      <x:c r="C24" s="48" t="str"/>
      <x:c r="D24" s="48" t="str"/>
      <x:c r="E24" s="48" t="str"/>
      <x:c r="F24" s="48" t="str"/>
      <x:c r="G24" s="48" t="str"/>
      <x:c r="H24" s="48" t="str"/>
      <x:c r="I24" s="48" t="str"/>
      <x:c r="J24" s="48" t="str"/>
      <x:c r="K24" s="48" t="str"/>
      <x:c r="L24" s="48" t="str"/>
      <x:c r="M24" s="48" t="str"/>
      <x:c r="N24" s="48" t="str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040c709f2a124dc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58" hidden="0" customWidth="1"/>
  </x:cols>
  <x:sheetData>
    <x:row r="1" ht="30" customHeight="1">
      <x:c r="A1" s="25" t="str">
        <x:v>LUBRICATION COMPLIANCE DASHBOARD</x:v>
      </x:c>
      <x:c r="B1" s="25"/>
      <x:c r="C1" s="25"/>
      <x:c r="D1" s="25"/>
      <x:c r="E1" s="25"/>
      <x:c r="F1" s="25"/>
      <x:c r="G1" s="25"/>
      <x:c r="H1" s="25"/>
      <x:c r="I1" s="25"/>
      <x:c r="J1" s="25"/>
    </x:row>
    <x:row r="2" ht="32" customHeight="1">
      <x:c r="A2" s="32" t="str">
        <x:v>Due, completed, overdue and low-stock indicators.</x:v>
      </x:c>
      <x:c r="B2" s="32"/>
      <x:c r="C2" s="32"/>
      <x:c r="D2" s="32"/>
      <x:c r="E2" s="32"/>
      <x:c r="F2" s="32"/>
      <x:c r="G2" s="32"/>
      <x:c r="H2" s="32"/>
      <x:c r="I2" s="32"/>
      <x:c r="J2" s="32"/>
    </x:row>
    <x:row r="4">
      <x:c r="A4" s="59" t="str">
        <x:v>Metric</x:v>
      </x:c>
      <x:c r="B4" s="59" t="str">
        <x:v>Value</x:v>
      </x:c>
      <x:c r="C4" s="59" t="str">
        <x:v>Interpretation</x:v>
      </x:c>
    </x:row>
    <x:row r="5">
      <x:c r="A5" s="67" t="str">
        <x:v>Total lube points</x:v>
      </x:c>
      <x:c r="B5" t="n">
        <x:f>COUNTA('🛢 Lubrication Schedule'!B6:B100)</x:f>
        <x:v>14</x:v>
      </x:c>
      <x:c r="C5" t="str">
        <x:v>Rows in lubrication schedule</x:v>
      </x:c>
    </x:row>
    <x:row r="6">
      <x:c r="A6" s="67" t="str">
        <x:v>Completed</x:v>
      </x:c>
      <x:c r="B6" t="n">
        <x:f>COUNTIF('🛢 Lubrication Schedule'!P:P,"Yes")</x:f>
        <x:v>0</x:v>
      </x:c>
      <x:c r="C6" t="str">
        <x:v>Completed rows</x:v>
      </x:c>
    </x:row>
    <x:row r="7">
      <x:c r="A7" s="67" t="str">
        <x:v>Overdue</x:v>
      </x:c>
      <x:c r="B7" t="n">
        <x:f>COUNTIF('🛢 Lubrication Schedule'!Q:Q,"YES")</x:f>
        <x:v>0</x:v>
      </x:c>
      <x:c r="C7" t="str">
        <x:v>Next due date has passed</x:v>
      </x:c>
    </x:row>
    <x:row r="8">
      <x:c r="A8" s="67" t="str">
        <x:v>Completion %</x:v>
      </x:c>
      <x:c r="B8" s="69" t="n">
        <x:f>IFERROR(B6/B5,0)</x:f>
        <x:v>0</x:v>
      </x:c>
      <x:c r="C8" t="str">
        <x:v>Completed ÷ total points</x:v>
      </x:c>
    </x:row>
    <x:row r="9">
      <x:c r="A9" s="67" t="str">
        <x:v>Low stock items</x:v>
      </x:c>
      <x:c r="B9" t="n">
        <x:f>COUNTIF('Stock &amp; Reorder'!G:G,"YES")</x:f>
        <x:v>0</x:v>
      </x:c>
      <x:c r="C9" t="str">
        <x:v>Items needing reorder</x:v>
      </x:c>
    </x:row>
    <x:row r="10">
      <x:c r="A10" s="67" t="str">
        <x:v>Open actions</x:v>
      </x:c>
      <x:c r="B10" t="n">
        <x:f>COUNTIFS('Action Tracker'!H:H,"&lt;&gt;Complete",'Action Tracker'!H:H,"&lt;&gt;Verified",'Action Tracker'!A:A,"&lt;&gt;")</x:f>
        <x:v>3</x:v>
      </x:c>
      <x:c r="C10" t="str">
        <x:v>Open action tracker items</x:v>
      </x:c>
    </x:row>
    <x:row r="11">
      <x:c r="A11" s="67" t="str">
        <x:v>Overall status</x:v>
      </x:c>
      <x:c r="B11" t="str">
        <x:f>IF(B8&gt;0,"OVERDUE LUBE",IF(B10&gt;0,"STOCK RISK","CONTROLLED"))</x:f>
        <x:v>STOCK RISK</x:v>
      </x:c>
      <x:c r="C11" t="str">
        <x:v>Management interpretation</x:v>
      </x:c>
    </x:row>
  </x:sheetData>
  <x:mergeCells>
    <x:mergeCell ref="A1:J1"/>
    <x:mergeCell ref="A2:J2"/>
  </x:mergeCells>
  <x:pageMargins left="0.7" right="0.7" top="0.75" bottom="0.75" header="0.3" footer="0.3"/>
</x:worksheet>
</file>