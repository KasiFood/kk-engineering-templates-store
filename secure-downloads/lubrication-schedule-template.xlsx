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b1b936d66c4309d/Desktop/LinkedIn Engineering Templates/"/>
    </mc:Choice>
  </mc:AlternateContent>
  <xr:revisionPtr revIDLastSave="0" documentId="8_{A1F7D79C-1C7B-4ACD-A48A-11F6CAEB7F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🛢 Lubrication Schedule" sheetId="1" r:id="rId1"/>
    <sheet name="📦 Lubricant Register" sheetId="2" r:id="rId2"/>
    <sheet name="Premium Guide" sheetId="3" r:id="rId3"/>
    <sheet name="Lists" sheetId="4" r:id="rId4"/>
    <sheet name="Action Tracker" sheetId="5" r:id="rId5"/>
    <sheet name="Stock &amp; Reorder" sheetId="6" r:id="rId6"/>
    <sheet name="Route Sheets" sheetId="7" r:id="rId7"/>
    <sheet name="Monthly Calendar" sheetId="8" r:id="rId8"/>
    <sheet name="Compliance Dashboard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6" i="9"/>
  <c r="B8" i="9" s="1"/>
  <c r="B11" i="9" s="1"/>
  <c r="B5" i="9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B9" i="9" s="1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O18" i="1"/>
  <c r="Q18" i="1" s="1"/>
  <c r="Q17" i="1"/>
  <c r="O17" i="1"/>
  <c r="O16" i="1"/>
  <c r="Q16" i="1" s="1"/>
  <c r="O15" i="1"/>
  <c r="Q15" i="1" s="1"/>
  <c r="O14" i="1"/>
  <c r="Q14" i="1" s="1"/>
  <c r="Q13" i="1"/>
  <c r="O13" i="1"/>
  <c r="O12" i="1"/>
  <c r="Q12" i="1" s="1"/>
  <c r="Q11" i="1"/>
  <c r="O11" i="1"/>
  <c r="O10" i="1"/>
  <c r="Q10" i="1" s="1"/>
  <c r="O9" i="1"/>
  <c r="Q9" i="1" s="1"/>
  <c r="O8" i="1"/>
  <c r="Q8" i="1" s="1"/>
  <c r="Q7" i="1"/>
  <c r="O7" i="1"/>
  <c r="O6" i="1"/>
  <c r="Q6" i="1" s="1"/>
  <c r="B7" i="9" s="1"/>
</calcChain>
</file>

<file path=xl/sharedStrings.xml><?xml version="1.0" encoding="utf-8"?>
<sst xmlns="http://schemas.openxmlformats.org/spreadsheetml/2006/main" count="410" uniqueCount="282">
  <si>
    <t>LUBRICATION SCHEDULE &amp; REGISTER</t>
  </si>
  <si>
    <t>► Yellow = fill in.  Frequency codes: D=Daily  W=Weekly  M=Monthly  Q=Quarterly  A=Annual</t>
  </si>
  <si>
    <t>Facility:</t>
  </si>
  <si>
    <t>Year:</t>
  </si>
  <si>
    <t>Prepared by:</t>
  </si>
  <si>
    <t>Approved by:</t>
  </si>
  <si>
    <t>Equip. Tag</t>
  </si>
  <si>
    <t>Equipment Name / Description</t>
  </si>
  <si>
    <t>Lube Point</t>
  </si>
  <si>
    <t>Lubricant Type</t>
  </si>
  <si>
    <t>Grade / Spec</t>
  </si>
  <si>
    <t>Frequency</t>
  </si>
  <si>
    <t>Qty (g/ml)</t>
  </si>
  <si>
    <t>Method</t>
  </si>
  <si>
    <t>Jan–Mar</t>
  </si>
  <si>
    <t>Apr–Jun</t>
  </si>
  <si>
    <t>Jul–Sep</t>
  </si>
  <si>
    <t>Oct–Dec</t>
  </si>
  <si>
    <t>P-101</t>
  </si>
  <si>
    <t>Feed Pump</t>
  </si>
  <si>
    <t>Drive End Bearing</t>
  </si>
  <si>
    <t>Shell Gadus S2</t>
  </si>
  <si>
    <t>V100 2</t>
  </si>
  <si>
    <t>M</t>
  </si>
  <si>
    <t>30</t>
  </si>
  <si>
    <t>Grease gun</t>
  </si>
  <si>
    <t>Jan/Apr/Jul/Oct</t>
  </si>
  <si>
    <t>Feb/May/Aug/Nov</t>
  </si>
  <si>
    <t>Mar/Jun/Sep/Dec</t>
  </si>
  <si>
    <t>Jan</t>
  </si>
  <si>
    <t>Non-Drive End Bearing</t>
  </si>
  <si>
    <t>20</t>
  </si>
  <si>
    <t>Mechanical Seal Flush</t>
  </si>
  <si>
    <t>Clean water</t>
  </si>
  <si>
    <t>N/A</t>
  </si>
  <si>
    <t>D</t>
  </si>
  <si>
    <t>—</t>
  </si>
  <si>
    <t>Check only</t>
  </si>
  <si>
    <t>P-102</t>
  </si>
  <si>
    <t>Tailings Pump</t>
  </si>
  <si>
    <t>Mobil Polyrex EM</t>
  </si>
  <si>
    <t>EM</t>
  </si>
  <si>
    <t>CV-001</t>
  </si>
  <si>
    <t>Primary Conveyor</t>
  </si>
  <si>
    <t>Head Pulley Bearings</t>
  </si>
  <si>
    <t>Shell Gadus S3</t>
  </si>
  <si>
    <t>V460D 2</t>
  </si>
  <si>
    <t>Q</t>
  </si>
  <si>
    <t>50</t>
  </si>
  <si>
    <t>Tail Pulley Bearings</t>
  </si>
  <si>
    <t>All Carry Idlers</t>
  </si>
  <si>
    <t>6M</t>
  </si>
  <si>
    <t>10</t>
  </si>
  <si>
    <t>GB-001</t>
  </si>
  <si>
    <t>Crusher Gearbox</t>
  </si>
  <si>
    <t>Gearbox Oil Sump</t>
  </si>
  <si>
    <t>Shell Omala S4 GX</t>
  </si>
  <si>
    <t>220</t>
  </si>
  <si>
    <t>A</t>
  </si>
  <si>
    <t>45L</t>
  </si>
  <si>
    <t>Oil change</t>
  </si>
  <si>
    <t>Gearbox Oil Top-up</t>
  </si>
  <si>
    <t>Check</t>
  </si>
  <si>
    <t>Dipstick</t>
  </si>
  <si>
    <t>GB-002</t>
  </si>
  <si>
    <t>Mill Gearbox</t>
  </si>
  <si>
    <t>Mobil SHC 630</t>
  </si>
  <si>
    <t>320</t>
  </si>
  <si>
    <t>80L</t>
  </si>
  <si>
    <t>M-101</t>
  </si>
  <si>
    <t>Primary Crusher</t>
  </si>
  <si>
    <t>Eccentric Shaft Bearings</t>
  </si>
  <si>
    <t>Mobil SHC 639</t>
  </si>
  <si>
    <t>100</t>
  </si>
  <si>
    <t>M-102</t>
  </si>
  <si>
    <t>Ball Mill</t>
  </si>
  <si>
    <t>Trunnion Bearings</t>
  </si>
  <si>
    <t>Shell Omala S4 WE</t>
  </si>
  <si>
    <t>680</t>
  </si>
  <si>
    <t>W</t>
  </si>
  <si>
    <t>500</t>
  </si>
  <si>
    <t>Pressure lube</t>
  </si>
  <si>
    <t>C-101</t>
  </si>
  <si>
    <t>Air Compressor</t>
  </si>
  <si>
    <t>Compressor Oil</t>
  </si>
  <si>
    <t>Atlas Copco Roto-Inject</t>
  </si>
  <si>
    <t>46</t>
  </si>
  <si>
    <t>Change</t>
  </si>
  <si>
    <t>FN-001</t>
  </si>
  <si>
    <t>Cooling Fan</t>
  </si>
  <si>
    <t>Motor Bearings</t>
  </si>
  <si>
    <t>Shell Alvania EP</t>
  </si>
  <si>
    <t>2</t>
  </si>
  <si>
    <t>25</t>
  </si>
  <si>
    <t>LUBRICANT PRODUCT REGISTER</t>
  </si>
  <si>
    <t>► List all lubricants used on site. Assign a colour code label for easy identification in the field.</t>
  </si>
  <si>
    <t>Lubricant Name / Brand</t>
  </si>
  <si>
    <t>Grade / Viscosity</t>
  </si>
  <si>
    <t>Application</t>
  </si>
  <si>
    <t>Colour Code</t>
  </si>
  <si>
    <t>Storage Location</t>
  </si>
  <si>
    <t>Min Stock (units)</t>
  </si>
  <si>
    <t>Current Stock</t>
  </si>
  <si>
    <t>Shell Gadus S2 V100 2</t>
  </si>
  <si>
    <t>NLGI 2 Grease</t>
  </si>
  <si>
    <t>General bearings</t>
  </si>
  <si>
    <t>Yellow</t>
  </si>
  <si>
    <t>Lube store Bay A</t>
  </si>
  <si>
    <t>10 tubs</t>
  </si>
  <si>
    <t>Shell Gadus S3 V460D 2</t>
  </si>
  <si>
    <t>Heavy duty bearings</t>
  </si>
  <si>
    <t>Red</t>
  </si>
  <si>
    <t>5 tubs</t>
  </si>
  <si>
    <t>Shell Omala S4 GX 220</t>
  </si>
  <si>
    <t>ISO VG 220 Gear oil</t>
  </si>
  <si>
    <t>Gearboxes</t>
  </si>
  <si>
    <t>Blue</t>
  </si>
  <si>
    <t>Drum store</t>
  </si>
  <si>
    <t>2 x 200L</t>
  </si>
  <si>
    <t>Shell Omala S4 WE 680</t>
  </si>
  <si>
    <t>ISO VG 680 Gear oil</t>
  </si>
  <si>
    <t>Mill gearboxes</t>
  </si>
  <si>
    <t>Blue stripe</t>
  </si>
  <si>
    <t>1 x 200L</t>
  </si>
  <si>
    <t>ISO VG 320 Synthetic</t>
  </si>
  <si>
    <t>High-speed gearbox</t>
  </si>
  <si>
    <t>Green</t>
  </si>
  <si>
    <t>NLGI 2 Polyurea</t>
  </si>
  <si>
    <t>Electric motor bearings</t>
  </si>
  <si>
    <t>Orange</t>
  </si>
  <si>
    <t>Lube store Bay B</t>
  </si>
  <si>
    <t>Atlas Copco Roto-Inject 46</t>
  </si>
  <si>
    <t>Compressor oil</t>
  </si>
  <si>
    <t>Air compressors</t>
  </si>
  <si>
    <t>White</t>
  </si>
  <si>
    <t>Compressor room</t>
  </si>
  <si>
    <t>4 x 20L</t>
  </si>
  <si>
    <t>Shell Alvania EP 2</t>
  </si>
  <si>
    <t>Fan / light bearings</t>
  </si>
  <si>
    <t>Green stripe</t>
  </si>
  <si>
    <t>Clean water (demineralised)</t>
  </si>
  <si>
    <t>Pump seal flush</t>
  </si>
  <si>
    <t>Clear</t>
  </si>
  <si>
    <t>Water supply</t>
  </si>
  <si>
    <t>Continuous</t>
  </si>
  <si>
    <t>Last Done</t>
  </si>
  <si>
    <t>Next Due</t>
  </si>
  <si>
    <t>Completed?</t>
  </si>
  <si>
    <t>Overdue?</t>
  </si>
  <si>
    <t>Route</t>
  </si>
  <si>
    <t>Responsible</t>
  </si>
  <si>
    <t>Lubrication Schedule Template — PREMIUM UPGRADE GUIDE</t>
  </si>
  <si>
    <t>Original template preserved. Added premium sheets turn the file into a semi-automated maintenance management tool.</t>
  </si>
  <si>
    <t>Step</t>
  </si>
  <si>
    <t>What to do</t>
  </si>
  <si>
    <t>Outcome</t>
  </si>
  <si>
    <t>1</t>
  </si>
  <si>
    <t>Enter field data</t>
  </si>
  <si>
    <t>Complete the original inspection/report sheet. Yellow cells and result columns are input fields.</t>
  </si>
  <si>
    <t>Use dropdowns</t>
  </si>
  <si>
    <t>Use standardised results, priority, status, criticality and RCA decision fields to keep data clean.</t>
  </si>
  <si>
    <t>3</t>
  </si>
  <si>
    <t>Review dashboard</t>
  </si>
  <si>
    <t>Open the dashboard/summary sheet to view compliance, open actions, overdue actions and management risk indicators.</t>
  </si>
  <si>
    <t>4</t>
  </si>
  <si>
    <t>Close actions</t>
  </si>
  <si>
    <t>Transfer defects/recommendations to the Action Tracker with owner, due date, status and verification evidence.</t>
  </si>
  <si>
    <t>5</t>
  </si>
  <si>
    <t>Issue report</t>
  </si>
  <si>
    <t>Use the original form for site records and the added registers for meetings, audits and maintenance planning.</t>
  </si>
  <si>
    <t>Upgrades Implemented</t>
  </si>
  <si>
    <t>• Next due date, completion status and overdue logic added to the schedule.</t>
  </si>
  <si>
    <t>• Lubricant stock/reorder tracker added with minimum stock and reorder alert.</t>
  </si>
  <si>
    <t>• Route-based lubrication sheet added for technician execution.</t>
  </si>
  <si>
    <t>• Monthly lubrication calendar added for planning due work.</t>
  </si>
  <si>
    <t>• Compliance dashboard added for due, completed, overdue and low-stock indicators.</t>
  </si>
  <si>
    <t>CONTROL LISTS / DROPDOWNS</t>
  </si>
  <si>
    <t>Edit these lists if your site uses different status, priority, failure mode or criticality labels.</t>
  </si>
  <si>
    <t>Status</t>
  </si>
  <si>
    <t>Priority</t>
  </si>
  <si>
    <t>Result</t>
  </si>
  <si>
    <t>Severity</t>
  </si>
  <si>
    <t>Failure Mode</t>
  </si>
  <si>
    <t>Criticality</t>
  </si>
  <si>
    <t>Shift</t>
  </si>
  <si>
    <t>RCA Required</t>
  </si>
  <si>
    <t>Open</t>
  </si>
  <si>
    <t>Critical</t>
  </si>
  <si>
    <t>✓</t>
  </si>
  <si>
    <t>Mechanical</t>
  </si>
  <si>
    <t>A - Critical</t>
  </si>
  <si>
    <t>Day</t>
  </si>
  <si>
    <t>Yes</t>
  </si>
  <si>
    <t>In Progress</t>
  </si>
  <si>
    <t>High</t>
  </si>
  <si>
    <t>✗</t>
  </si>
  <si>
    <t>Electrical</t>
  </si>
  <si>
    <t>B - Important</t>
  </si>
  <si>
    <t>Night</t>
  </si>
  <si>
    <t>No</t>
  </si>
  <si>
    <t>Complete</t>
  </si>
  <si>
    <t>Medium</t>
  </si>
  <si>
    <t>Lubrication</t>
  </si>
  <si>
    <t>C - General</t>
  </si>
  <si>
    <t>TBC</t>
  </si>
  <si>
    <t>Overdue</t>
  </si>
  <si>
    <t>Low</t>
  </si>
  <si>
    <t>Monitor</t>
  </si>
  <si>
    <t>Hydraulic</t>
  </si>
  <si>
    <t>B</t>
  </si>
  <si>
    <t>Deferred</t>
  </si>
  <si>
    <t>Pneumatic</t>
  </si>
  <si>
    <t>C</t>
  </si>
  <si>
    <t>Cancelled</t>
  </si>
  <si>
    <t>Instrumentation</t>
  </si>
  <si>
    <t>Verified</t>
  </si>
  <si>
    <t>Process</t>
  </si>
  <si>
    <t>Operator</t>
  </si>
  <si>
    <t>Design</t>
  </si>
  <si>
    <t>Unknown</t>
  </si>
  <si>
    <t>ACTION TRACKER</t>
  </si>
  <si>
    <t>Central register for defects, recommendations, close-out dates, and verification.</t>
  </si>
  <si>
    <t>Source/Sheet</t>
  </si>
  <si>
    <t>Asset / Equipment</t>
  </si>
  <si>
    <t>Finding / Defect</t>
  </si>
  <si>
    <t>Risk / Impact</t>
  </si>
  <si>
    <t>Responsible Person</t>
  </si>
  <si>
    <t>Due Date</t>
  </si>
  <si>
    <t>Close-out Date</t>
  </si>
  <si>
    <t>Verification / Evidence</t>
  </si>
  <si>
    <t>Days Overdue</t>
  </si>
  <si>
    <t>LUBRICANT STOCK &amp; REORDER TRACKER</t>
  </si>
  <si>
    <t>Control lubricant availability and reduce missed lubrication due to stock-outs.</t>
  </si>
  <si>
    <t>Lubricant</t>
  </si>
  <si>
    <t>Grade/Spec</t>
  </si>
  <si>
    <t>Container Size</t>
  </si>
  <si>
    <t>Current Stock Qty</t>
  </si>
  <si>
    <t>Minimum Stock Qty</t>
  </si>
  <si>
    <t>Monthly Use Forecast</t>
  </si>
  <si>
    <t>Reorder Required?</t>
  </si>
  <si>
    <t>Supplier</t>
  </si>
  <si>
    <t>Lead Time (days)</t>
  </si>
  <si>
    <t>Notes</t>
  </si>
  <si>
    <t>ROUTE-BASED LUBRICATION EXECUTION SHEET</t>
  </si>
  <si>
    <t>Filter or copy rows by route for daily/weekly technician work packs.</t>
  </si>
  <si>
    <t>Equipment</t>
  </si>
  <si>
    <t>Qty</t>
  </si>
  <si>
    <t>Done?</t>
  </si>
  <si>
    <t>Technician</t>
  </si>
  <si>
    <t>Comments</t>
  </si>
  <si>
    <t>Route 1</t>
  </si>
  <si>
    <t>MONTHLY LUBRICATION CALENDAR</t>
  </si>
  <si>
    <t>Use for planning and reviewing due lubrication work by month.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</si>
  <si>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</si>
  <si>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</si>
  <si>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</si>
  <si>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</si>
  <si>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</si>
  <si>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</si>
  <si>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</si>
  <si>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</si>
  <si>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</si>
  <si>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</si>
  <si>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</si>
  <si>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LUBRICATION COMPLIANCE DASHBOARD</t>
  </si>
  <si>
    <t>Due, completed, overdue and low-stock indicators.</t>
  </si>
  <si>
    <t>Metric</t>
  </si>
  <si>
    <t>Value</t>
  </si>
  <si>
    <t>Interpretation</t>
  </si>
  <si>
    <t>Total lube points</t>
  </si>
  <si>
    <t>Rows in lubrication schedule</t>
  </si>
  <si>
    <t>Completed</t>
  </si>
  <si>
    <t>Completed rows</t>
  </si>
  <si>
    <t>Next due date has passed</t>
  </si>
  <si>
    <t>Completion %</t>
  </si>
  <si>
    <t>Completed ÷ total points</t>
  </si>
  <si>
    <t>Low stock items</t>
  </si>
  <si>
    <t>Items needing reorder</t>
  </si>
  <si>
    <t>Open actions</t>
  </si>
  <si>
    <t>Open action tracker items</t>
  </si>
  <si>
    <t>Overall status</t>
  </si>
  <si>
    <t>Management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</si>
</sst>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12" x14ac:knownFonts="1">
    <font>
      <sz val="11"/>
      <color theme="1"/>
      <name val="Calibri"/>
    </font>
    <font>
      <sz val="10"/>
      <name val="Arial"/>
    </font>
    <font>
      <b/>
      <sz val="13"/>
      <color rgb="FFE8A020"/>
      <name val="Arial"/>
    </font>
    <font>
      <i/>
      <sz val="8"/>
      <color rgb="FF717D7E"/>
      <name val="Arial"/>
    </font>
    <font>
      <b/>
      <sz val="9"/>
      <color rgb="FFFFFFFF"/>
      <name val="Arial"/>
    </font>
    <font>
      <sz val="9"/>
      <color rgb="FF1A1A2E"/>
      <name val="Arial"/>
    </font>
    <font>
      <b/>
      <sz val="12"/>
      <color rgb="FFE8A020"/>
      <name val="Arial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9E6"/>
      </patternFill>
    </fill>
    <fill>
      <patternFill patternType="solid">
        <fgColor rgb="FF16213E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23">
    <xf numFmtId="0" fontId="0" fillId="0" borderId="0" xfId="0"/>
    <xf numFmtId="0" fontId="0" fillId="9" borderId="0" xfId="0" applyFill="1" applyAlignment="1">
      <alignment wrapText="1"/>
    </xf>
    <xf numFmtId="0" fontId="8" fillId="6" borderId="0" xfId="0" applyFont="1" applyFill="1" applyAlignment="1">
      <alignment wrapText="1"/>
    </xf>
    <xf numFmtId="0" fontId="7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4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9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0" fillId="8" borderId="0" xfId="0" applyFont="1" applyFill="1"/>
    <xf numFmtId="0" fontId="10" fillId="7" borderId="0" xfId="0" applyFont="1" applyFill="1"/>
    <xf numFmtId="164" fontId="0" fillId="0" borderId="0" xfId="0" applyNumberFormat="1" applyAlignment="1">
      <alignment vertical="top" wrapText="1"/>
    </xf>
    <xf numFmtId="0" fontId="10" fillId="8" borderId="0" xfId="0" applyFont="1" applyFill="1" applyAlignment="1">
      <alignment wrapText="1"/>
    </xf>
    <xf numFmtId="164" fontId="0" fillId="0" borderId="0" xfId="0" applyNumberFormat="1"/>
    <xf numFmtId="0" fontId="11" fillId="6" borderId="0" xfId="0" applyFont="1" applyFill="1"/>
    <xf numFmtId="9" fontId="0" fillId="0" borderId="0" xfId="0" applyNumberFormat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1"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CCCCC"/>
      <rgbColor rgb="FF717D7E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beActionTracker" displayName="LubeActionTracker" ref="A4:K34">
  <tableColumns count="11">
    <tableColumn id="1" xr3:uid="{00000000-0010-0000-0000-000001000000}" name="Source/Sheet"/>
    <tableColumn id="2" xr3:uid="{00000000-0010-0000-0000-000002000000}" name="Asset / Equipment"/>
    <tableColumn id="3" xr3:uid="{00000000-0010-0000-0000-000003000000}" name="Finding / Defect"/>
    <tableColumn id="4" xr3:uid="{00000000-0010-0000-0000-000004000000}" name="Risk / Impact"/>
    <tableColumn id="5" xr3:uid="{00000000-0010-0000-0000-000005000000}" name="Priority"/>
    <tableColumn id="6" xr3:uid="{00000000-0010-0000-0000-000006000000}" name="Responsible Person"/>
    <tableColumn id="7" xr3:uid="{00000000-0010-0000-0000-000007000000}" name="Due Date"/>
    <tableColumn id="8" xr3:uid="{00000000-0010-0000-0000-000008000000}" name="Status"/>
    <tableColumn id="9" xr3:uid="{00000000-0010-0000-0000-000009000000}" name="Close-out Date"/>
    <tableColumn id="10" xr3:uid="{00000000-0010-0000-0000-00000A000000}" name="Verification / Evidence"/>
    <tableColumn id="11" xr3:uid="{00000000-0010-0000-0000-00000B000000}" name="Days Over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ubeStock" displayName="LubeStock" ref="A4:J24">
  <tableColumns count="10">
    <tableColumn id="1" xr3:uid="{00000000-0010-0000-0100-000001000000}" name="Lubricant"/>
    <tableColumn id="2" xr3:uid="{00000000-0010-0000-0100-000002000000}" name="Grade/Spec"/>
    <tableColumn id="3" xr3:uid="{00000000-0010-0000-0100-000003000000}" name="Container Size"/>
    <tableColumn id="4" xr3:uid="{00000000-0010-0000-0100-000004000000}" name="Current Stock Qty"/>
    <tableColumn id="5" xr3:uid="{00000000-0010-0000-0100-000005000000}" name="Minimum Stock Qty"/>
    <tableColumn id="6" xr3:uid="{00000000-0010-0000-0100-000006000000}" name="Monthly Use Forecast"/>
    <tableColumn id="7" xr3:uid="{00000000-0010-0000-0100-000007000000}" name="Reorder Required?"/>
    <tableColumn id="8" xr3:uid="{00000000-0010-0000-0100-000008000000}" name="Supplier"/>
    <tableColumn id="9" xr3:uid="{00000000-0010-0000-0100-000009000000}" name="Lead Time (days)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ubeRoutes" displayName="LubeRoutes" ref="A4:K19">
  <tableColumns count="11">
    <tableColumn id="1" xr3:uid="{00000000-0010-0000-0200-000001000000}" name="Route"/>
    <tableColumn id="2" xr3:uid="{00000000-0010-0000-0200-000002000000}" name="Due Date"/>
    <tableColumn id="3" xr3:uid="{00000000-0010-0000-0200-000003000000}" name="Equip. Tag"/>
    <tableColumn id="4" xr3:uid="{00000000-0010-0000-0200-000004000000}" name="Equipment"/>
    <tableColumn id="5" xr3:uid="{00000000-0010-0000-0200-000005000000}" name="Lube Point"/>
    <tableColumn id="6" xr3:uid="{00000000-0010-0000-0200-000006000000}" name="Lubricant"/>
    <tableColumn id="7" xr3:uid="{00000000-0010-0000-0200-000007000000}" name="Qty"/>
    <tableColumn id="8" xr3:uid="{00000000-0010-0000-0200-000008000000}" name="Method"/>
    <tableColumn id="9" xr3:uid="{00000000-0010-0000-0200-000009000000}" name="Done?"/>
    <tableColumn id="10" xr3:uid="{00000000-0010-0000-0200-00000A000000}" name="Technician"/>
    <tableColumn id="11" xr3:uid="{00000000-0010-0000-0200-00000B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ubeCalendar" displayName="LubeCalendar" ref="A4:N24">
  <tableColumns count="14">
    <tableColumn id="1" xr3:uid="{00000000-0010-0000-0300-000001000000}" name="Equip. Tag"/>
    <tableColumn id="2" xr3:uid="{00000000-0010-0000-0300-000002000000}" name="Lube Point"/>
    <tableColumn id="3" xr3:uid="{00000000-0010-0000-0300-000003000000}" name="Jan"/>
    <tableColumn id="4" xr3:uid="{00000000-0010-0000-0300-000004000000}" name="Feb"/>
    <tableColumn id="5" xr3:uid="{00000000-0010-0000-0300-000005000000}" name="Mar"/>
    <tableColumn id="6" xr3:uid="{00000000-0010-0000-0300-000006000000}" name="Apr"/>
    <tableColumn id="7" xr3:uid="{00000000-0010-0000-0300-000007000000}" name="May"/>
    <tableColumn id="8" xr3:uid="{00000000-0010-0000-0300-000008000000}" name="Jun"/>
    <tableColumn id="9" xr3:uid="{00000000-0010-0000-0300-000009000000}" name="Jul"/>
    <tableColumn id="10" xr3:uid="{00000000-0010-0000-0300-00000A000000}" name="Aug"/>
    <tableColumn id="11" xr3:uid="{00000000-0010-0000-0300-00000B000000}" name="Sep"/>
    <tableColumn id="12" xr3:uid="{00000000-0010-0000-0300-00000C000000}" name="Oct"/>
    <tableColumn id="13" xr3:uid="{00000000-0010-0000-0300-00000D000000}" name="Nov"/>
    <tableColumn id="14" xr3:uid="{00000000-0010-0000-0300-00000E000000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A020"/>
  </sheetPr>
  <dimension ref="A1:S55"/>
  <sheetViews>
    <sheetView showGridLines="0" workbookViewId="0"/>
  </sheetViews>
  <sheetFormatPr defaultColWidth="8.6640625" defaultRowHeight="14.4" x14ac:dyDescent="0.3"/>
  <cols>
    <col min="1" max="1" width="2" customWidth="1"/>
    <col min="2" max="2" width="8" customWidth="1"/>
    <col min="3" max="3" width="22" customWidth="1"/>
    <col min="4" max="4" width="18" customWidth="1"/>
    <col min="5" max="5" width="14" customWidth="1"/>
    <col min="6" max="6" width="16" customWidth="1"/>
    <col min="7" max="7" width="14" customWidth="1"/>
    <col min="8" max="11" width="10" customWidth="1"/>
    <col min="12" max="12" width="12" customWidth="1"/>
    <col min="13" max="13" width="18" customWidth="1"/>
    <col min="14" max="16" width="13" customWidth="1"/>
    <col min="17" max="17" width="12" customWidth="1"/>
    <col min="18" max="19" width="16" customWidth="1"/>
  </cols>
  <sheetData>
    <row r="1" spans="1:19" ht="7.5" customHeight="1" x14ac:dyDescent="0.3"/>
    <row r="2" spans="1:19" ht="37.5" customHeight="1" x14ac:dyDescent="0.3">
      <c r="A2" s="7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9" ht="18" customHeight="1" x14ac:dyDescent="0.3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9" ht="19.5" customHeight="1" x14ac:dyDescent="0.3">
      <c r="B4" s="8" t="s">
        <v>2</v>
      </c>
      <c r="C4" s="9"/>
      <c r="E4" s="8" t="s">
        <v>3</v>
      </c>
      <c r="F4" s="9"/>
      <c r="G4" s="8" t="s">
        <v>4</v>
      </c>
      <c r="H4" s="9"/>
      <c r="J4" s="8" t="s">
        <v>5</v>
      </c>
      <c r="K4" s="9"/>
    </row>
    <row r="5" spans="1:19" ht="24" customHeight="1" x14ac:dyDescent="0.3"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9" t="s">
        <v>145</v>
      </c>
      <c r="O5" s="19" t="s">
        <v>146</v>
      </c>
      <c r="P5" s="19" t="s">
        <v>147</v>
      </c>
      <c r="Q5" s="19" t="s">
        <v>148</v>
      </c>
      <c r="R5" s="19" t="s">
        <v>149</v>
      </c>
      <c r="S5" s="19" t="s">
        <v>150</v>
      </c>
    </row>
    <row r="6" spans="1:19" ht="18" customHeight="1" x14ac:dyDescent="0.3">
      <c r="B6" s="11" t="s">
        <v>18</v>
      </c>
      <c r="C6" s="12" t="s">
        <v>19</v>
      </c>
      <c r="D6" s="12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1" t="s">
        <v>25</v>
      </c>
      <c r="J6" s="11" t="s">
        <v>26</v>
      </c>
      <c r="K6" s="11" t="s">
        <v>27</v>
      </c>
      <c r="L6" s="11" t="s">
        <v>28</v>
      </c>
      <c r="M6" s="11" t="s">
        <v>29</v>
      </c>
      <c r="N6" s="20"/>
      <c r="O6" s="20" t="str">
        <f t="shared" ref="O6:O18" si="0">IF(N6="","",N6+IF(G6="D",1,IF(G6="W",7,IF(G6="M",30,IF(G6="Q",91,IF(G6="A",365,IF(G6="6M",182,30)))))))</f>
        <v/>
      </c>
      <c r="Q6" t="str">
        <f t="shared" ref="Q6:Q18" ca="1" si="1">IF(O6="","",IF(O6&lt;TODAY(),"YES","NO"))</f>
        <v/>
      </c>
    </row>
    <row r="7" spans="1:19" ht="18" customHeight="1" x14ac:dyDescent="0.3">
      <c r="B7" s="11" t="s">
        <v>18</v>
      </c>
      <c r="C7" s="12" t="s">
        <v>19</v>
      </c>
      <c r="D7" s="12" t="s">
        <v>30</v>
      </c>
      <c r="E7" s="11" t="s">
        <v>21</v>
      </c>
      <c r="F7" s="11" t="s">
        <v>22</v>
      </c>
      <c r="G7" s="11" t="s">
        <v>23</v>
      </c>
      <c r="H7" s="11" t="s">
        <v>31</v>
      </c>
      <c r="I7" s="11" t="s">
        <v>25</v>
      </c>
      <c r="J7" s="11"/>
      <c r="K7" s="11"/>
      <c r="L7" s="11"/>
      <c r="M7" s="11"/>
      <c r="N7" s="20"/>
      <c r="O7" s="20" t="str">
        <f t="shared" si="0"/>
        <v/>
      </c>
      <c r="Q7" t="str">
        <f t="shared" ca="1" si="1"/>
        <v/>
      </c>
    </row>
    <row r="8" spans="1:19" ht="18" customHeight="1" x14ac:dyDescent="0.3">
      <c r="B8" s="11" t="s">
        <v>18</v>
      </c>
      <c r="C8" s="12" t="s">
        <v>19</v>
      </c>
      <c r="D8" s="12" t="s">
        <v>32</v>
      </c>
      <c r="E8" s="11" t="s">
        <v>33</v>
      </c>
      <c r="F8" s="11" t="s">
        <v>34</v>
      </c>
      <c r="G8" s="11" t="s">
        <v>35</v>
      </c>
      <c r="H8" s="11" t="s">
        <v>36</v>
      </c>
      <c r="I8" s="11" t="s">
        <v>37</v>
      </c>
      <c r="J8" s="11"/>
      <c r="K8" s="11"/>
      <c r="L8" s="11"/>
      <c r="M8" s="11"/>
      <c r="N8" s="20"/>
      <c r="O8" s="20" t="str">
        <f t="shared" si="0"/>
        <v/>
      </c>
      <c r="Q8" t="str">
        <f t="shared" ca="1" si="1"/>
        <v/>
      </c>
    </row>
    <row r="9" spans="1:19" ht="18" customHeight="1" x14ac:dyDescent="0.3">
      <c r="B9" s="11" t="s">
        <v>38</v>
      </c>
      <c r="C9" s="12" t="s">
        <v>39</v>
      </c>
      <c r="D9" s="12" t="s">
        <v>20</v>
      </c>
      <c r="E9" s="11" t="s">
        <v>40</v>
      </c>
      <c r="F9" s="11" t="s">
        <v>41</v>
      </c>
      <c r="G9" s="11" t="s">
        <v>23</v>
      </c>
      <c r="H9" s="11" t="s">
        <v>24</v>
      </c>
      <c r="I9" s="11" t="s">
        <v>25</v>
      </c>
      <c r="J9" s="11"/>
      <c r="K9" s="11"/>
      <c r="L9" s="11"/>
      <c r="M9" s="11"/>
      <c r="N9" s="20"/>
      <c r="O9" s="20" t="str">
        <f t="shared" si="0"/>
        <v/>
      </c>
      <c r="Q9" t="str">
        <f t="shared" ca="1" si="1"/>
        <v/>
      </c>
    </row>
    <row r="10" spans="1:19" ht="18" customHeight="1" x14ac:dyDescent="0.3">
      <c r="B10" s="11" t="s">
        <v>42</v>
      </c>
      <c r="C10" s="12" t="s">
        <v>43</v>
      </c>
      <c r="D10" s="12" t="s">
        <v>44</v>
      </c>
      <c r="E10" s="11" t="s">
        <v>45</v>
      </c>
      <c r="F10" s="11" t="s">
        <v>46</v>
      </c>
      <c r="G10" s="11" t="s">
        <v>47</v>
      </c>
      <c r="H10" s="11" t="s">
        <v>48</v>
      </c>
      <c r="I10" s="11" t="s">
        <v>25</v>
      </c>
      <c r="J10" s="11"/>
      <c r="K10" s="11"/>
      <c r="L10" s="11"/>
      <c r="M10" s="11"/>
      <c r="N10" s="20"/>
      <c r="O10" s="20" t="str">
        <f t="shared" si="0"/>
        <v/>
      </c>
      <c r="Q10" t="str">
        <f t="shared" ca="1" si="1"/>
        <v/>
      </c>
    </row>
    <row r="11" spans="1:19" ht="18" customHeight="1" x14ac:dyDescent="0.3">
      <c r="B11" s="11" t="s">
        <v>42</v>
      </c>
      <c r="C11" s="12" t="s">
        <v>43</v>
      </c>
      <c r="D11" s="12" t="s">
        <v>49</v>
      </c>
      <c r="E11" s="11" t="s">
        <v>45</v>
      </c>
      <c r="F11" s="11" t="s">
        <v>46</v>
      </c>
      <c r="G11" s="11" t="s">
        <v>47</v>
      </c>
      <c r="H11" s="11" t="s">
        <v>48</v>
      </c>
      <c r="I11" s="11" t="s">
        <v>25</v>
      </c>
      <c r="J11" s="11"/>
      <c r="K11" s="11"/>
      <c r="L11" s="11"/>
      <c r="M11" s="11"/>
      <c r="N11" s="20"/>
      <c r="O11" s="20" t="str">
        <f t="shared" si="0"/>
        <v/>
      </c>
      <c r="Q11" t="str">
        <f t="shared" ca="1" si="1"/>
        <v/>
      </c>
    </row>
    <row r="12" spans="1:19" ht="18" customHeight="1" x14ac:dyDescent="0.3">
      <c r="B12" s="11" t="s">
        <v>42</v>
      </c>
      <c r="C12" s="12" t="s">
        <v>43</v>
      </c>
      <c r="D12" s="12" t="s">
        <v>50</v>
      </c>
      <c r="E12" s="11" t="s">
        <v>21</v>
      </c>
      <c r="F12" s="11" t="s">
        <v>22</v>
      </c>
      <c r="G12" s="11" t="s">
        <v>51</v>
      </c>
      <c r="H12" s="11" t="s">
        <v>52</v>
      </c>
      <c r="I12" s="11" t="s">
        <v>25</v>
      </c>
      <c r="J12" s="11"/>
      <c r="K12" s="11"/>
      <c r="L12" s="11"/>
      <c r="M12" s="11"/>
      <c r="N12" s="20"/>
      <c r="O12" s="20" t="str">
        <f t="shared" si="0"/>
        <v/>
      </c>
      <c r="Q12" t="str">
        <f t="shared" ca="1" si="1"/>
        <v/>
      </c>
    </row>
    <row r="13" spans="1:19" ht="18" customHeight="1" x14ac:dyDescent="0.3">
      <c r="B13" s="11" t="s">
        <v>53</v>
      </c>
      <c r="C13" s="12" t="s">
        <v>54</v>
      </c>
      <c r="D13" s="12" t="s">
        <v>55</v>
      </c>
      <c r="E13" s="11" t="s">
        <v>56</v>
      </c>
      <c r="F13" s="11" t="s">
        <v>57</v>
      </c>
      <c r="G13" s="11" t="s">
        <v>58</v>
      </c>
      <c r="H13" s="11" t="s">
        <v>59</v>
      </c>
      <c r="I13" s="11" t="s">
        <v>60</v>
      </c>
      <c r="J13" s="11"/>
      <c r="K13" s="11"/>
      <c r="L13" s="11"/>
      <c r="M13" s="11"/>
      <c r="N13" s="20"/>
      <c r="O13" s="20" t="str">
        <f t="shared" si="0"/>
        <v/>
      </c>
      <c r="Q13" t="str">
        <f t="shared" ca="1" si="1"/>
        <v/>
      </c>
    </row>
    <row r="14" spans="1:19" ht="18" customHeight="1" x14ac:dyDescent="0.3">
      <c r="B14" s="11" t="s">
        <v>53</v>
      </c>
      <c r="C14" s="12" t="s">
        <v>54</v>
      </c>
      <c r="D14" s="12" t="s">
        <v>61</v>
      </c>
      <c r="E14" s="11" t="s">
        <v>56</v>
      </c>
      <c r="F14" s="11" t="s">
        <v>57</v>
      </c>
      <c r="G14" s="11" t="s">
        <v>23</v>
      </c>
      <c r="H14" s="11" t="s">
        <v>62</v>
      </c>
      <c r="I14" s="11" t="s">
        <v>63</v>
      </c>
      <c r="J14" s="11"/>
      <c r="K14" s="11"/>
      <c r="L14" s="11"/>
      <c r="M14" s="11"/>
      <c r="N14" s="20"/>
      <c r="O14" s="20" t="str">
        <f t="shared" si="0"/>
        <v/>
      </c>
      <c r="Q14" t="str">
        <f t="shared" ca="1" si="1"/>
        <v/>
      </c>
    </row>
    <row r="15" spans="1:19" ht="18" customHeight="1" x14ac:dyDescent="0.3">
      <c r="B15" s="11" t="s">
        <v>64</v>
      </c>
      <c r="C15" s="12" t="s">
        <v>65</v>
      </c>
      <c r="D15" s="12" t="s">
        <v>55</v>
      </c>
      <c r="E15" s="11" t="s">
        <v>66</v>
      </c>
      <c r="F15" s="11" t="s">
        <v>67</v>
      </c>
      <c r="G15" s="11" t="s">
        <v>58</v>
      </c>
      <c r="H15" s="11" t="s">
        <v>68</v>
      </c>
      <c r="I15" s="11" t="s">
        <v>60</v>
      </c>
      <c r="J15" s="11"/>
      <c r="K15" s="11"/>
      <c r="L15" s="11"/>
      <c r="M15" s="11"/>
      <c r="N15" s="20"/>
      <c r="O15" s="20" t="str">
        <f t="shared" si="0"/>
        <v/>
      </c>
      <c r="Q15" t="str">
        <f t="shared" ca="1" si="1"/>
        <v/>
      </c>
    </row>
    <row r="16" spans="1:19" ht="18" customHeight="1" x14ac:dyDescent="0.3">
      <c r="B16" s="11" t="s">
        <v>69</v>
      </c>
      <c r="C16" s="12" t="s">
        <v>70</v>
      </c>
      <c r="D16" s="12" t="s">
        <v>71</v>
      </c>
      <c r="E16" s="11" t="s">
        <v>72</v>
      </c>
      <c r="F16" s="11" t="s">
        <v>36</v>
      </c>
      <c r="G16" s="11" t="s">
        <v>23</v>
      </c>
      <c r="H16" s="11" t="s">
        <v>73</v>
      </c>
      <c r="I16" s="11" t="s">
        <v>25</v>
      </c>
      <c r="J16" s="11"/>
      <c r="K16" s="11"/>
      <c r="L16" s="11"/>
      <c r="M16" s="11"/>
      <c r="N16" s="20"/>
      <c r="O16" s="20" t="str">
        <f t="shared" si="0"/>
        <v/>
      </c>
      <c r="Q16" t="str">
        <f t="shared" ca="1" si="1"/>
        <v/>
      </c>
    </row>
    <row r="17" spans="2:17" ht="18" customHeight="1" x14ac:dyDescent="0.3">
      <c r="B17" s="11" t="s">
        <v>74</v>
      </c>
      <c r="C17" s="12" t="s">
        <v>75</v>
      </c>
      <c r="D17" s="12" t="s">
        <v>76</v>
      </c>
      <c r="E17" s="11" t="s">
        <v>77</v>
      </c>
      <c r="F17" s="11" t="s">
        <v>78</v>
      </c>
      <c r="G17" s="11" t="s">
        <v>79</v>
      </c>
      <c r="H17" s="11" t="s">
        <v>80</v>
      </c>
      <c r="I17" s="11" t="s">
        <v>81</v>
      </c>
      <c r="J17" s="11"/>
      <c r="K17" s="11"/>
      <c r="L17" s="11"/>
      <c r="M17" s="11"/>
      <c r="N17" s="20"/>
      <c r="O17" s="20" t="str">
        <f t="shared" si="0"/>
        <v/>
      </c>
      <c r="Q17" t="str">
        <f t="shared" ca="1" si="1"/>
        <v/>
      </c>
    </row>
    <row r="18" spans="2:17" ht="18" customHeight="1" x14ac:dyDescent="0.3">
      <c r="B18" s="11" t="s">
        <v>82</v>
      </c>
      <c r="C18" s="12" t="s">
        <v>83</v>
      </c>
      <c r="D18" s="12" t="s">
        <v>84</v>
      </c>
      <c r="E18" s="11" t="s">
        <v>85</v>
      </c>
      <c r="F18" s="11" t="s">
        <v>86</v>
      </c>
      <c r="G18" s="11" t="s">
        <v>47</v>
      </c>
      <c r="H18" s="11" t="s">
        <v>87</v>
      </c>
      <c r="I18" s="11" t="s">
        <v>60</v>
      </c>
      <c r="J18" s="11"/>
      <c r="K18" s="11"/>
      <c r="L18" s="11"/>
      <c r="M18" s="11"/>
      <c r="N18" s="20"/>
      <c r="O18" s="20" t="str">
        <f t="shared" si="0"/>
        <v/>
      </c>
      <c r="Q18" t="str">
        <f t="shared" ca="1" si="1"/>
        <v/>
      </c>
    </row>
    <row r="19" spans="2:17" ht="18" customHeight="1" x14ac:dyDescent="0.3">
      <c r="B19" s="11" t="s">
        <v>88</v>
      </c>
      <c r="C19" s="12" t="s">
        <v>89</v>
      </c>
      <c r="D19" s="12" t="s">
        <v>90</v>
      </c>
      <c r="E19" s="11" t="s">
        <v>91</v>
      </c>
      <c r="F19" s="11" t="s">
        <v>92</v>
      </c>
      <c r="G19" s="11" t="s">
        <v>51</v>
      </c>
      <c r="H19" s="11" t="s">
        <v>93</v>
      </c>
      <c r="I19" s="11" t="s">
        <v>25</v>
      </c>
      <c r="J19" s="11"/>
      <c r="K19" s="11"/>
      <c r="L19" s="11"/>
      <c r="M19" s="11"/>
    </row>
    <row r="20" spans="2:17" ht="18" customHeight="1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2:17" ht="18" customHeight="1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2:17" ht="18" customHeight="1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2:17" ht="18" customHeight="1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2:17" ht="18" customHeight="1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2:17" ht="18" customHeight="1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2:17" ht="18" customHeight="1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2:17" ht="18" customHeight="1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2:17" ht="18" customHeight="1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2:17" ht="18" customHeight="1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2:17" ht="18" customHeight="1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2:17" ht="18" customHeight="1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2:17" ht="18" customHeight="1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2:13" ht="18" customHeight="1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2:13" ht="18" customHeight="1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2:13" ht="18" customHeight="1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2:13" ht="18" customHeight="1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2:13" ht="18" customHeight="1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2:13" ht="18" customHeight="1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2:13" ht="18" customHeight="1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2:13" ht="18" customHeight="1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2:13" ht="18" customHeight="1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2:13" ht="18" customHeight="1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2:13" ht="18" customHeight="1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2:13" ht="18" customHeight="1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2:13" ht="18" customHeight="1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2:13" ht="18" customHeight="1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2:13" ht="18" customHeight="1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2:13" ht="18" customHeight="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2:13" ht="18" customHeigh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2:13" ht="18" customHeight="1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2:13" ht="18" customHeight="1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2:13" ht="18" customHeight="1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2:13" ht="18" customHeight="1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2:13" ht="18" customHeight="1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2:13" ht="18" customHeight="1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</sheetData>
  <mergeCells count="2">
    <mergeCell ref="B2:M2"/>
    <mergeCell ref="B3:L3"/>
  </mergeCells>
  <dataValidations count="4">
    <dataValidation type="list" allowBlank="1" sqref="G6:G105" xr:uid="{00000000-0002-0000-0000-000000000000}">
      <formula1>"D,W,M,Q,A,6M"</formula1>
      <formula2>0</formula2>
    </dataValidation>
    <dataValidation type="list" allowBlank="1" sqref="I6:I105" xr:uid="{00000000-0002-0000-0000-000001000000}">
      <formula1>"Grease gun,Oil can,Drip feed,Splash,Pressure,Spray,Manual"</formula1>
      <formula2>0</formula2>
    </dataValidation>
    <dataValidation type="list" sqref="P6:P18" xr:uid="{00000000-0002-0000-0000-000002000000}">
      <formula1>"Yes,No,Partial,N/A"</formula1>
    </dataValidation>
    <dataValidation type="list" sqref="Q6:Q18" xr:uid="{00000000-0002-0000-0000-000003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950B"/>
  </sheetPr>
  <dimension ref="A2:I24"/>
  <sheetViews>
    <sheetView showGridLines="0" tabSelected="1" workbookViewId="0"/>
  </sheetViews>
  <sheetFormatPr defaultColWidth="8.6640625" defaultRowHeight="14.4" x14ac:dyDescent="0.3"/>
  <cols>
    <col min="1" max="1" width="2" customWidth="1"/>
    <col min="2" max="2" width="24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6" customWidth="1"/>
    <col min="9" max="9" width="2" customWidth="1"/>
  </cols>
  <sheetData>
    <row r="2" spans="1:9" ht="36" customHeight="1" x14ac:dyDescent="0.3">
      <c r="A2" s="7"/>
      <c r="B2" s="4" t="s">
        <v>94</v>
      </c>
      <c r="C2" s="4"/>
      <c r="D2" s="4"/>
      <c r="E2" s="4"/>
      <c r="F2" s="4"/>
      <c r="G2" s="4"/>
      <c r="H2" s="4"/>
      <c r="I2" s="7"/>
    </row>
    <row r="3" spans="1:9" ht="18" customHeight="1" x14ac:dyDescent="0.3">
      <c r="B3" s="5" t="s">
        <v>95</v>
      </c>
      <c r="C3" s="5"/>
      <c r="D3" s="5"/>
      <c r="E3" s="5"/>
      <c r="F3" s="5"/>
      <c r="G3" s="5"/>
    </row>
    <row r="4" spans="1:9" ht="21.75" customHeight="1" x14ac:dyDescent="0.3">
      <c r="B4" s="10" t="s">
        <v>96</v>
      </c>
      <c r="C4" s="10" t="s">
        <v>97</v>
      </c>
      <c r="D4" s="10" t="s">
        <v>98</v>
      </c>
      <c r="E4" s="10" t="s">
        <v>99</v>
      </c>
      <c r="F4" s="10" t="s">
        <v>100</v>
      </c>
      <c r="G4" s="10" t="s">
        <v>101</v>
      </c>
      <c r="H4" s="10" t="s">
        <v>102</v>
      </c>
    </row>
    <row r="5" spans="1:9" ht="18" customHeight="1" x14ac:dyDescent="0.3">
      <c r="B5" s="12" t="s">
        <v>103</v>
      </c>
      <c r="C5" s="12" t="s">
        <v>104</v>
      </c>
      <c r="D5" s="12" t="s">
        <v>105</v>
      </c>
      <c r="E5" s="11" t="s">
        <v>106</v>
      </c>
      <c r="F5" s="11" t="s">
        <v>107</v>
      </c>
      <c r="G5" s="11" t="s">
        <v>108</v>
      </c>
      <c r="H5" s="11"/>
    </row>
    <row r="6" spans="1:9" ht="18" customHeight="1" x14ac:dyDescent="0.3">
      <c r="B6" s="12" t="s">
        <v>109</v>
      </c>
      <c r="C6" s="12" t="s">
        <v>104</v>
      </c>
      <c r="D6" s="12" t="s">
        <v>110</v>
      </c>
      <c r="E6" s="11" t="s">
        <v>111</v>
      </c>
      <c r="F6" s="11" t="s">
        <v>107</v>
      </c>
      <c r="G6" s="11" t="s">
        <v>112</v>
      </c>
      <c r="H6" s="11"/>
    </row>
    <row r="7" spans="1:9" ht="18" customHeight="1" x14ac:dyDescent="0.3">
      <c r="B7" s="12" t="s">
        <v>113</v>
      </c>
      <c r="C7" s="12" t="s">
        <v>114</v>
      </c>
      <c r="D7" s="12" t="s">
        <v>115</v>
      </c>
      <c r="E7" s="11" t="s">
        <v>116</v>
      </c>
      <c r="F7" s="11" t="s">
        <v>117</v>
      </c>
      <c r="G7" s="11" t="s">
        <v>118</v>
      </c>
      <c r="H7" s="11"/>
    </row>
    <row r="8" spans="1:9" ht="18" customHeight="1" x14ac:dyDescent="0.3">
      <c r="B8" s="12" t="s">
        <v>119</v>
      </c>
      <c r="C8" s="12" t="s">
        <v>120</v>
      </c>
      <c r="D8" s="12" t="s">
        <v>121</v>
      </c>
      <c r="E8" s="11" t="s">
        <v>122</v>
      </c>
      <c r="F8" s="11" t="s">
        <v>117</v>
      </c>
      <c r="G8" s="11" t="s">
        <v>123</v>
      </c>
      <c r="H8" s="11"/>
    </row>
    <row r="9" spans="1:9" ht="18" customHeight="1" x14ac:dyDescent="0.3">
      <c r="B9" s="12" t="s">
        <v>66</v>
      </c>
      <c r="C9" s="12" t="s">
        <v>124</v>
      </c>
      <c r="D9" s="12" t="s">
        <v>125</v>
      </c>
      <c r="E9" s="11" t="s">
        <v>126</v>
      </c>
      <c r="F9" s="11" t="s">
        <v>117</v>
      </c>
      <c r="G9" s="11" t="s">
        <v>123</v>
      </c>
      <c r="H9" s="11"/>
    </row>
    <row r="10" spans="1:9" ht="18" customHeight="1" x14ac:dyDescent="0.3">
      <c r="B10" s="12" t="s">
        <v>40</v>
      </c>
      <c r="C10" s="12" t="s">
        <v>127</v>
      </c>
      <c r="D10" s="12" t="s">
        <v>128</v>
      </c>
      <c r="E10" s="11" t="s">
        <v>129</v>
      </c>
      <c r="F10" s="11" t="s">
        <v>130</v>
      </c>
      <c r="G10" s="11" t="s">
        <v>112</v>
      </c>
      <c r="H10" s="11"/>
    </row>
    <row r="11" spans="1:9" ht="18" customHeight="1" x14ac:dyDescent="0.3">
      <c r="B11" s="12" t="s">
        <v>131</v>
      </c>
      <c r="C11" s="12" t="s">
        <v>132</v>
      </c>
      <c r="D11" s="12" t="s">
        <v>133</v>
      </c>
      <c r="E11" s="11" t="s">
        <v>134</v>
      </c>
      <c r="F11" s="11" t="s">
        <v>135</v>
      </c>
      <c r="G11" s="11" t="s">
        <v>136</v>
      </c>
      <c r="H11" s="11"/>
    </row>
    <row r="12" spans="1:9" ht="18" customHeight="1" x14ac:dyDescent="0.3">
      <c r="B12" s="12" t="s">
        <v>137</v>
      </c>
      <c r="C12" s="12" t="s">
        <v>104</v>
      </c>
      <c r="D12" s="12" t="s">
        <v>138</v>
      </c>
      <c r="E12" s="11" t="s">
        <v>139</v>
      </c>
      <c r="F12" s="11" t="s">
        <v>130</v>
      </c>
      <c r="G12" s="11" t="s">
        <v>112</v>
      </c>
      <c r="H12" s="11"/>
    </row>
    <row r="13" spans="1:9" ht="18" customHeight="1" x14ac:dyDescent="0.3">
      <c r="B13" s="12" t="s">
        <v>140</v>
      </c>
      <c r="C13" s="12" t="s">
        <v>34</v>
      </c>
      <c r="D13" s="12" t="s">
        <v>141</v>
      </c>
      <c r="E13" s="11" t="s">
        <v>142</v>
      </c>
      <c r="F13" s="11" t="s">
        <v>143</v>
      </c>
      <c r="G13" s="11" t="s">
        <v>144</v>
      </c>
      <c r="H13" s="11"/>
    </row>
    <row r="14" spans="1:9" ht="18" customHeight="1" x14ac:dyDescent="0.3">
      <c r="B14" s="9"/>
      <c r="C14" s="9"/>
      <c r="D14" s="9"/>
      <c r="E14" s="9"/>
      <c r="F14" s="9"/>
      <c r="G14" s="9"/>
      <c r="H14" s="9"/>
    </row>
    <row r="15" spans="1:9" ht="18" customHeight="1" x14ac:dyDescent="0.3">
      <c r="B15" s="9"/>
      <c r="C15" s="9"/>
      <c r="D15" s="9"/>
      <c r="E15" s="9"/>
      <c r="F15" s="9"/>
      <c r="G15" s="9"/>
      <c r="H15" s="9"/>
    </row>
    <row r="16" spans="1:9" ht="18" customHeight="1" x14ac:dyDescent="0.3">
      <c r="B16" s="9"/>
      <c r="C16" s="9"/>
      <c r="D16" s="9"/>
      <c r="E16" s="9"/>
      <c r="F16" s="9"/>
      <c r="G16" s="9"/>
      <c r="H16" s="9"/>
    </row>
    <row r="17" spans="2:8" ht="18" customHeight="1" x14ac:dyDescent="0.3">
      <c r="B17" s="9"/>
      <c r="C17" s="9"/>
      <c r="D17" s="9"/>
      <c r="E17" s="9"/>
      <c r="F17" s="9"/>
      <c r="G17" s="9"/>
      <c r="H17" s="9"/>
    </row>
    <row r="18" spans="2:8" ht="18" customHeight="1" x14ac:dyDescent="0.3">
      <c r="B18" s="9"/>
      <c r="C18" s="9"/>
      <c r="D18" s="9"/>
      <c r="E18" s="9"/>
      <c r="F18" s="9"/>
      <c r="G18" s="9"/>
      <c r="H18" s="9"/>
    </row>
    <row r="19" spans="2:8" ht="18" customHeight="1" x14ac:dyDescent="0.3">
      <c r="B19" s="9"/>
      <c r="C19" s="9"/>
      <c r="D19" s="9"/>
      <c r="E19" s="9"/>
      <c r="F19" s="9"/>
      <c r="G19" s="9"/>
      <c r="H19" s="9"/>
    </row>
    <row r="20" spans="2:8" ht="18" customHeight="1" x14ac:dyDescent="0.3">
      <c r="B20" s="9"/>
      <c r="C20" s="9"/>
      <c r="D20" s="9"/>
      <c r="E20" s="9"/>
      <c r="F20" s="9"/>
      <c r="G20" s="9"/>
      <c r="H20" s="9"/>
    </row>
    <row r="21" spans="2:8" ht="18" customHeight="1" x14ac:dyDescent="0.3">
      <c r="B21" s="9"/>
      <c r="C21" s="9"/>
      <c r="D21" s="9"/>
      <c r="E21" s="9"/>
      <c r="F21" s="9"/>
      <c r="G21" s="9"/>
      <c r="H21" s="9"/>
    </row>
    <row r="22" spans="2:8" ht="18" customHeight="1" x14ac:dyDescent="0.3">
      <c r="B22" s="9"/>
      <c r="C22" s="9"/>
      <c r="D22" s="9"/>
      <c r="E22" s="9"/>
      <c r="F22" s="9"/>
      <c r="G22" s="9"/>
      <c r="H22" s="9"/>
    </row>
    <row r="23" spans="2:8" ht="18" customHeight="1" x14ac:dyDescent="0.3">
      <c r="B23" s="9"/>
      <c r="C23" s="9"/>
      <c r="D23" s="9"/>
      <c r="E23" s="9"/>
      <c r="F23" s="9"/>
      <c r="G23" s="9"/>
      <c r="H23" s="9"/>
    </row>
    <row r="24" spans="2:8" ht="18" customHeight="1" x14ac:dyDescent="0.3">
      <c r="B24" s="9"/>
      <c r="C24" s="9"/>
      <c r="D24" s="9"/>
      <c r="E24" s="9"/>
      <c r="F24" s="9"/>
      <c r="G24" s="9"/>
      <c r="H24" s="9"/>
    </row>
  </sheetData>
  <mergeCells count="2">
    <mergeCell ref="B2:H2"/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80" customWidth="1"/>
  </cols>
  <sheetData>
    <row r="1" spans="1:11" ht="24" customHeight="1" x14ac:dyDescent="0.3">
      <c r="A1" s="3" t="s">
        <v>151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14" t="s">
        <v>153</v>
      </c>
      <c r="B4" s="14" t="s">
        <v>154</v>
      </c>
      <c r="C4" s="14" t="s">
        <v>155</v>
      </c>
    </row>
    <row r="5" spans="1:11" x14ac:dyDescent="0.3">
      <c r="A5" s="15" t="s">
        <v>156</v>
      </c>
      <c r="B5" s="15" t="s">
        <v>157</v>
      </c>
      <c r="C5" s="15" t="s">
        <v>158</v>
      </c>
    </row>
    <row r="6" spans="1:11" x14ac:dyDescent="0.3">
      <c r="A6" s="15" t="s">
        <v>92</v>
      </c>
      <c r="B6" s="15" t="s">
        <v>159</v>
      </c>
      <c r="C6" s="15" t="s">
        <v>160</v>
      </c>
    </row>
    <row r="7" spans="1:11" ht="28.8" x14ac:dyDescent="0.3">
      <c r="A7" s="15" t="s">
        <v>161</v>
      </c>
      <c r="B7" s="15" t="s">
        <v>162</v>
      </c>
      <c r="C7" s="15" t="s">
        <v>163</v>
      </c>
    </row>
    <row r="8" spans="1:11" ht="28.8" x14ac:dyDescent="0.3">
      <c r="A8" s="15" t="s">
        <v>164</v>
      </c>
      <c r="B8" s="15" t="s">
        <v>165</v>
      </c>
      <c r="C8" s="15" t="s">
        <v>166</v>
      </c>
    </row>
    <row r="9" spans="1:11" ht="28.8" x14ac:dyDescent="0.3">
      <c r="A9" s="15" t="s">
        <v>167</v>
      </c>
      <c r="B9" s="15" t="s">
        <v>168</v>
      </c>
      <c r="C9" s="15" t="s">
        <v>169</v>
      </c>
    </row>
    <row r="12" spans="1:11" x14ac:dyDescent="0.3">
      <c r="A12" s="16" t="s">
        <v>170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3">
      <c r="A13" s="1" t="s">
        <v>171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172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173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174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175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7">
    <mergeCell ref="A16:K16"/>
    <mergeCell ref="A17:K17"/>
    <mergeCell ref="A1:K1"/>
    <mergeCell ref="A2:K2"/>
    <mergeCell ref="A13:K13"/>
    <mergeCell ref="A14:K14"/>
    <mergeCell ref="A15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59.44140625" customWidth="1"/>
    <col min="2" max="2" width="6.88671875" customWidth="1"/>
    <col min="3" max="3" width="6.6640625" customWidth="1"/>
    <col min="4" max="4" width="6.77734375" customWidth="1"/>
    <col min="5" max="5" width="12.6640625" customWidth="1"/>
    <col min="6" max="6" width="10.44140625" customWidth="1"/>
    <col min="7" max="7" width="4.6640625" customWidth="1"/>
    <col min="8" max="8" width="11" customWidth="1"/>
  </cols>
  <sheetData>
    <row r="1" spans="1:8" ht="24" customHeight="1" x14ac:dyDescent="0.3">
      <c r="A1" s="3" t="s">
        <v>176</v>
      </c>
      <c r="B1" s="3"/>
      <c r="C1" s="3"/>
      <c r="D1" s="3"/>
      <c r="E1" s="3"/>
      <c r="F1" s="3"/>
      <c r="G1" s="3"/>
      <c r="H1" s="3"/>
    </row>
    <row r="2" spans="1:8" ht="25.65" customHeight="1" x14ac:dyDescent="0.3">
      <c r="A2" s="2" t="s">
        <v>177</v>
      </c>
      <c r="B2" s="2"/>
      <c r="C2" s="2"/>
      <c r="D2" s="2"/>
      <c r="E2" s="2"/>
      <c r="F2" s="2"/>
      <c r="G2" s="2"/>
      <c r="H2" s="2"/>
    </row>
    <row r="4" spans="1:8" x14ac:dyDescent="0.3">
      <c r="A4" s="17" t="s">
        <v>178</v>
      </c>
      <c r="B4" s="17" t="s">
        <v>179</v>
      </c>
      <c r="C4" s="17" t="s">
        <v>180</v>
      </c>
      <c r="D4" s="17" t="s">
        <v>181</v>
      </c>
      <c r="E4" s="17" t="s">
        <v>182</v>
      </c>
      <c r="F4" s="17" t="s">
        <v>183</v>
      </c>
      <c r="G4" s="17" t="s">
        <v>184</v>
      </c>
      <c r="H4" s="17" t="s">
        <v>185</v>
      </c>
    </row>
    <row r="5" spans="1:8" x14ac:dyDescent="0.3">
      <c r="A5" t="s">
        <v>186</v>
      </c>
      <c r="B5" t="s">
        <v>187</v>
      </c>
      <c r="C5" t="s">
        <v>188</v>
      </c>
      <c r="D5">
        <v>1</v>
      </c>
      <c r="E5" t="s">
        <v>189</v>
      </c>
      <c r="F5" t="s">
        <v>190</v>
      </c>
      <c r="G5" t="s">
        <v>191</v>
      </c>
      <c r="H5" t="s">
        <v>192</v>
      </c>
    </row>
    <row r="6" spans="1:8" x14ac:dyDescent="0.3">
      <c r="A6" t="s">
        <v>193</v>
      </c>
      <c r="B6" t="s">
        <v>194</v>
      </c>
      <c r="C6" t="s">
        <v>195</v>
      </c>
      <c r="D6">
        <v>2</v>
      </c>
      <c r="E6" t="s">
        <v>196</v>
      </c>
      <c r="F6" t="s">
        <v>197</v>
      </c>
      <c r="G6" t="s">
        <v>198</v>
      </c>
      <c r="H6" t="s">
        <v>199</v>
      </c>
    </row>
    <row r="7" spans="1:8" x14ac:dyDescent="0.3">
      <c r="A7" t="s">
        <v>200</v>
      </c>
      <c r="B7" t="s">
        <v>201</v>
      </c>
      <c r="C7" t="s">
        <v>34</v>
      </c>
      <c r="D7">
        <v>3</v>
      </c>
      <c r="E7" t="s">
        <v>202</v>
      </c>
      <c r="F7" t="s">
        <v>203</v>
      </c>
      <c r="G7" t="s">
        <v>58</v>
      </c>
      <c r="H7" t="s">
        <v>204</v>
      </c>
    </row>
    <row r="8" spans="1:8" x14ac:dyDescent="0.3">
      <c r="A8" t="s">
        <v>205</v>
      </c>
      <c r="B8" t="s">
        <v>206</v>
      </c>
      <c r="C8" t="s">
        <v>207</v>
      </c>
      <c r="D8">
        <v>4</v>
      </c>
      <c r="E8" t="s">
        <v>208</v>
      </c>
      <c r="G8" t="s">
        <v>209</v>
      </c>
    </row>
    <row r="9" spans="1:8" x14ac:dyDescent="0.3">
      <c r="A9" t="s">
        <v>210</v>
      </c>
      <c r="B9" t="s">
        <v>207</v>
      </c>
      <c r="D9">
        <v>5</v>
      </c>
      <c r="E9" t="s">
        <v>211</v>
      </c>
      <c r="G9" t="s">
        <v>212</v>
      </c>
    </row>
    <row r="10" spans="1:8" x14ac:dyDescent="0.3">
      <c r="A10" t="s">
        <v>213</v>
      </c>
      <c r="E10" t="s">
        <v>214</v>
      </c>
      <c r="G10" t="s">
        <v>35</v>
      </c>
    </row>
    <row r="11" spans="1:8" x14ac:dyDescent="0.3">
      <c r="A11" t="s">
        <v>215</v>
      </c>
      <c r="E11" t="s">
        <v>216</v>
      </c>
    </row>
    <row r="12" spans="1:8" x14ac:dyDescent="0.3">
      <c r="E12" t="s">
        <v>217</v>
      </c>
    </row>
    <row r="13" spans="1:8" x14ac:dyDescent="0.3">
      <c r="E13" t="s">
        <v>218</v>
      </c>
    </row>
    <row r="14" spans="1:8" x14ac:dyDescent="0.3">
      <c r="E14" t="s">
        <v>219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workbookViewId="0"/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26" customWidth="1"/>
    <col min="5" max="5" width="13" customWidth="1"/>
    <col min="6" max="6" width="18" customWidth="1"/>
    <col min="7" max="7" width="13" customWidth="1"/>
    <col min="8" max="8" width="14" customWidth="1"/>
    <col min="9" max="9" width="13" customWidth="1"/>
    <col min="10" max="10" width="32" customWidth="1"/>
    <col min="11" max="11" width="12" customWidth="1"/>
  </cols>
  <sheetData>
    <row r="1" spans="1:11" ht="24" customHeight="1" x14ac:dyDescent="0.3">
      <c r="A1" s="3" t="s">
        <v>220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14" t="s">
        <v>222</v>
      </c>
      <c r="B4" s="14" t="s">
        <v>223</v>
      </c>
      <c r="C4" s="14" t="s">
        <v>224</v>
      </c>
      <c r="D4" s="14" t="s">
        <v>225</v>
      </c>
      <c r="E4" s="14" t="s">
        <v>179</v>
      </c>
      <c r="F4" s="14" t="s">
        <v>226</v>
      </c>
      <c r="G4" s="14" t="s">
        <v>227</v>
      </c>
      <c r="H4" s="14" t="s">
        <v>178</v>
      </c>
      <c r="I4" s="14" t="s">
        <v>228</v>
      </c>
      <c r="J4" s="14" t="s">
        <v>229</v>
      </c>
      <c r="K4" s="14" t="s">
        <v>230</v>
      </c>
    </row>
    <row r="5" spans="1:11" x14ac:dyDescent="0.3">
      <c r="A5" s="15"/>
      <c r="B5" s="15"/>
      <c r="C5" s="15"/>
      <c r="D5" s="15"/>
      <c r="E5" s="15"/>
      <c r="F5" s="15"/>
      <c r="G5" s="18"/>
      <c r="H5" s="15" t="s">
        <v>186</v>
      </c>
      <c r="I5" s="18"/>
      <c r="J5" s="15"/>
      <c r="K5" s="15">
        <f t="shared" ref="K5:K34" ca="1" si="0">IF(AND(G5&lt;&gt;"",H5&lt;&gt;"Complete",H5&lt;&gt;"Verified"),MAX(0,TODAY()-G5),0)</f>
        <v>0</v>
      </c>
    </row>
    <row r="6" spans="1:11" x14ac:dyDescent="0.3">
      <c r="A6" s="15"/>
      <c r="B6" s="15"/>
      <c r="C6" s="15"/>
      <c r="D6" s="15"/>
      <c r="E6" s="15"/>
      <c r="F6" s="15"/>
      <c r="G6" s="18"/>
      <c r="H6" s="15" t="s">
        <v>186</v>
      </c>
      <c r="I6" s="18"/>
      <c r="J6" s="15"/>
      <c r="K6" s="15">
        <f t="shared" ca="1" si="0"/>
        <v>0</v>
      </c>
    </row>
    <row r="7" spans="1:11" x14ac:dyDescent="0.3">
      <c r="A7" s="15"/>
      <c r="B7" s="15"/>
      <c r="C7" s="15"/>
      <c r="D7" s="15"/>
      <c r="E7" s="15"/>
      <c r="F7" s="15"/>
      <c r="G7" s="18"/>
      <c r="H7" s="15" t="s">
        <v>186</v>
      </c>
      <c r="I7" s="18"/>
      <c r="J7" s="15"/>
      <c r="K7" s="15">
        <f t="shared" ca="1" si="0"/>
        <v>0</v>
      </c>
    </row>
    <row r="8" spans="1:11" x14ac:dyDescent="0.3">
      <c r="A8" s="15"/>
      <c r="B8" s="15"/>
      <c r="C8" s="15"/>
      <c r="D8" s="15"/>
      <c r="E8" s="15"/>
      <c r="F8" s="15"/>
      <c r="G8" s="18"/>
      <c r="H8" s="15" t="s">
        <v>186</v>
      </c>
      <c r="I8" s="18"/>
      <c r="J8" s="15"/>
      <c r="K8" s="15">
        <f t="shared" ca="1" si="0"/>
        <v>0</v>
      </c>
    </row>
    <row r="9" spans="1:11" x14ac:dyDescent="0.3">
      <c r="A9" s="15"/>
      <c r="B9" s="15"/>
      <c r="C9" s="15"/>
      <c r="D9" s="15"/>
      <c r="E9" s="15"/>
      <c r="F9" s="15"/>
      <c r="G9" s="18"/>
      <c r="H9" s="15" t="s">
        <v>186</v>
      </c>
      <c r="I9" s="18"/>
      <c r="J9" s="15"/>
      <c r="K9" s="15">
        <f t="shared" ca="1" si="0"/>
        <v>0</v>
      </c>
    </row>
    <row r="10" spans="1:11" x14ac:dyDescent="0.3">
      <c r="A10" s="15"/>
      <c r="B10" s="15"/>
      <c r="C10" s="15"/>
      <c r="D10" s="15"/>
      <c r="E10" s="15"/>
      <c r="F10" s="15"/>
      <c r="G10" s="18"/>
      <c r="H10" s="15" t="s">
        <v>186</v>
      </c>
      <c r="I10" s="18"/>
      <c r="J10" s="15"/>
      <c r="K10" s="15">
        <f t="shared" ca="1" si="0"/>
        <v>0</v>
      </c>
    </row>
    <row r="11" spans="1:11" x14ac:dyDescent="0.3">
      <c r="A11" s="15"/>
      <c r="B11" s="15"/>
      <c r="C11" s="15"/>
      <c r="D11" s="15"/>
      <c r="E11" s="15"/>
      <c r="F11" s="15"/>
      <c r="G11" s="18"/>
      <c r="H11" s="15" t="s">
        <v>186</v>
      </c>
      <c r="I11" s="18"/>
      <c r="J11" s="15"/>
      <c r="K11" s="15">
        <f t="shared" ca="1" si="0"/>
        <v>0</v>
      </c>
    </row>
    <row r="12" spans="1:11" x14ac:dyDescent="0.3">
      <c r="A12" s="15"/>
      <c r="B12" s="15"/>
      <c r="C12" s="15"/>
      <c r="D12" s="15"/>
      <c r="E12" s="15"/>
      <c r="F12" s="15"/>
      <c r="G12" s="18"/>
      <c r="H12" s="15" t="s">
        <v>186</v>
      </c>
      <c r="I12" s="18"/>
      <c r="J12" s="15"/>
      <c r="K12" s="15">
        <f t="shared" ca="1" si="0"/>
        <v>0</v>
      </c>
    </row>
    <row r="13" spans="1:11" x14ac:dyDescent="0.3">
      <c r="A13" s="15"/>
      <c r="B13" s="15"/>
      <c r="C13" s="15"/>
      <c r="D13" s="15"/>
      <c r="E13" s="15"/>
      <c r="F13" s="15"/>
      <c r="G13" s="18"/>
      <c r="H13" s="15" t="s">
        <v>186</v>
      </c>
      <c r="I13" s="18"/>
      <c r="J13" s="15"/>
      <c r="K13" s="15">
        <f t="shared" ca="1" si="0"/>
        <v>0</v>
      </c>
    </row>
    <row r="14" spans="1:11" x14ac:dyDescent="0.3">
      <c r="A14" s="15"/>
      <c r="B14" s="15"/>
      <c r="C14" s="15"/>
      <c r="D14" s="15"/>
      <c r="E14" s="15"/>
      <c r="F14" s="15"/>
      <c r="G14" s="18"/>
      <c r="H14" s="15" t="s">
        <v>186</v>
      </c>
      <c r="I14" s="18"/>
      <c r="J14" s="15"/>
      <c r="K14" s="15">
        <f t="shared" ca="1" si="0"/>
        <v>0</v>
      </c>
    </row>
    <row r="15" spans="1:11" x14ac:dyDescent="0.3">
      <c r="A15" s="15"/>
      <c r="B15" s="15"/>
      <c r="C15" s="15"/>
      <c r="D15" s="15"/>
      <c r="E15" s="15"/>
      <c r="F15" s="15"/>
      <c r="G15" s="18"/>
      <c r="H15" s="15" t="s">
        <v>186</v>
      </c>
      <c r="I15" s="18"/>
      <c r="J15" s="15"/>
      <c r="K15" s="15">
        <f t="shared" ca="1" si="0"/>
        <v>0</v>
      </c>
    </row>
    <row r="16" spans="1:11" x14ac:dyDescent="0.3">
      <c r="A16" s="15"/>
      <c r="B16" s="15"/>
      <c r="C16" s="15"/>
      <c r="D16" s="15"/>
      <c r="E16" s="15"/>
      <c r="F16" s="15"/>
      <c r="G16" s="18"/>
      <c r="H16" s="15" t="s">
        <v>186</v>
      </c>
      <c r="I16" s="18"/>
      <c r="J16" s="15"/>
      <c r="K16" s="15">
        <f t="shared" ca="1" si="0"/>
        <v>0</v>
      </c>
    </row>
    <row r="17" spans="1:11" x14ac:dyDescent="0.3">
      <c r="A17" s="15"/>
      <c r="B17" s="15"/>
      <c r="C17" s="15"/>
      <c r="D17" s="15"/>
      <c r="E17" s="15"/>
      <c r="F17" s="15"/>
      <c r="G17" s="18"/>
      <c r="H17" s="15" t="s">
        <v>186</v>
      </c>
      <c r="I17" s="18"/>
      <c r="J17" s="15"/>
      <c r="K17" s="15">
        <f t="shared" ca="1" si="0"/>
        <v>0</v>
      </c>
    </row>
    <row r="18" spans="1:11" x14ac:dyDescent="0.3">
      <c r="A18" s="15"/>
      <c r="B18" s="15"/>
      <c r="C18" s="15"/>
      <c r="D18" s="15"/>
      <c r="E18" s="15"/>
      <c r="F18" s="15"/>
      <c r="G18" s="18"/>
      <c r="H18" s="15" t="s">
        <v>186</v>
      </c>
      <c r="I18" s="18"/>
      <c r="J18" s="15"/>
      <c r="K18" s="15">
        <f t="shared" ca="1" si="0"/>
        <v>0</v>
      </c>
    </row>
    <row r="19" spans="1:11" x14ac:dyDescent="0.3">
      <c r="A19" s="15"/>
      <c r="B19" s="15"/>
      <c r="C19" s="15"/>
      <c r="D19" s="15"/>
      <c r="E19" s="15"/>
      <c r="F19" s="15"/>
      <c r="G19" s="18"/>
      <c r="H19" s="15" t="s">
        <v>186</v>
      </c>
      <c r="I19" s="18"/>
      <c r="J19" s="15"/>
      <c r="K19" s="15">
        <f t="shared" ca="1" si="0"/>
        <v>0</v>
      </c>
    </row>
    <row r="20" spans="1:11" x14ac:dyDescent="0.3">
      <c r="A20" s="15"/>
      <c r="B20" s="15"/>
      <c r="C20" s="15"/>
      <c r="D20" s="15"/>
      <c r="E20" s="15"/>
      <c r="F20" s="15"/>
      <c r="G20" s="18"/>
      <c r="H20" s="15" t="s">
        <v>186</v>
      </c>
      <c r="I20" s="18"/>
      <c r="J20" s="15"/>
      <c r="K20" s="15">
        <f t="shared" ca="1" si="0"/>
        <v>0</v>
      </c>
    </row>
    <row r="21" spans="1:11" x14ac:dyDescent="0.3">
      <c r="A21" s="15"/>
      <c r="B21" s="15"/>
      <c r="C21" s="15"/>
      <c r="D21" s="15"/>
      <c r="E21" s="15"/>
      <c r="F21" s="15"/>
      <c r="G21" s="18"/>
      <c r="H21" s="15" t="s">
        <v>186</v>
      </c>
      <c r="I21" s="18"/>
      <c r="J21" s="15"/>
      <c r="K21" s="15">
        <f t="shared" ca="1" si="0"/>
        <v>0</v>
      </c>
    </row>
    <row r="22" spans="1:11" x14ac:dyDescent="0.3">
      <c r="A22" s="15"/>
      <c r="B22" s="15"/>
      <c r="C22" s="15"/>
      <c r="D22" s="15"/>
      <c r="E22" s="15"/>
      <c r="F22" s="15"/>
      <c r="G22" s="18"/>
      <c r="H22" s="15" t="s">
        <v>186</v>
      </c>
      <c r="I22" s="18"/>
      <c r="J22" s="15"/>
      <c r="K22" s="15">
        <f t="shared" ca="1" si="0"/>
        <v>0</v>
      </c>
    </row>
    <row r="23" spans="1:11" x14ac:dyDescent="0.3">
      <c r="A23" s="15"/>
      <c r="B23" s="15"/>
      <c r="C23" s="15"/>
      <c r="D23" s="15"/>
      <c r="E23" s="15"/>
      <c r="F23" s="15"/>
      <c r="G23" s="18"/>
      <c r="H23" s="15" t="s">
        <v>186</v>
      </c>
      <c r="I23" s="18"/>
      <c r="J23" s="15"/>
      <c r="K23" s="15">
        <f t="shared" ca="1" si="0"/>
        <v>0</v>
      </c>
    </row>
    <row r="24" spans="1:11" x14ac:dyDescent="0.3">
      <c r="A24" s="15"/>
      <c r="B24" s="15"/>
      <c r="C24" s="15"/>
      <c r="D24" s="15"/>
      <c r="E24" s="15"/>
      <c r="F24" s="15"/>
      <c r="G24" s="18"/>
      <c r="H24" s="15" t="s">
        <v>186</v>
      </c>
      <c r="I24" s="18"/>
      <c r="J24" s="15"/>
      <c r="K24" s="15">
        <f t="shared" ca="1" si="0"/>
        <v>0</v>
      </c>
    </row>
    <row r="25" spans="1:11" x14ac:dyDescent="0.3">
      <c r="A25" s="15"/>
      <c r="B25" s="15"/>
      <c r="C25" s="15"/>
      <c r="D25" s="15"/>
      <c r="E25" s="15"/>
      <c r="F25" s="15"/>
      <c r="G25" s="18"/>
      <c r="H25" s="15" t="s">
        <v>186</v>
      </c>
      <c r="I25" s="18"/>
      <c r="J25" s="15"/>
      <c r="K25" s="15">
        <f t="shared" ca="1" si="0"/>
        <v>0</v>
      </c>
    </row>
    <row r="26" spans="1:11" x14ac:dyDescent="0.3">
      <c r="A26" s="15"/>
      <c r="B26" s="15"/>
      <c r="C26" s="15"/>
      <c r="D26" s="15"/>
      <c r="E26" s="15"/>
      <c r="F26" s="15"/>
      <c r="G26" s="18"/>
      <c r="H26" s="15" t="s">
        <v>186</v>
      </c>
      <c r="I26" s="18"/>
      <c r="J26" s="15"/>
      <c r="K26" s="15">
        <f t="shared" ca="1" si="0"/>
        <v>0</v>
      </c>
    </row>
    <row r="27" spans="1:11" x14ac:dyDescent="0.3">
      <c r="A27" s="15"/>
      <c r="B27" s="15"/>
      <c r="C27" s="15"/>
      <c r="D27" s="15"/>
      <c r="E27" s="15"/>
      <c r="F27" s="15"/>
      <c r="G27" s="18"/>
      <c r="H27" s="15" t="s">
        <v>186</v>
      </c>
      <c r="I27" s="18"/>
      <c r="J27" s="15"/>
      <c r="K27" s="15">
        <f t="shared" ca="1" si="0"/>
        <v>0</v>
      </c>
    </row>
    <row r="28" spans="1:11" x14ac:dyDescent="0.3">
      <c r="A28" s="15"/>
      <c r="B28" s="15"/>
      <c r="C28" s="15"/>
      <c r="D28" s="15"/>
      <c r="E28" s="15"/>
      <c r="F28" s="15"/>
      <c r="G28" s="18"/>
      <c r="H28" s="15" t="s">
        <v>186</v>
      </c>
      <c r="I28" s="18"/>
      <c r="J28" s="15"/>
      <c r="K28" s="15">
        <f t="shared" ca="1" si="0"/>
        <v>0</v>
      </c>
    </row>
    <row r="29" spans="1:11" x14ac:dyDescent="0.3">
      <c r="A29" s="15"/>
      <c r="B29" s="15"/>
      <c r="C29" s="15"/>
      <c r="D29" s="15"/>
      <c r="E29" s="15"/>
      <c r="F29" s="15"/>
      <c r="G29" s="18"/>
      <c r="H29" s="15" t="s">
        <v>186</v>
      </c>
      <c r="I29" s="18"/>
      <c r="J29" s="15"/>
      <c r="K29" s="15">
        <f t="shared" ca="1" si="0"/>
        <v>0</v>
      </c>
    </row>
    <row r="30" spans="1:11" x14ac:dyDescent="0.3">
      <c r="A30" s="15"/>
      <c r="B30" s="15"/>
      <c r="C30" s="15"/>
      <c r="D30" s="15"/>
      <c r="E30" s="15"/>
      <c r="F30" s="15"/>
      <c r="G30" s="18"/>
      <c r="H30" s="15" t="s">
        <v>186</v>
      </c>
      <c r="I30" s="18"/>
      <c r="J30" s="15"/>
      <c r="K30" s="15">
        <f t="shared" ca="1" si="0"/>
        <v>0</v>
      </c>
    </row>
    <row r="31" spans="1:11" x14ac:dyDescent="0.3">
      <c r="A31" s="15"/>
      <c r="B31" s="15"/>
      <c r="C31" s="15"/>
      <c r="D31" s="15"/>
      <c r="E31" s="15"/>
      <c r="F31" s="15"/>
      <c r="G31" s="18"/>
      <c r="H31" s="15" t="s">
        <v>186</v>
      </c>
      <c r="I31" s="18"/>
      <c r="J31" s="15"/>
      <c r="K31" s="15">
        <f t="shared" ca="1" si="0"/>
        <v>0</v>
      </c>
    </row>
    <row r="32" spans="1:11" x14ac:dyDescent="0.3">
      <c r="A32" s="15"/>
      <c r="B32" s="15"/>
      <c r="C32" s="15"/>
      <c r="D32" s="15"/>
      <c r="E32" s="15"/>
      <c r="F32" s="15"/>
      <c r="G32" s="18"/>
      <c r="H32" s="15" t="s">
        <v>186</v>
      </c>
      <c r="I32" s="18"/>
      <c r="J32" s="15"/>
      <c r="K32" s="15">
        <f t="shared" ca="1" si="0"/>
        <v>0</v>
      </c>
    </row>
    <row r="33" spans="1:11" x14ac:dyDescent="0.3">
      <c r="A33" s="15"/>
      <c r="B33" s="15"/>
      <c r="C33" s="15"/>
      <c r="D33" s="15"/>
      <c r="E33" s="15"/>
      <c r="F33" s="15"/>
      <c r="G33" s="18"/>
      <c r="H33" s="15" t="s">
        <v>186</v>
      </c>
      <c r="I33" s="18"/>
      <c r="J33" s="15"/>
      <c r="K33" s="15">
        <f t="shared" ca="1" si="0"/>
        <v>0</v>
      </c>
    </row>
    <row r="34" spans="1:11" x14ac:dyDescent="0.3">
      <c r="A34" s="15"/>
      <c r="B34" s="15"/>
      <c r="C34" s="15"/>
      <c r="D34" s="15"/>
      <c r="E34" s="15"/>
      <c r="F34" s="15"/>
      <c r="G34" s="18"/>
      <c r="H34" s="15" t="s">
        <v>186</v>
      </c>
      <c r="I34" s="18"/>
      <c r="J34" s="15"/>
      <c r="K34" s="15">
        <f t="shared" ca="1" si="0"/>
        <v>0</v>
      </c>
    </row>
  </sheetData>
  <mergeCells count="2">
    <mergeCell ref="A1:K1"/>
    <mergeCell ref="A2:K2"/>
  </mergeCells>
  <conditionalFormatting sqref="K5:K34">
    <cfRule type="cellIs" dxfId="0" priority="5" operator="greaterThan">
      <formula>0</formula>
    </cfRule>
  </conditionalFormatting>
  <dataValidations count="2">
    <dataValidation type="list" sqref="E5:E34" xr:uid="{00000000-0002-0000-0400-000000000000}">
      <formula1>"Critical,High,Medium,Low,Monitor"</formula1>
    </dataValidation>
    <dataValidation type="list" sqref="H5:H34" xr:uid="{00000000-0002-0000-0400-000001000000}">
      <formula1>"Open,In Progress,Complete,Overdue,Deferred,Cancelled,Verified"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/>
  </sheetViews>
  <sheetFormatPr defaultRowHeight="14.4" x14ac:dyDescent="0.3"/>
  <cols>
    <col min="1" max="1" width="9.44140625" customWidth="1"/>
    <col min="2" max="2" width="11.109375" customWidth="1"/>
    <col min="3" max="3" width="12.88671875" customWidth="1"/>
    <col min="4" max="4" width="15.21875" customWidth="1"/>
    <col min="5" max="5" width="16.88671875" customWidth="1"/>
    <col min="6" max="6" width="18.109375" customWidth="1"/>
    <col min="7" max="7" width="16" customWidth="1"/>
    <col min="8" max="8" width="8.77734375" customWidth="1"/>
    <col min="9" max="9" width="14.6640625" customWidth="1"/>
    <col min="10" max="10" width="7.109375" customWidth="1"/>
  </cols>
  <sheetData>
    <row r="1" spans="1:10" ht="24" customHeight="1" x14ac:dyDescent="0.3">
      <c r="A1" s="3" t="s">
        <v>231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</row>
    <row r="4" spans="1:10" ht="20.85" customHeight="1" x14ac:dyDescent="0.3">
      <c r="A4" s="14" t="s">
        <v>233</v>
      </c>
      <c r="B4" s="14" t="s">
        <v>234</v>
      </c>
      <c r="C4" s="14" t="s">
        <v>235</v>
      </c>
      <c r="D4" s="14" t="s">
        <v>236</v>
      </c>
      <c r="E4" s="14" t="s">
        <v>237</v>
      </c>
      <c r="F4" s="14" t="s">
        <v>238</v>
      </c>
      <c r="G4" s="14" t="s">
        <v>239</v>
      </c>
      <c r="H4" s="14" t="s">
        <v>240</v>
      </c>
      <c r="I4" s="14" t="s">
        <v>241</v>
      </c>
      <c r="J4" s="14" t="s">
        <v>242</v>
      </c>
    </row>
    <row r="5" spans="1:10" x14ac:dyDescent="0.3">
      <c r="A5" s="15"/>
      <c r="B5" s="15"/>
      <c r="C5" s="15"/>
      <c r="D5" s="15"/>
      <c r="E5" s="15"/>
      <c r="F5" s="15"/>
      <c r="G5" s="15" t="str">
        <f t="shared" ref="G5:G24" si="0">IF(OR(D5="",E5=""),"",IF(D5&lt;=E5,"YES","NO"))</f>
        <v/>
      </c>
      <c r="H5" s="15"/>
      <c r="I5" s="15"/>
      <c r="J5" s="15"/>
    </row>
    <row r="6" spans="1:10" x14ac:dyDescent="0.3">
      <c r="A6" s="15"/>
      <c r="B6" s="15"/>
      <c r="C6" s="15"/>
      <c r="D6" s="15"/>
      <c r="E6" s="15"/>
      <c r="F6" s="15"/>
      <c r="G6" s="15" t="str">
        <f t="shared" si="0"/>
        <v/>
      </c>
      <c r="H6" s="15"/>
      <c r="I6" s="15"/>
      <c r="J6" s="15"/>
    </row>
    <row r="7" spans="1:10" x14ac:dyDescent="0.3">
      <c r="A7" s="15"/>
      <c r="B7" s="15"/>
      <c r="C7" s="15"/>
      <c r="D7" s="15"/>
      <c r="E7" s="15"/>
      <c r="F7" s="15"/>
      <c r="G7" s="15" t="str">
        <f t="shared" si="0"/>
        <v/>
      </c>
      <c r="H7" s="15"/>
      <c r="I7" s="15"/>
      <c r="J7" s="15"/>
    </row>
    <row r="8" spans="1:10" x14ac:dyDescent="0.3">
      <c r="A8" s="15"/>
      <c r="B8" s="15"/>
      <c r="C8" s="15"/>
      <c r="D8" s="15"/>
      <c r="E8" s="15"/>
      <c r="F8" s="15"/>
      <c r="G8" s="15" t="str">
        <f t="shared" si="0"/>
        <v/>
      </c>
      <c r="H8" s="15"/>
      <c r="I8" s="15"/>
      <c r="J8" s="15"/>
    </row>
    <row r="9" spans="1:10" x14ac:dyDescent="0.3">
      <c r="A9" s="15"/>
      <c r="B9" s="15"/>
      <c r="C9" s="15"/>
      <c r="D9" s="15"/>
      <c r="E9" s="15"/>
      <c r="F9" s="15"/>
      <c r="G9" s="15" t="str">
        <f t="shared" si="0"/>
        <v/>
      </c>
      <c r="H9" s="15"/>
      <c r="I9" s="15"/>
      <c r="J9" s="15"/>
    </row>
    <row r="10" spans="1:10" x14ac:dyDescent="0.3">
      <c r="A10" s="15"/>
      <c r="B10" s="15"/>
      <c r="C10" s="15"/>
      <c r="D10" s="15"/>
      <c r="E10" s="15"/>
      <c r="F10" s="15"/>
      <c r="G10" s="15" t="str">
        <f t="shared" si="0"/>
        <v/>
      </c>
      <c r="H10" s="15"/>
      <c r="I10" s="15"/>
      <c r="J10" s="15"/>
    </row>
    <row r="11" spans="1:10" x14ac:dyDescent="0.3">
      <c r="A11" s="15"/>
      <c r="B11" s="15"/>
      <c r="C11" s="15"/>
      <c r="D11" s="15"/>
      <c r="E11" s="15"/>
      <c r="F11" s="15"/>
      <c r="G11" s="15" t="str">
        <f t="shared" si="0"/>
        <v/>
      </c>
      <c r="H11" s="15"/>
      <c r="I11" s="15"/>
      <c r="J11" s="15"/>
    </row>
    <row r="12" spans="1:10" x14ac:dyDescent="0.3">
      <c r="A12" s="15"/>
      <c r="B12" s="15"/>
      <c r="C12" s="15"/>
      <c r="D12" s="15"/>
      <c r="E12" s="15"/>
      <c r="F12" s="15"/>
      <c r="G12" s="15" t="str">
        <f t="shared" si="0"/>
        <v/>
      </c>
      <c r="H12" s="15"/>
      <c r="I12" s="15"/>
      <c r="J12" s="15"/>
    </row>
    <row r="13" spans="1:10" x14ac:dyDescent="0.3">
      <c r="A13" s="15"/>
      <c r="B13" s="15"/>
      <c r="C13" s="15"/>
      <c r="D13" s="15"/>
      <c r="E13" s="15"/>
      <c r="F13" s="15"/>
      <c r="G13" s="15" t="str">
        <f t="shared" si="0"/>
        <v/>
      </c>
      <c r="H13" s="15"/>
      <c r="I13" s="15"/>
      <c r="J13" s="15"/>
    </row>
    <row r="14" spans="1:10" x14ac:dyDescent="0.3">
      <c r="A14" s="15"/>
      <c r="B14" s="15"/>
      <c r="C14" s="15"/>
      <c r="D14" s="15"/>
      <c r="E14" s="15"/>
      <c r="F14" s="15"/>
      <c r="G14" s="15" t="str">
        <f t="shared" si="0"/>
        <v/>
      </c>
      <c r="H14" s="15"/>
      <c r="I14" s="15"/>
      <c r="J14" s="15"/>
    </row>
    <row r="15" spans="1:10" x14ac:dyDescent="0.3">
      <c r="A15" s="15"/>
      <c r="B15" s="15"/>
      <c r="C15" s="15"/>
      <c r="D15" s="15"/>
      <c r="E15" s="15"/>
      <c r="F15" s="15"/>
      <c r="G15" s="15" t="str">
        <f t="shared" si="0"/>
        <v/>
      </c>
      <c r="H15" s="15"/>
      <c r="I15" s="15"/>
      <c r="J15" s="15"/>
    </row>
    <row r="16" spans="1:10" x14ac:dyDescent="0.3">
      <c r="A16" s="15"/>
      <c r="B16" s="15"/>
      <c r="C16" s="15"/>
      <c r="D16" s="15"/>
      <c r="E16" s="15"/>
      <c r="F16" s="15"/>
      <c r="G16" s="15" t="str">
        <f t="shared" si="0"/>
        <v/>
      </c>
      <c r="H16" s="15"/>
      <c r="I16" s="15"/>
      <c r="J16" s="15"/>
    </row>
    <row r="17" spans="1:10" x14ac:dyDescent="0.3">
      <c r="A17" s="15"/>
      <c r="B17" s="15"/>
      <c r="C17" s="15"/>
      <c r="D17" s="15"/>
      <c r="E17" s="15"/>
      <c r="F17" s="15"/>
      <c r="G17" s="15" t="str">
        <f t="shared" si="0"/>
        <v/>
      </c>
      <c r="H17" s="15"/>
      <c r="I17" s="15"/>
      <c r="J17" s="15"/>
    </row>
    <row r="18" spans="1:10" x14ac:dyDescent="0.3">
      <c r="A18" s="15"/>
      <c r="B18" s="15"/>
      <c r="C18" s="15"/>
      <c r="D18" s="15"/>
      <c r="E18" s="15"/>
      <c r="F18" s="15"/>
      <c r="G18" s="15" t="str">
        <f t="shared" si="0"/>
        <v/>
      </c>
      <c r="H18" s="15"/>
      <c r="I18" s="15"/>
      <c r="J18" s="15"/>
    </row>
    <row r="19" spans="1:10" x14ac:dyDescent="0.3">
      <c r="A19" s="15"/>
      <c r="B19" s="15"/>
      <c r="C19" s="15"/>
      <c r="D19" s="15"/>
      <c r="E19" s="15"/>
      <c r="F19" s="15"/>
      <c r="G19" s="15" t="str">
        <f t="shared" si="0"/>
        <v/>
      </c>
      <c r="H19" s="15"/>
      <c r="I19" s="15"/>
      <c r="J19" s="15"/>
    </row>
    <row r="20" spans="1:10" x14ac:dyDescent="0.3">
      <c r="A20" s="15"/>
      <c r="B20" s="15"/>
      <c r="C20" s="15"/>
      <c r="D20" s="15"/>
      <c r="E20" s="15"/>
      <c r="F20" s="15"/>
      <c r="G20" s="15" t="str">
        <f t="shared" si="0"/>
        <v/>
      </c>
      <c r="H20" s="15"/>
      <c r="I20" s="15"/>
      <c r="J20" s="15"/>
    </row>
    <row r="21" spans="1:10" x14ac:dyDescent="0.3">
      <c r="A21" s="15"/>
      <c r="B21" s="15"/>
      <c r="C21" s="15"/>
      <c r="D21" s="15"/>
      <c r="E21" s="15"/>
      <c r="F21" s="15"/>
      <c r="G21" s="15" t="str">
        <f t="shared" si="0"/>
        <v/>
      </c>
      <c r="H21" s="15"/>
      <c r="I21" s="15"/>
      <c r="J21" s="15"/>
    </row>
    <row r="22" spans="1:10" x14ac:dyDescent="0.3">
      <c r="A22" s="15"/>
      <c r="B22" s="15"/>
      <c r="C22" s="15"/>
      <c r="D22" s="15"/>
      <c r="E22" s="15"/>
      <c r="F22" s="15"/>
      <c r="G22" s="15" t="str">
        <f t="shared" si="0"/>
        <v/>
      </c>
      <c r="H22" s="15"/>
      <c r="I22" s="15"/>
      <c r="J22" s="15"/>
    </row>
    <row r="23" spans="1:10" x14ac:dyDescent="0.3">
      <c r="A23" s="15"/>
      <c r="B23" s="15"/>
      <c r="C23" s="15"/>
      <c r="D23" s="15"/>
      <c r="E23" s="15"/>
      <c r="F23" s="15"/>
      <c r="G23" s="15" t="str">
        <f t="shared" si="0"/>
        <v/>
      </c>
      <c r="H23" s="15"/>
      <c r="I23" s="15"/>
      <c r="J23" s="15"/>
    </row>
    <row r="24" spans="1:10" x14ac:dyDescent="0.3">
      <c r="A24" s="15"/>
      <c r="B24" s="15"/>
      <c r="C24" s="15"/>
      <c r="D24" s="15"/>
      <c r="E24" s="15"/>
      <c r="F24" s="15"/>
      <c r="G24" s="15" t="str">
        <f t="shared" si="0"/>
        <v/>
      </c>
      <c r="H24" s="15"/>
      <c r="I24" s="15"/>
      <c r="J24" s="15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/>
  </sheetViews>
  <sheetFormatPr defaultRowHeight="14.4" x14ac:dyDescent="0.3"/>
  <cols>
    <col min="1" max="1" width="7.109375" customWidth="1"/>
    <col min="2" max="2" width="9.44140625" customWidth="1"/>
    <col min="3" max="3" width="10.109375" customWidth="1"/>
    <col min="4" max="4" width="10.6640625" customWidth="1"/>
    <col min="5" max="5" width="10.33203125" customWidth="1"/>
    <col min="6" max="6" width="9.44140625" customWidth="1"/>
    <col min="7" max="7" width="5.6640625" customWidth="1"/>
    <col min="8" max="8" width="8.6640625" customWidth="1"/>
    <col min="9" max="9" width="7.44140625" customWidth="1"/>
    <col min="10" max="10" width="10.21875" customWidth="1"/>
    <col min="11" max="11" width="10.44140625" customWidth="1"/>
  </cols>
  <sheetData>
    <row r="1" spans="1:11" ht="24" customHeight="1" x14ac:dyDescent="0.3">
      <c r="A1" s="3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244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14" t="s">
        <v>149</v>
      </c>
      <c r="B4" s="14" t="s">
        <v>227</v>
      </c>
      <c r="C4" s="14" t="s">
        <v>6</v>
      </c>
      <c r="D4" s="14" t="s">
        <v>245</v>
      </c>
      <c r="E4" s="14" t="s">
        <v>8</v>
      </c>
      <c r="F4" s="14" t="s">
        <v>233</v>
      </c>
      <c r="G4" s="14" t="s">
        <v>246</v>
      </c>
      <c r="H4" s="14" t="s">
        <v>13</v>
      </c>
      <c r="I4" s="14" t="s">
        <v>247</v>
      </c>
      <c r="J4" s="14" t="s">
        <v>248</v>
      </c>
      <c r="K4" s="14" t="s">
        <v>249</v>
      </c>
    </row>
    <row r="5" spans="1:11" ht="28.8" x14ac:dyDescent="0.3">
      <c r="A5" s="15" t="s">
        <v>250</v>
      </c>
      <c r="B5" s="18"/>
      <c r="C5" s="15"/>
      <c r="D5" s="15"/>
      <c r="E5" s="15"/>
      <c r="F5" s="15"/>
      <c r="G5" s="15"/>
      <c r="H5" s="15"/>
      <c r="I5" s="15" t="s">
        <v>199</v>
      </c>
      <c r="J5" s="15"/>
      <c r="K5" s="15"/>
    </row>
    <row r="6" spans="1:11" ht="28.8" x14ac:dyDescent="0.3">
      <c r="A6" s="15" t="s">
        <v>250</v>
      </c>
      <c r="B6" s="18"/>
      <c r="C6" s="15"/>
      <c r="D6" s="15"/>
      <c r="E6" s="15"/>
      <c r="F6" s="15"/>
      <c r="G6" s="15"/>
      <c r="H6" s="15"/>
      <c r="I6" s="15" t="s">
        <v>199</v>
      </c>
      <c r="J6" s="15"/>
      <c r="K6" s="15"/>
    </row>
    <row r="7" spans="1:11" ht="28.8" x14ac:dyDescent="0.3">
      <c r="A7" s="15" t="s">
        <v>250</v>
      </c>
      <c r="B7" s="18"/>
      <c r="C7" s="15"/>
      <c r="D7" s="15"/>
      <c r="E7" s="15"/>
      <c r="F7" s="15"/>
      <c r="G7" s="15"/>
      <c r="H7" s="15"/>
      <c r="I7" s="15" t="s">
        <v>199</v>
      </c>
      <c r="J7" s="15"/>
      <c r="K7" s="15"/>
    </row>
    <row r="8" spans="1:11" ht="28.8" x14ac:dyDescent="0.3">
      <c r="A8" s="15" t="s">
        <v>250</v>
      </c>
      <c r="B8" s="18"/>
      <c r="C8" s="15"/>
      <c r="D8" s="15"/>
      <c r="E8" s="15"/>
      <c r="F8" s="15"/>
      <c r="G8" s="15"/>
      <c r="H8" s="15"/>
      <c r="I8" s="15" t="s">
        <v>199</v>
      </c>
      <c r="J8" s="15"/>
      <c r="K8" s="15"/>
    </row>
    <row r="9" spans="1:11" ht="28.8" x14ac:dyDescent="0.3">
      <c r="A9" s="15" t="s">
        <v>250</v>
      </c>
      <c r="B9" s="18"/>
      <c r="C9" s="15"/>
      <c r="D9" s="15"/>
      <c r="E9" s="15"/>
      <c r="F9" s="15"/>
      <c r="G9" s="15"/>
      <c r="H9" s="15"/>
      <c r="I9" s="15" t="s">
        <v>199</v>
      </c>
      <c r="J9" s="15"/>
      <c r="K9" s="15"/>
    </row>
    <row r="10" spans="1:11" ht="28.8" x14ac:dyDescent="0.3">
      <c r="A10" s="15" t="s">
        <v>250</v>
      </c>
      <c r="B10" s="18"/>
      <c r="C10" s="15"/>
      <c r="D10" s="15"/>
      <c r="E10" s="15"/>
      <c r="F10" s="15"/>
      <c r="G10" s="15"/>
      <c r="H10" s="15"/>
      <c r="I10" s="15" t="s">
        <v>199</v>
      </c>
      <c r="J10" s="15"/>
      <c r="K10" s="15"/>
    </row>
    <row r="11" spans="1:11" ht="28.8" x14ac:dyDescent="0.3">
      <c r="A11" s="15" t="s">
        <v>250</v>
      </c>
      <c r="B11" s="18"/>
      <c r="C11" s="15"/>
      <c r="D11" s="15"/>
      <c r="E11" s="15"/>
      <c r="F11" s="15"/>
      <c r="G11" s="15"/>
      <c r="H11" s="15"/>
      <c r="I11" s="15" t="s">
        <v>199</v>
      </c>
      <c r="J11" s="15"/>
      <c r="K11" s="15"/>
    </row>
    <row r="12" spans="1:11" ht="28.8" x14ac:dyDescent="0.3">
      <c r="A12" s="15" t="s">
        <v>250</v>
      </c>
      <c r="B12" s="18"/>
      <c r="C12" s="15"/>
      <c r="D12" s="15"/>
      <c r="E12" s="15"/>
      <c r="F12" s="15"/>
      <c r="G12" s="15"/>
      <c r="H12" s="15"/>
      <c r="I12" s="15" t="s">
        <v>199</v>
      </c>
      <c r="J12" s="15"/>
      <c r="K12" s="15"/>
    </row>
    <row r="13" spans="1:11" ht="28.8" x14ac:dyDescent="0.3">
      <c r="A13" s="15" t="s">
        <v>250</v>
      </c>
      <c r="B13" s="18"/>
      <c r="C13" s="15"/>
      <c r="D13" s="15"/>
      <c r="E13" s="15"/>
      <c r="F13" s="15"/>
      <c r="G13" s="15"/>
      <c r="H13" s="15"/>
      <c r="I13" s="15" t="s">
        <v>199</v>
      </c>
      <c r="J13" s="15"/>
      <c r="K13" s="15"/>
    </row>
    <row r="14" spans="1:11" ht="28.8" x14ac:dyDescent="0.3">
      <c r="A14" s="15" t="s">
        <v>250</v>
      </c>
      <c r="B14" s="18"/>
      <c r="C14" s="15"/>
      <c r="D14" s="15"/>
      <c r="E14" s="15"/>
      <c r="F14" s="15"/>
      <c r="G14" s="15"/>
      <c r="H14" s="15"/>
      <c r="I14" s="15" t="s">
        <v>199</v>
      </c>
      <c r="J14" s="15"/>
      <c r="K14" s="15"/>
    </row>
    <row r="15" spans="1:11" ht="28.8" x14ac:dyDescent="0.3">
      <c r="A15" s="15" t="s">
        <v>250</v>
      </c>
      <c r="B15" s="18"/>
      <c r="C15" s="15"/>
      <c r="D15" s="15"/>
      <c r="E15" s="15"/>
      <c r="F15" s="15"/>
      <c r="G15" s="15"/>
      <c r="H15" s="15"/>
      <c r="I15" s="15" t="s">
        <v>199</v>
      </c>
      <c r="J15" s="15"/>
      <c r="K15" s="15"/>
    </row>
    <row r="16" spans="1:11" ht="28.8" x14ac:dyDescent="0.3">
      <c r="A16" s="15" t="s">
        <v>250</v>
      </c>
      <c r="B16" s="18"/>
      <c r="C16" s="15"/>
      <c r="D16" s="15"/>
      <c r="E16" s="15"/>
      <c r="F16" s="15"/>
      <c r="G16" s="15"/>
      <c r="H16" s="15"/>
      <c r="I16" s="15" t="s">
        <v>199</v>
      </c>
      <c r="J16" s="15"/>
      <c r="K16" s="15"/>
    </row>
    <row r="17" spans="1:11" ht="28.8" x14ac:dyDescent="0.3">
      <c r="A17" s="15" t="s">
        <v>250</v>
      </c>
      <c r="B17" s="18"/>
      <c r="C17" s="15"/>
      <c r="D17" s="15"/>
      <c r="E17" s="15"/>
      <c r="F17" s="15"/>
      <c r="G17" s="15"/>
      <c r="H17" s="15"/>
      <c r="I17" s="15" t="s">
        <v>199</v>
      </c>
      <c r="J17" s="15"/>
      <c r="K17" s="15"/>
    </row>
    <row r="18" spans="1:11" ht="28.8" x14ac:dyDescent="0.3">
      <c r="A18" s="15" t="s">
        <v>250</v>
      </c>
      <c r="B18" s="18"/>
      <c r="C18" s="15"/>
      <c r="D18" s="15"/>
      <c r="E18" s="15"/>
      <c r="F18" s="15"/>
      <c r="G18" s="15"/>
      <c r="H18" s="15"/>
      <c r="I18" s="15" t="s">
        <v>199</v>
      </c>
      <c r="J18" s="15"/>
      <c r="K18" s="15"/>
    </row>
    <row r="19" spans="1:11" ht="28.8" x14ac:dyDescent="0.3">
      <c r="A19" s="15" t="s">
        <v>250</v>
      </c>
      <c r="B19" s="18"/>
      <c r="C19" s="15"/>
      <c r="D19" s="15"/>
      <c r="E19" s="15"/>
      <c r="F19" s="15"/>
      <c r="G19" s="15"/>
      <c r="H19" s="15"/>
      <c r="I19" s="15" t="s">
        <v>199</v>
      </c>
      <c r="J19" s="15"/>
      <c r="K19" s="15"/>
    </row>
  </sheetData>
  <mergeCells count="2">
    <mergeCell ref="A1:K1"/>
    <mergeCell ref="A2:K2"/>
  </mergeCells>
  <dataValidations count="1">
    <dataValidation type="list" sqref="I5:I19" xr:uid="{00000000-0002-0000-0600-000000000000}">
      <formula1>"Yes,No,Partial,N/A"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workbookViewId="0"/>
  </sheetViews>
  <sheetFormatPr defaultRowHeight="14.4" x14ac:dyDescent="0.3"/>
  <cols>
    <col min="1" max="1" width="10.109375" customWidth="1"/>
    <col min="2" max="2" width="10.33203125" customWidth="1"/>
    <col min="3" max="3" width="5.33203125" customWidth="1"/>
    <col min="4" max="4" width="5.44140625" customWidth="1"/>
    <col min="5" max="5" width="5.88671875" customWidth="1"/>
    <col min="6" max="6" width="5.44140625" customWidth="1"/>
    <col min="7" max="7" width="6.109375" customWidth="1"/>
    <col min="8" max="8" width="5.33203125" customWidth="1"/>
    <col min="9" max="9" width="4.88671875" customWidth="1"/>
    <col min="10" max="10" width="5.77734375" customWidth="1"/>
    <col min="11" max="11" width="5.6640625" customWidth="1"/>
    <col min="12" max="12" width="5.44140625" customWidth="1"/>
    <col min="13" max="13" width="5.88671875" customWidth="1"/>
    <col min="14" max="14" width="5.6640625" customWidth="1"/>
  </cols>
  <sheetData>
    <row r="1" spans="1:14" ht="24" customHeight="1" x14ac:dyDescent="0.3">
      <c r="A1" s="3" t="s">
        <v>251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5.65" customHeight="1" x14ac:dyDescent="0.3">
      <c r="A2" s="2" t="s">
        <v>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0.85" customHeight="1" x14ac:dyDescent="0.3">
      <c r="A4" s="14" t="s">
        <v>6</v>
      </c>
      <c r="B4" s="14" t="s">
        <v>8</v>
      </c>
      <c r="C4" s="14" t="s">
        <v>29</v>
      </c>
      <c r="D4" s="14" t="s">
        <v>253</v>
      </c>
      <c r="E4" s="14" t="s">
        <v>254</v>
      </c>
      <c r="F4" s="14" t="s">
        <v>255</v>
      </c>
      <c r="G4" s="14" t="s">
        <v>256</v>
      </c>
      <c r="H4" s="14" t="s">
        <v>257</v>
      </c>
      <c r="I4" s="14" t="s">
        <v>258</v>
      </c>
      <c r="J4" s="14" t="s">
        <v>259</v>
      </c>
      <c r="K4" s="14" t="s">
        <v>260</v>
      </c>
      <c r="L4" s="14" t="s">
        <v>261</v>
      </c>
      <c r="M4" s="14" t="s">
        <v>262</v>
      </c>
      <c r="N4" s="14" t="s">
        <v>263</v>
      </c>
    </row>
    <row r="5" spans="1:14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defaultRowHeight="14.4" x14ac:dyDescent="0.3"/>
  <cols>
    <col min="1" max="1" width="30" customWidth="1"/>
    <col min="2" max="2" width="18" customWidth="1"/>
    <col min="3" max="3" width="58" customWidth="1"/>
  </cols>
  <sheetData>
    <row r="1" spans="1:10" ht="24" customHeight="1" x14ac:dyDescent="0.3">
      <c r="A1" s="3" t="s">
        <v>264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265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">
      <c r="A4" s="17" t="s">
        <v>266</v>
      </c>
      <c r="B4" s="17" t="s">
        <v>267</v>
      </c>
      <c r="C4" s="17" t="s">
        <v>268</v>
      </c>
    </row>
    <row r="5" spans="1:10" x14ac:dyDescent="0.3">
      <c r="A5" s="21" t="s">
        <v>269</v>
      </c>
      <c r="B5">
        <f>COUNTA('🛢 Lubrication Schedule'!B6:B100)</f>
        <v>14</v>
      </c>
      <c r="C5" t="s">
        <v>270</v>
      </c>
    </row>
    <row r="6" spans="1:10" x14ac:dyDescent="0.3">
      <c r="A6" s="21" t="s">
        <v>271</v>
      </c>
      <c r="B6">
        <f>COUNTIF('🛢 Lubrication Schedule'!P:P,"Yes")</f>
        <v>0</v>
      </c>
      <c r="C6" t="s">
        <v>272</v>
      </c>
    </row>
    <row r="7" spans="1:10" x14ac:dyDescent="0.3">
      <c r="A7" s="21" t="s">
        <v>205</v>
      </c>
      <c r="B7">
        <f ca="1">COUNTIF('🛢 Lubrication Schedule'!Q:Q,"YES")</f>
        <v>0</v>
      </c>
      <c r="C7" t="s">
        <v>273</v>
      </c>
    </row>
    <row r="8" spans="1:10" x14ac:dyDescent="0.3">
      <c r="A8" s="21" t="s">
        <v>274</v>
      </c>
      <c r="B8" s="22">
        <f>IFERROR(B6/B5,0)</f>
        <v>0</v>
      </c>
      <c r="C8" t="s">
        <v>275</v>
      </c>
    </row>
    <row r="9" spans="1:10" x14ac:dyDescent="0.3">
      <c r="A9" s="21" t="s">
        <v>276</v>
      </c>
      <c r="B9">
        <f>COUNTIF('Stock &amp; Reorder'!G:G,"YES")</f>
        <v>0</v>
      </c>
      <c r="C9" t="s">
        <v>277</v>
      </c>
    </row>
    <row r="10" spans="1:10" x14ac:dyDescent="0.3">
      <c r="A10" s="21" t="s">
        <v>278</v>
      </c>
      <c r="B10">
        <f>COUNTIFS('Action Tracker'!H:H,"&lt;&gt;Complete",'Action Tracker'!H:H,"&lt;&gt;Verified",'Action Tracker'!A:A,"&lt;&gt;")</f>
        <v>3</v>
      </c>
      <c r="C10" t="s">
        <v>279</v>
      </c>
    </row>
    <row r="11" spans="1:10" x14ac:dyDescent="0.3">
      <c r="A11" s="21" t="s">
        <v>280</v>
      </c>
      <c r="B11" t="str">
        <f>IF(B8&gt;0,"OVERDUE LUBE",IF(B10&gt;0,"STOCK RISK","CONTROLLED"))</f>
        <v>STOCK RISK</v>
      </c>
      <c r="C11" t="s">
        <v>281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🛢 Lubrication Schedule</vt:lpstr>
      <vt:lpstr>📦 Lubricant Register</vt:lpstr>
      <vt:lpstr>Premium Guide</vt:lpstr>
      <vt:lpstr>Lists</vt:lpstr>
      <vt:lpstr>Action Tracker</vt:lpstr>
      <vt:lpstr>Stock &amp; Reorder</vt:lpstr>
      <vt:lpstr>Route Sheets</vt:lpstr>
      <vt:lpstr>Monthly Calendar</vt:lpstr>
      <vt:lpstr>Compliance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2 11</dc:creator>
  <cp:lastModifiedBy>2 11</cp:lastModifiedBy>
  <dcterms:created xsi:type="dcterms:W3CDTF">2026-06-26T00:56:18Z</dcterms:created>
  <dcterms:modified xsi:type="dcterms:W3CDTF">2026-06-26T00:57:42Z</dcterms:modified>
</cp:coreProperties>
</file>